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jes\Downloads\"/>
    </mc:Choice>
  </mc:AlternateContent>
  <xr:revisionPtr revIDLastSave="0" documentId="13_ncr:1_{FABB413B-2B13-4B35-B111-52981DEAE736}" xr6:coauthVersionLast="47" xr6:coauthVersionMax="47" xr10:uidLastSave="{00000000-0000-0000-0000-000000000000}"/>
  <bookViews>
    <workbookView xWindow="-108" yWindow="-108" windowWidth="23256" windowHeight="13896" xr2:uid="{274A4093-816A-1245-95D2-C787F730D546}"/>
  </bookViews>
  <sheets>
    <sheet name="ISA 15 and SEE 85" sheetId="1" r:id="rId1"/>
    <sheet name="CO PO PSO MAPPING &amp; ATTAINMENT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1" i="1" l="1" a="1"/>
  <c r="AH21" i="1" s="1"/>
  <c r="AH12" i="1" a="1"/>
  <c r="AH12" i="1" s="1"/>
  <c r="AH13" i="1" a="1"/>
  <c r="AH13" i="1" s="1"/>
  <c r="AH14" i="1" a="1"/>
  <c r="AH14" i="1" s="1"/>
  <c r="AH15" i="1" a="1"/>
  <c r="AH15" i="1" s="1"/>
  <c r="AH16" i="1" a="1"/>
  <c r="AH16" i="1" s="1"/>
  <c r="AH17" i="1" a="1"/>
  <c r="AH17" i="1" s="1"/>
  <c r="AH18" i="1" a="1"/>
  <c r="AH18" i="1" s="1"/>
  <c r="AH19" i="1" a="1"/>
  <c r="AH19" i="1" s="1"/>
  <c r="AH20" i="1" a="1"/>
  <c r="AH20" i="1" s="1"/>
  <c r="AH22" i="1" a="1"/>
  <c r="AH22" i="1" s="1"/>
  <c r="AH23" i="1" a="1"/>
  <c r="AH23" i="1" s="1"/>
  <c r="AH24" i="1" a="1"/>
  <c r="AH24" i="1" s="1"/>
  <c r="AH25" i="1" a="1"/>
  <c r="AH25" i="1" s="1"/>
  <c r="AH26" i="1" a="1"/>
  <c r="AH26" i="1" s="1"/>
  <c r="AH27" i="1" a="1"/>
  <c r="AH27" i="1" s="1"/>
  <c r="AH28" i="1" a="1"/>
  <c r="AH28" i="1" s="1"/>
  <c r="AH29" i="1" a="1"/>
  <c r="AH29" i="1" s="1"/>
  <c r="AH30" i="1" a="1"/>
  <c r="AH30" i="1" s="1"/>
  <c r="AH31" i="1" a="1"/>
  <c r="AH31" i="1" s="1"/>
  <c r="AH32" i="1" a="1"/>
  <c r="AH32" i="1" s="1"/>
  <c r="AH33" i="1" a="1"/>
  <c r="AH33" i="1" s="1"/>
  <c r="AH34" i="1" a="1"/>
  <c r="AH34" i="1" s="1"/>
  <c r="AH35" i="1" a="1"/>
  <c r="AH35" i="1" s="1"/>
  <c r="AH36" i="1" a="1"/>
  <c r="AH36" i="1" s="1"/>
  <c r="AH37" i="1" a="1"/>
  <c r="AH37" i="1" s="1"/>
  <c r="AH38" i="1" a="1"/>
  <c r="AH38" i="1" s="1"/>
  <c r="AH39" i="1" a="1"/>
  <c r="AH39" i="1" s="1"/>
  <c r="AH40" i="1" a="1"/>
  <c r="AH40" i="1" s="1"/>
  <c r="AH41" i="1" a="1"/>
  <c r="AH41" i="1" s="1"/>
  <c r="AH42" i="1" a="1"/>
  <c r="AH42" i="1" s="1"/>
  <c r="AH43" i="1" a="1"/>
  <c r="AH43" i="1" s="1"/>
  <c r="AH44" i="1" a="1"/>
  <c r="AH44" i="1" s="1"/>
  <c r="AH45" i="1" a="1"/>
  <c r="AH45" i="1" s="1"/>
  <c r="AH46" i="1" a="1"/>
  <c r="AH46" i="1" s="1"/>
  <c r="AH47" i="1" a="1"/>
  <c r="AH47" i="1" s="1"/>
  <c r="AH48" i="1" a="1"/>
  <c r="AH48" i="1" s="1"/>
  <c r="AH49" i="1" a="1"/>
  <c r="AH49" i="1" s="1"/>
  <c r="AH50" i="1" a="1"/>
  <c r="AH50" i="1" s="1"/>
  <c r="AH51" i="1" a="1"/>
  <c r="AH51" i="1" s="1"/>
  <c r="AH52" i="1" a="1"/>
  <c r="AH52" i="1" s="1"/>
  <c r="AH53" i="1" a="1"/>
  <c r="AH53" i="1" s="1"/>
  <c r="AH54" i="1" a="1"/>
  <c r="AH54" i="1" s="1"/>
  <c r="AH55" i="1" a="1"/>
  <c r="AH55" i="1" s="1"/>
  <c r="AH56" i="1" a="1"/>
  <c r="AH56" i="1" s="1"/>
  <c r="AH57" i="1" a="1"/>
  <c r="AH57" i="1" s="1"/>
  <c r="AH58" i="1" a="1"/>
  <c r="AH58" i="1" s="1"/>
  <c r="AH59" i="1" a="1"/>
  <c r="AH59" i="1" s="1"/>
  <c r="AH60" i="1" a="1"/>
  <c r="AH60" i="1" s="1"/>
  <c r="AH61" i="1" a="1"/>
  <c r="AH61" i="1" s="1"/>
  <c r="AH62" i="1" a="1"/>
  <c r="AH62" i="1" s="1"/>
  <c r="AH63" i="1" a="1"/>
  <c r="AH63" i="1" s="1"/>
  <c r="AH64" i="1" a="1"/>
  <c r="AH64" i="1" s="1"/>
  <c r="AH65" i="1" a="1"/>
  <c r="AH65" i="1" s="1"/>
  <c r="AH66" i="1" a="1"/>
  <c r="AH66" i="1" s="1"/>
  <c r="AH67" i="1" a="1"/>
  <c r="AH67" i="1" s="1"/>
  <c r="AH68" i="1" a="1"/>
  <c r="AH68" i="1" s="1"/>
  <c r="AH69" i="1" a="1"/>
  <c r="AH69" i="1" s="1"/>
  <c r="AH70" i="1" a="1"/>
  <c r="AH70" i="1" s="1"/>
  <c r="AH71" i="1" a="1"/>
  <c r="AH71" i="1" s="1"/>
  <c r="AH72" i="1" a="1"/>
  <c r="AH72" i="1" s="1"/>
  <c r="AH73" i="1" a="1"/>
  <c r="AH73" i="1" s="1"/>
  <c r="AH74" i="1" a="1"/>
  <c r="AH74" i="1" s="1"/>
  <c r="AH75" i="1" a="1"/>
  <c r="AH75" i="1" s="1"/>
  <c r="AH76" i="1" a="1"/>
  <c r="AH76" i="1" s="1"/>
  <c r="AH77" i="1" a="1"/>
  <c r="AH77" i="1" s="1"/>
  <c r="AH78" i="1" a="1"/>
  <c r="AH78" i="1" s="1"/>
  <c r="AH79" i="1" a="1"/>
  <c r="AH79" i="1" s="1"/>
  <c r="AH80" i="1" a="1"/>
  <c r="AH80" i="1" s="1"/>
  <c r="AH81" i="1" a="1"/>
  <c r="AH81" i="1" s="1"/>
  <c r="AH82" i="1" a="1"/>
  <c r="AH82" i="1" s="1"/>
  <c r="AH83" i="1" a="1"/>
  <c r="AH83" i="1" s="1"/>
  <c r="AH84" i="1" a="1"/>
  <c r="AH84" i="1" s="1"/>
  <c r="AH85" i="1" a="1"/>
  <c r="AH85" i="1" s="1"/>
  <c r="AH86" i="1" a="1"/>
  <c r="AH86" i="1" s="1"/>
  <c r="AH87" i="1" a="1"/>
  <c r="AH87" i="1" s="1"/>
  <c r="AH88" i="1" a="1"/>
  <c r="AH88" i="1" s="1"/>
  <c r="AH89" i="1" a="1"/>
  <c r="AH89" i="1" s="1"/>
  <c r="AH90" i="1" a="1"/>
  <c r="AH90" i="1" s="1"/>
  <c r="AH91" i="1" a="1"/>
  <c r="AH91" i="1" s="1"/>
  <c r="AH92" i="1" a="1"/>
  <c r="AH92" i="1" s="1"/>
  <c r="AH93" i="1" a="1"/>
  <c r="AH93" i="1" s="1"/>
  <c r="AH94" i="1" a="1"/>
  <c r="AH94" i="1" s="1"/>
  <c r="AH95" i="1" a="1"/>
  <c r="AH95" i="1" s="1"/>
  <c r="AH96" i="1" a="1"/>
  <c r="AH96" i="1" s="1"/>
  <c r="AH97" i="1" a="1"/>
  <c r="AH97" i="1" s="1"/>
  <c r="AH98" i="1" a="1"/>
  <c r="AH98" i="1" s="1"/>
  <c r="AH99" i="1" a="1"/>
  <c r="AH99" i="1" s="1"/>
  <c r="AH100" i="1" a="1"/>
  <c r="AH100" i="1" s="1"/>
  <c r="AH101" i="1" a="1"/>
  <c r="AH101" i="1" s="1"/>
  <c r="AH102" i="1" a="1"/>
  <c r="AH102" i="1" s="1"/>
  <c r="AH103" i="1" a="1"/>
  <c r="AH103" i="1" s="1"/>
  <c r="AH104" i="1" a="1"/>
  <c r="AH104" i="1" s="1"/>
  <c r="AH105" i="1" a="1"/>
  <c r="AH105" i="1" s="1"/>
  <c r="AH106" i="1" a="1"/>
  <c r="AH106" i="1" s="1"/>
  <c r="AH107" i="1" a="1"/>
  <c r="AH107" i="1" s="1"/>
  <c r="AH108" i="1" a="1"/>
  <c r="AH108" i="1" s="1"/>
  <c r="AH109" i="1" a="1"/>
  <c r="AH109" i="1" s="1"/>
  <c r="AH110" i="1" a="1"/>
  <c r="AH110" i="1" s="1"/>
  <c r="AH111" i="1" a="1"/>
  <c r="AH111" i="1" s="1"/>
  <c r="AH112" i="1" a="1"/>
  <c r="AH112" i="1" s="1"/>
  <c r="AH113" i="1" a="1"/>
  <c r="AH113" i="1" s="1"/>
  <c r="AH114" i="1" a="1"/>
  <c r="AH114" i="1" s="1"/>
  <c r="AH115" i="1" a="1"/>
  <c r="AH115" i="1" s="1"/>
  <c r="AH116" i="1" a="1"/>
  <c r="AH116" i="1" s="1"/>
  <c r="AH117" i="1" a="1"/>
  <c r="AH117" i="1" s="1"/>
  <c r="AH118" i="1" a="1"/>
  <c r="AH118" i="1" s="1"/>
  <c r="AH119" i="1" a="1"/>
  <c r="AH119" i="1" s="1"/>
  <c r="AH120" i="1" a="1"/>
  <c r="AH120" i="1" s="1"/>
  <c r="AH121" i="1" a="1"/>
  <c r="AH121" i="1" s="1"/>
  <c r="AH122" i="1" a="1"/>
  <c r="AH122" i="1" s="1"/>
  <c r="AH123" i="1" a="1"/>
  <c r="AH123" i="1" s="1"/>
  <c r="AH124" i="1" a="1"/>
  <c r="AH124" i="1" s="1"/>
  <c r="AH125" i="1" a="1"/>
  <c r="AH125" i="1" s="1"/>
  <c r="AH126" i="1" a="1"/>
  <c r="AH126" i="1" s="1"/>
  <c r="AH127" i="1" a="1"/>
  <c r="AH127" i="1" s="1"/>
  <c r="AH128" i="1" a="1"/>
  <c r="AH128" i="1" s="1"/>
  <c r="AH129" i="1" a="1"/>
  <c r="AH129" i="1" s="1"/>
  <c r="AH130" i="1" a="1"/>
  <c r="AH130" i="1" s="1"/>
  <c r="AH131" i="1" a="1"/>
  <c r="AH131" i="1" s="1"/>
  <c r="AH132" i="1" a="1"/>
  <c r="AH132" i="1" s="1"/>
  <c r="AH133" i="1" a="1"/>
  <c r="AH133" i="1" s="1"/>
  <c r="AH134" i="1" a="1"/>
  <c r="AH134" i="1" s="1"/>
  <c r="AH135" i="1" a="1"/>
  <c r="AH135" i="1" s="1"/>
  <c r="AH136" i="1" a="1"/>
  <c r="AH136" i="1" s="1"/>
  <c r="AH137" i="1" a="1"/>
  <c r="AH137" i="1" s="1"/>
  <c r="AH138" i="1" a="1"/>
  <c r="AH138" i="1" s="1"/>
  <c r="AH139" i="1" a="1"/>
  <c r="AH139" i="1" s="1"/>
  <c r="AH140" i="1" a="1"/>
  <c r="AH140" i="1" s="1"/>
  <c r="AH141" i="1" a="1"/>
  <c r="AH141" i="1" s="1"/>
  <c r="AH142" i="1" a="1"/>
  <c r="AH142" i="1" s="1"/>
  <c r="AH143" i="1" a="1"/>
  <c r="AH143" i="1" s="1"/>
  <c r="AH144" i="1" a="1"/>
  <c r="AH144" i="1" s="1"/>
  <c r="AH145" i="1" a="1"/>
  <c r="AH145" i="1" s="1"/>
  <c r="AH146" i="1" a="1"/>
  <c r="AH146" i="1" s="1"/>
  <c r="AH147" i="1" a="1"/>
  <c r="AH147" i="1" s="1"/>
  <c r="AH148" i="1" a="1"/>
  <c r="AH148" i="1" s="1"/>
  <c r="AH149" i="1" a="1"/>
  <c r="AH149" i="1" s="1"/>
  <c r="AH150" i="1" a="1"/>
  <c r="AH150" i="1" s="1"/>
  <c r="AH151" i="1" a="1"/>
  <c r="AH151" i="1" s="1"/>
  <c r="AH152" i="1" a="1"/>
  <c r="AH152" i="1" s="1"/>
  <c r="AH153" i="1" a="1"/>
  <c r="AH153" i="1" s="1"/>
  <c r="AH154" i="1" a="1"/>
  <c r="AH154" i="1" s="1"/>
  <c r="AH155" i="1" a="1"/>
  <c r="AH155" i="1" s="1"/>
  <c r="AH156" i="1" a="1"/>
  <c r="AH156" i="1" s="1"/>
  <c r="AH157" i="1" a="1"/>
  <c r="AH157" i="1" s="1"/>
  <c r="AH158" i="1" a="1"/>
  <c r="AH158" i="1" s="1"/>
  <c r="AH159" i="1" a="1"/>
  <c r="AH159" i="1" s="1"/>
  <c r="AH160" i="1" a="1"/>
  <c r="AH160" i="1" s="1"/>
  <c r="AH161" i="1" a="1"/>
  <c r="AH161" i="1" s="1"/>
  <c r="AH162" i="1" a="1"/>
  <c r="AH162" i="1" s="1"/>
  <c r="AH163" i="1" a="1"/>
  <c r="AH163" i="1" s="1"/>
  <c r="AH164" i="1" a="1"/>
  <c r="AH164" i="1" s="1"/>
  <c r="AH165" i="1" a="1"/>
  <c r="AH165" i="1" s="1"/>
  <c r="AH166" i="1" a="1"/>
  <c r="AH166" i="1" s="1"/>
  <c r="AH167" i="1" a="1"/>
  <c r="AH167" i="1" s="1"/>
  <c r="AH168" i="1" a="1"/>
  <c r="AH168" i="1" s="1"/>
  <c r="AH169" i="1" a="1"/>
  <c r="AH169" i="1" s="1"/>
  <c r="AH170" i="1" a="1"/>
  <c r="AH170" i="1" s="1"/>
  <c r="AH171" i="1" a="1"/>
  <c r="AH171" i="1" s="1"/>
  <c r="AH172" i="1" a="1"/>
  <c r="AH172" i="1" s="1"/>
  <c r="AH173" i="1" a="1"/>
  <c r="AH173" i="1" s="1"/>
  <c r="AH174" i="1" a="1"/>
  <c r="AH174" i="1" s="1"/>
  <c r="AH175" i="1" a="1"/>
  <c r="AH175" i="1" s="1"/>
  <c r="AH176" i="1" a="1"/>
  <c r="AH176" i="1" s="1"/>
  <c r="AH177" i="1" a="1"/>
  <c r="AH177" i="1" s="1"/>
  <c r="AH178" i="1" a="1"/>
  <c r="AH178" i="1" s="1"/>
  <c r="AH179" i="1" a="1"/>
  <c r="AH179" i="1" s="1"/>
  <c r="AH180" i="1" a="1"/>
  <c r="AH180" i="1" s="1"/>
  <c r="AH181" i="1" a="1"/>
  <c r="AH181" i="1" s="1"/>
  <c r="AH182" i="1" a="1"/>
  <c r="AH182" i="1" s="1"/>
  <c r="AH183" i="1" a="1"/>
  <c r="AH183" i="1" s="1"/>
  <c r="AH184" i="1" a="1"/>
  <c r="AH184" i="1" s="1"/>
  <c r="AH185" i="1" a="1"/>
  <c r="AH185" i="1" s="1"/>
  <c r="AH186" i="1" a="1"/>
  <c r="AH186" i="1" s="1"/>
  <c r="AH187" i="1" a="1"/>
  <c r="AH187" i="1" s="1"/>
  <c r="AH188" i="1" a="1"/>
  <c r="AH188" i="1" s="1"/>
  <c r="AH189" i="1" a="1"/>
  <c r="AH189" i="1" s="1"/>
  <c r="AH190" i="1" a="1"/>
  <c r="AH190" i="1" s="1"/>
  <c r="AH191" i="1" a="1"/>
  <c r="AH191" i="1" s="1"/>
  <c r="AH192" i="1" a="1"/>
  <c r="AH192" i="1" s="1"/>
  <c r="AH193" i="1" a="1"/>
  <c r="AH193" i="1" s="1"/>
  <c r="AH194" i="1" a="1"/>
  <c r="AH194" i="1" s="1"/>
  <c r="AH195" i="1" a="1"/>
  <c r="AH195" i="1" s="1"/>
  <c r="AH196" i="1" a="1"/>
  <c r="AH196" i="1" s="1"/>
  <c r="AH197" i="1" a="1"/>
  <c r="AH197" i="1" s="1"/>
  <c r="AH198" i="1" a="1"/>
  <c r="AH198" i="1" s="1"/>
  <c r="AH199" i="1" a="1"/>
  <c r="AH199" i="1" s="1"/>
  <c r="AH200" i="1" a="1"/>
  <c r="AH200" i="1" s="1"/>
  <c r="AH201" i="1" a="1"/>
  <c r="AH201" i="1" s="1"/>
  <c r="AH202" i="1" a="1"/>
  <c r="AH202" i="1" s="1"/>
  <c r="AG13" i="1" a="1"/>
  <c r="AG13" i="1" s="1"/>
  <c r="AG14" i="1" a="1"/>
  <c r="AG14" i="1" s="1"/>
  <c r="AG15" i="1" a="1"/>
  <c r="AG15" i="1" s="1"/>
  <c r="AG16" i="1" a="1"/>
  <c r="AG16" i="1" s="1"/>
  <c r="AG17" i="1" a="1"/>
  <c r="AG17" i="1" s="1"/>
  <c r="AG18" i="1" a="1"/>
  <c r="AG18" i="1" s="1"/>
  <c r="AG19" i="1" a="1"/>
  <c r="AG19" i="1" s="1"/>
  <c r="AG20" i="1" a="1"/>
  <c r="AG20" i="1" s="1"/>
  <c r="AG21" i="1" a="1"/>
  <c r="AG21" i="1" s="1"/>
  <c r="AG22" i="1" a="1"/>
  <c r="AG22" i="1" s="1"/>
  <c r="AG23" i="1" a="1"/>
  <c r="AG23" i="1" s="1"/>
  <c r="AG24" i="1" a="1"/>
  <c r="AG24" i="1" s="1"/>
  <c r="AG25" i="1" a="1"/>
  <c r="AG25" i="1" s="1"/>
  <c r="AG26" i="1" a="1"/>
  <c r="AG26" i="1" s="1"/>
  <c r="AG27" i="1" a="1"/>
  <c r="AG27" i="1" s="1"/>
  <c r="AG28" i="1" a="1"/>
  <c r="AG28" i="1" s="1"/>
  <c r="AG29" i="1" a="1"/>
  <c r="AG29" i="1" s="1"/>
  <c r="AG30" i="1" a="1"/>
  <c r="AG30" i="1" s="1"/>
  <c r="AG31" i="1" a="1"/>
  <c r="AG31" i="1" s="1"/>
  <c r="AG32" i="1" a="1"/>
  <c r="AG32" i="1" s="1"/>
  <c r="AG33" i="1" a="1"/>
  <c r="AG33" i="1" s="1"/>
  <c r="AG34" i="1" a="1"/>
  <c r="AG34" i="1" s="1"/>
  <c r="AG35" i="1" a="1"/>
  <c r="AG35" i="1" s="1"/>
  <c r="AG36" i="1" a="1"/>
  <c r="AG36" i="1" s="1"/>
  <c r="AG37" i="1" a="1"/>
  <c r="AG37" i="1" s="1"/>
  <c r="AG38" i="1" a="1"/>
  <c r="AG38" i="1" s="1"/>
  <c r="AG39" i="1" a="1"/>
  <c r="AG39" i="1" s="1"/>
  <c r="AG40" i="1" a="1"/>
  <c r="AG40" i="1" s="1"/>
  <c r="AG41" i="1" a="1"/>
  <c r="AG41" i="1" s="1"/>
  <c r="AG42" i="1" a="1"/>
  <c r="AG42" i="1" s="1"/>
  <c r="AG43" i="1" a="1"/>
  <c r="AG43" i="1" s="1"/>
  <c r="AG44" i="1" a="1"/>
  <c r="AG44" i="1" s="1"/>
  <c r="AG45" i="1" a="1"/>
  <c r="AG45" i="1" s="1"/>
  <c r="AG46" i="1" a="1"/>
  <c r="AG46" i="1" s="1"/>
  <c r="AG47" i="1" a="1"/>
  <c r="AG47" i="1" s="1"/>
  <c r="AG48" i="1" a="1"/>
  <c r="AG48" i="1" s="1"/>
  <c r="AG49" i="1" a="1"/>
  <c r="AG49" i="1" s="1"/>
  <c r="AG50" i="1" a="1"/>
  <c r="AG50" i="1" s="1"/>
  <c r="AG51" i="1" a="1"/>
  <c r="AG51" i="1" s="1"/>
  <c r="AG52" i="1" a="1"/>
  <c r="AG52" i="1" s="1"/>
  <c r="AG53" i="1" a="1"/>
  <c r="AG53" i="1" s="1"/>
  <c r="AG54" i="1" a="1"/>
  <c r="AG54" i="1" s="1"/>
  <c r="AG55" i="1" a="1"/>
  <c r="AG55" i="1" s="1"/>
  <c r="AG56" i="1" a="1"/>
  <c r="AG56" i="1" s="1"/>
  <c r="AG57" i="1" a="1"/>
  <c r="AG57" i="1" s="1"/>
  <c r="AG58" i="1" a="1"/>
  <c r="AG58" i="1" s="1"/>
  <c r="AG59" i="1" a="1"/>
  <c r="AG59" i="1" s="1"/>
  <c r="AG60" i="1" a="1"/>
  <c r="AG60" i="1" s="1"/>
  <c r="AG61" i="1" a="1"/>
  <c r="AG61" i="1" s="1"/>
  <c r="AG62" i="1" a="1"/>
  <c r="AG62" i="1" s="1"/>
  <c r="AG63" i="1" a="1"/>
  <c r="AG63" i="1" s="1"/>
  <c r="AG64" i="1" a="1"/>
  <c r="AG64" i="1" s="1"/>
  <c r="AG65" i="1" a="1"/>
  <c r="AG65" i="1" s="1"/>
  <c r="AG66" i="1" a="1"/>
  <c r="AG66" i="1" s="1"/>
  <c r="AG67" i="1" a="1"/>
  <c r="AG67" i="1" s="1"/>
  <c r="AG68" i="1" a="1"/>
  <c r="AG68" i="1" s="1"/>
  <c r="AG69" i="1" a="1"/>
  <c r="AG69" i="1" s="1"/>
  <c r="AG70" i="1" a="1"/>
  <c r="AG70" i="1" s="1"/>
  <c r="AG71" i="1" a="1"/>
  <c r="AG71" i="1" s="1"/>
  <c r="AG72" i="1" a="1"/>
  <c r="AG72" i="1" s="1"/>
  <c r="AG73" i="1" a="1"/>
  <c r="AG73" i="1" s="1"/>
  <c r="AG74" i="1" a="1"/>
  <c r="AG74" i="1" s="1"/>
  <c r="AG75" i="1" a="1"/>
  <c r="AG75" i="1" s="1"/>
  <c r="AG76" i="1" a="1"/>
  <c r="AG76" i="1" s="1"/>
  <c r="AG77" i="1" a="1"/>
  <c r="AG77" i="1" s="1"/>
  <c r="AG78" i="1" a="1"/>
  <c r="AG78" i="1" s="1"/>
  <c r="AG79" i="1" a="1"/>
  <c r="AG79" i="1" s="1"/>
  <c r="AG80" i="1" a="1"/>
  <c r="AG80" i="1" s="1"/>
  <c r="AG81" i="1" a="1"/>
  <c r="AG81" i="1" s="1"/>
  <c r="AG82" i="1" a="1"/>
  <c r="AG82" i="1" s="1"/>
  <c r="AG83" i="1" a="1"/>
  <c r="AG83" i="1" s="1"/>
  <c r="AG84" i="1" a="1"/>
  <c r="AG84" i="1" s="1"/>
  <c r="AG85" i="1" a="1"/>
  <c r="AG85" i="1" s="1"/>
  <c r="AG86" i="1" a="1"/>
  <c r="AG86" i="1" s="1"/>
  <c r="AG87" i="1" a="1"/>
  <c r="AG87" i="1" s="1"/>
  <c r="AG88" i="1" a="1"/>
  <c r="AG88" i="1" s="1"/>
  <c r="AG89" i="1" a="1"/>
  <c r="AG89" i="1" s="1"/>
  <c r="AG90" i="1" a="1"/>
  <c r="AG90" i="1" s="1"/>
  <c r="AG91" i="1" a="1"/>
  <c r="AG91" i="1" s="1"/>
  <c r="AG92" i="1" a="1"/>
  <c r="AG92" i="1" s="1"/>
  <c r="AG93" i="1" a="1"/>
  <c r="AG93" i="1" s="1"/>
  <c r="AG94" i="1" a="1"/>
  <c r="AG94" i="1" s="1"/>
  <c r="AG95" i="1" a="1"/>
  <c r="AG95" i="1" s="1"/>
  <c r="AG96" i="1" a="1"/>
  <c r="AG96" i="1" s="1"/>
  <c r="AG97" i="1" a="1"/>
  <c r="AG97" i="1" s="1"/>
  <c r="AG98" i="1" a="1"/>
  <c r="AG98" i="1" s="1"/>
  <c r="AG99" i="1" a="1"/>
  <c r="AG99" i="1" s="1"/>
  <c r="AG100" i="1" a="1"/>
  <c r="AG100" i="1" s="1"/>
  <c r="AG101" i="1" a="1"/>
  <c r="AG101" i="1" s="1"/>
  <c r="AG102" i="1" a="1"/>
  <c r="AG102" i="1" s="1"/>
  <c r="AG103" i="1" a="1"/>
  <c r="AG103" i="1" s="1"/>
  <c r="AG104" i="1" a="1"/>
  <c r="AG104" i="1" s="1"/>
  <c r="AG105" i="1" a="1"/>
  <c r="AG105" i="1" s="1"/>
  <c r="AG106" i="1" a="1"/>
  <c r="AG106" i="1" s="1"/>
  <c r="AG107" i="1" a="1"/>
  <c r="AG107" i="1" s="1"/>
  <c r="AG108" i="1" a="1"/>
  <c r="AG108" i="1" s="1"/>
  <c r="AG109" i="1" a="1"/>
  <c r="AG109" i="1" s="1"/>
  <c r="AG110" i="1" a="1"/>
  <c r="AG110" i="1" s="1"/>
  <c r="AG111" i="1" a="1"/>
  <c r="AG111" i="1" s="1"/>
  <c r="AG112" i="1" a="1"/>
  <c r="AG112" i="1" s="1"/>
  <c r="AG113" i="1" a="1"/>
  <c r="AG113" i="1" s="1"/>
  <c r="AG114" i="1" a="1"/>
  <c r="AG114" i="1" s="1"/>
  <c r="AG115" i="1" a="1"/>
  <c r="AG115" i="1" s="1"/>
  <c r="AG116" i="1" a="1"/>
  <c r="AG116" i="1" s="1"/>
  <c r="AG117" i="1" a="1"/>
  <c r="AG117" i="1" s="1"/>
  <c r="AG118" i="1" a="1"/>
  <c r="AG118" i="1" s="1"/>
  <c r="AG119" i="1" a="1"/>
  <c r="AG119" i="1" s="1"/>
  <c r="AG120" i="1" a="1"/>
  <c r="AG120" i="1" s="1"/>
  <c r="AG121" i="1" a="1"/>
  <c r="AG121" i="1" s="1"/>
  <c r="AG122" i="1" a="1"/>
  <c r="AG122" i="1" s="1"/>
  <c r="AG123" i="1" a="1"/>
  <c r="AG123" i="1" s="1"/>
  <c r="AG124" i="1" a="1"/>
  <c r="AG124" i="1" s="1"/>
  <c r="AG125" i="1" a="1"/>
  <c r="AG125" i="1" s="1"/>
  <c r="AG126" i="1" a="1"/>
  <c r="AG126" i="1" s="1"/>
  <c r="AG127" i="1" a="1"/>
  <c r="AG127" i="1" s="1"/>
  <c r="AG128" i="1" a="1"/>
  <c r="AG128" i="1" s="1"/>
  <c r="AG129" i="1" a="1"/>
  <c r="AG129" i="1" s="1"/>
  <c r="AG130" i="1" a="1"/>
  <c r="AG130" i="1" s="1"/>
  <c r="AG131" i="1" a="1"/>
  <c r="AG131" i="1" s="1"/>
  <c r="AG132" i="1" a="1"/>
  <c r="AG132" i="1" s="1"/>
  <c r="AG133" i="1" a="1"/>
  <c r="AG133" i="1" s="1"/>
  <c r="AG134" i="1" a="1"/>
  <c r="AG134" i="1" s="1"/>
  <c r="AG135" i="1" a="1"/>
  <c r="AG135" i="1" s="1"/>
  <c r="AG136" i="1" a="1"/>
  <c r="AG136" i="1" s="1"/>
  <c r="AG137" i="1" a="1"/>
  <c r="AG137" i="1" s="1"/>
  <c r="AG138" i="1" a="1"/>
  <c r="AG138" i="1" s="1"/>
  <c r="AG139" i="1" a="1"/>
  <c r="AG139" i="1" s="1"/>
  <c r="AG140" i="1" a="1"/>
  <c r="AG140" i="1" s="1"/>
  <c r="AG141" i="1" a="1"/>
  <c r="AG141" i="1" s="1"/>
  <c r="AG142" i="1" a="1"/>
  <c r="AG142" i="1" s="1"/>
  <c r="AG143" i="1" a="1"/>
  <c r="AG143" i="1" s="1"/>
  <c r="AG144" i="1" a="1"/>
  <c r="AG144" i="1" s="1"/>
  <c r="AG145" i="1" a="1"/>
  <c r="AG145" i="1" s="1"/>
  <c r="AG146" i="1" a="1"/>
  <c r="AG146" i="1" s="1"/>
  <c r="AG147" i="1" a="1"/>
  <c r="AG147" i="1" s="1"/>
  <c r="AG148" i="1" a="1"/>
  <c r="AG148" i="1" s="1"/>
  <c r="AG149" i="1" a="1"/>
  <c r="AG149" i="1" s="1"/>
  <c r="AG150" i="1" a="1"/>
  <c r="AG150" i="1" s="1"/>
  <c r="AG151" i="1" a="1"/>
  <c r="AG151" i="1" s="1"/>
  <c r="AG152" i="1" a="1"/>
  <c r="AG152" i="1" s="1"/>
  <c r="AG153" i="1" a="1"/>
  <c r="AG153" i="1" s="1"/>
  <c r="AG154" i="1" a="1"/>
  <c r="AG154" i="1" s="1"/>
  <c r="AG155" i="1" a="1"/>
  <c r="AG155" i="1" s="1"/>
  <c r="AG156" i="1" a="1"/>
  <c r="AG156" i="1" s="1"/>
  <c r="AG157" i="1" a="1"/>
  <c r="AG157" i="1" s="1"/>
  <c r="AG158" i="1" a="1"/>
  <c r="AG158" i="1" s="1"/>
  <c r="AG159" i="1" a="1"/>
  <c r="AG159" i="1" s="1"/>
  <c r="AG160" i="1" a="1"/>
  <c r="AG160" i="1" s="1"/>
  <c r="AG161" i="1" a="1"/>
  <c r="AG161" i="1" s="1"/>
  <c r="AG162" i="1" a="1"/>
  <c r="AG162" i="1" s="1"/>
  <c r="AG163" i="1" a="1"/>
  <c r="AG163" i="1" s="1"/>
  <c r="AG164" i="1" a="1"/>
  <c r="AG164" i="1" s="1"/>
  <c r="AG165" i="1" a="1"/>
  <c r="AG165" i="1" s="1"/>
  <c r="AG166" i="1" a="1"/>
  <c r="AG166" i="1" s="1"/>
  <c r="AG167" i="1" a="1"/>
  <c r="AG167" i="1" s="1"/>
  <c r="AG168" i="1" a="1"/>
  <c r="AG168" i="1" s="1"/>
  <c r="AG169" i="1" a="1"/>
  <c r="AG169" i="1" s="1"/>
  <c r="AG170" i="1" a="1"/>
  <c r="AG170" i="1" s="1"/>
  <c r="AG171" i="1" a="1"/>
  <c r="AG171" i="1" s="1"/>
  <c r="AG172" i="1" a="1"/>
  <c r="AG172" i="1" s="1"/>
  <c r="AG173" i="1" a="1"/>
  <c r="AG173" i="1" s="1"/>
  <c r="AG174" i="1" a="1"/>
  <c r="AG174" i="1" s="1"/>
  <c r="AG175" i="1" a="1"/>
  <c r="AG175" i="1" s="1"/>
  <c r="AG176" i="1" a="1"/>
  <c r="AG176" i="1" s="1"/>
  <c r="AG177" i="1" a="1"/>
  <c r="AG177" i="1" s="1"/>
  <c r="AG178" i="1" a="1"/>
  <c r="AG178" i="1" s="1"/>
  <c r="AG179" i="1" a="1"/>
  <c r="AG179" i="1" s="1"/>
  <c r="AG180" i="1" a="1"/>
  <c r="AG180" i="1" s="1"/>
  <c r="AG181" i="1" a="1"/>
  <c r="AG181" i="1" s="1"/>
  <c r="AG182" i="1" a="1"/>
  <c r="AG182" i="1" s="1"/>
  <c r="AG183" i="1" a="1"/>
  <c r="AG183" i="1" s="1"/>
  <c r="AG184" i="1" a="1"/>
  <c r="AG184" i="1" s="1"/>
  <c r="AG185" i="1" a="1"/>
  <c r="AG185" i="1" s="1"/>
  <c r="AG186" i="1" a="1"/>
  <c r="AG186" i="1" s="1"/>
  <c r="AG187" i="1" a="1"/>
  <c r="AG187" i="1" s="1"/>
  <c r="AG188" i="1" a="1"/>
  <c r="AG188" i="1" s="1"/>
  <c r="AG189" i="1" a="1"/>
  <c r="AG189" i="1" s="1"/>
  <c r="AG190" i="1" a="1"/>
  <c r="AG190" i="1" s="1"/>
  <c r="AG191" i="1" a="1"/>
  <c r="AG191" i="1" s="1"/>
  <c r="AG192" i="1" a="1"/>
  <c r="AG192" i="1" s="1"/>
  <c r="AG193" i="1" a="1"/>
  <c r="AG193" i="1" s="1"/>
  <c r="AG194" i="1" a="1"/>
  <c r="AG194" i="1" s="1"/>
  <c r="AG195" i="1" a="1"/>
  <c r="AG195" i="1" s="1"/>
  <c r="AG196" i="1" a="1"/>
  <c r="AG196" i="1" s="1"/>
  <c r="AG197" i="1" a="1"/>
  <c r="AG197" i="1" s="1"/>
  <c r="AG198" i="1" a="1"/>
  <c r="AG198" i="1" s="1"/>
  <c r="AG199" i="1" a="1"/>
  <c r="AG199" i="1" s="1"/>
  <c r="AG200" i="1" a="1"/>
  <c r="AG200" i="1" s="1"/>
  <c r="AG201" i="1" a="1"/>
  <c r="AG201" i="1" s="1"/>
  <c r="AG202" i="1" a="1"/>
  <c r="AG202" i="1" s="1"/>
  <c r="AG12" i="1" a="1"/>
  <c r="AG12" i="1" s="1"/>
  <c r="AF13" i="1" a="1"/>
  <c r="AF13" i="1" s="1"/>
  <c r="AF14" i="1" a="1"/>
  <c r="AF14" i="1" s="1"/>
  <c r="AF15" i="1" a="1"/>
  <c r="AF15" i="1" s="1"/>
  <c r="AF16" i="1" a="1"/>
  <c r="AF16" i="1" s="1"/>
  <c r="AF17" i="1" a="1"/>
  <c r="AF17" i="1" s="1"/>
  <c r="AF18" i="1" a="1"/>
  <c r="AF18" i="1" s="1"/>
  <c r="AF19" i="1" a="1"/>
  <c r="AF19" i="1" s="1"/>
  <c r="AF20" i="1" a="1"/>
  <c r="AF20" i="1" s="1"/>
  <c r="AF21" i="1" a="1"/>
  <c r="AF21" i="1" s="1"/>
  <c r="AF22" i="1" a="1"/>
  <c r="AF22" i="1" s="1"/>
  <c r="AF23" i="1" a="1"/>
  <c r="AF23" i="1" s="1"/>
  <c r="AF24" i="1" a="1"/>
  <c r="AF24" i="1" s="1"/>
  <c r="AF25" i="1" a="1"/>
  <c r="AF25" i="1" s="1"/>
  <c r="AF26" i="1" a="1"/>
  <c r="AF26" i="1" s="1"/>
  <c r="AF27" i="1" a="1"/>
  <c r="AF27" i="1" s="1"/>
  <c r="AF28" i="1" a="1"/>
  <c r="AF28" i="1" s="1"/>
  <c r="AF29" i="1" a="1"/>
  <c r="AF29" i="1" s="1"/>
  <c r="AF30" i="1" a="1"/>
  <c r="AF30" i="1" s="1"/>
  <c r="AF31" i="1" a="1"/>
  <c r="AF31" i="1" s="1"/>
  <c r="AF32" i="1" a="1"/>
  <c r="AF32" i="1" s="1"/>
  <c r="AF33" i="1" a="1"/>
  <c r="AF33" i="1" s="1"/>
  <c r="AF34" i="1" a="1"/>
  <c r="AF34" i="1" s="1"/>
  <c r="AF35" i="1" a="1"/>
  <c r="AF35" i="1" s="1"/>
  <c r="AF36" i="1" a="1"/>
  <c r="AF36" i="1" s="1"/>
  <c r="AF37" i="1" a="1"/>
  <c r="AF37" i="1" s="1"/>
  <c r="AF38" i="1" a="1"/>
  <c r="AF38" i="1" s="1"/>
  <c r="AF39" i="1" a="1"/>
  <c r="AF39" i="1" s="1"/>
  <c r="AF40" i="1" a="1"/>
  <c r="AF40" i="1" s="1"/>
  <c r="AF41" i="1" a="1"/>
  <c r="AF41" i="1" s="1"/>
  <c r="AF42" i="1" a="1"/>
  <c r="AF42" i="1" s="1"/>
  <c r="AF43" i="1" a="1"/>
  <c r="AF43" i="1" s="1"/>
  <c r="AF44" i="1" a="1"/>
  <c r="AF44" i="1" s="1"/>
  <c r="AF45" i="1" a="1"/>
  <c r="AF45" i="1" s="1"/>
  <c r="AF46" i="1" a="1"/>
  <c r="AF46" i="1" s="1"/>
  <c r="AF47" i="1" a="1"/>
  <c r="AF47" i="1" s="1"/>
  <c r="AF48" i="1" a="1"/>
  <c r="AF48" i="1" s="1"/>
  <c r="AF49" i="1" a="1"/>
  <c r="AF49" i="1" s="1"/>
  <c r="AF50" i="1" a="1"/>
  <c r="AF50" i="1" s="1"/>
  <c r="AF51" i="1" a="1"/>
  <c r="AF51" i="1" s="1"/>
  <c r="AF52" i="1" a="1"/>
  <c r="AF52" i="1" s="1"/>
  <c r="AF53" i="1" a="1"/>
  <c r="AF53" i="1" s="1"/>
  <c r="AF54" i="1" a="1"/>
  <c r="AF54" i="1" s="1"/>
  <c r="AF55" i="1" a="1"/>
  <c r="AF55" i="1" s="1"/>
  <c r="AF56" i="1" a="1"/>
  <c r="AF56" i="1" s="1"/>
  <c r="AF57" i="1" a="1"/>
  <c r="AF57" i="1" s="1"/>
  <c r="AF58" i="1" a="1"/>
  <c r="AF58" i="1" s="1"/>
  <c r="AF59" i="1" a="1"/>
  <c r="AF59" i="1" s="1"/>
  <c r="AF60" i="1" a="1"/>
  <c r="AF60" i="1" s="1"/>
  <c r="AF61" i="1" a="1"/>
  <c r="AF61" i="1" s="1"/>
  <c r="AF62" i="1" a="1"/>
  <c r="AF62" i="1" s="1"/>
  <c r="AF63" i="1" a="1"/>
  <c r="AF63" i="1" s="1"/>
  <c r="AF64" i="1" a="1"/>
  <c r="AF64" i="1" s="1"/>
  <c r="AF65" i="1" a="1"/>
  <c r="AF65" i="1" s="1"/>
  <c r="AF66" i="1" a="1"/>
  <c r="AF66" i="1" s="1"/>
  <c r="AF67" i="1" a="1"/>
  <c r="AF67" i="1" s="1"/>
  <c r="AF68" i="1" a="1"/>
  <c r="AF68" i="1" s="1"/>
  <c r="AF69" i="1" a="1"/>
  <c r="AF69" i="1" s="1"/>
  <c r="AF70" i="1" a="1"/>
  <c r="AF70" i="1" s="1"/>
  <c r="AF71" i="1" a="1"/>
  <c r="AF71" i="1" s="1"/>
  <c r="AF72" i="1" a="1"/>
  <c r="AF72" i="1" s="1"/>
  <c r="AF73" i="1" a="1"/>
  <c r="AF73" i="1" s="1"/>
  <c r="AF74" i="1" a="1"/>
  <c r="AF74" i="1" s="1"/>
  <c r="AF75" i="1" a="1"/>
  <c r="AF75" i="1" s="1"/>
  <c r="AF76" i="1" a="1"/>
  <c r="AF76" i="1" s="1"/>
  <c r="AF77" i="1" a="1"/>
  <c r="AF77" i="1" s="1"/>
  <c r="AF78" i="1" a="1"/>
  <c r="AF78" i="1" s="1"/>
  <c r="AF79" i="1" a="1"/>
  <c r="AF79" i="1" s="1"/>
  <c r="AF80" i="1" a="1"/>
  <c r="AF80" i="1" s="1"/>
  <c r="AF81" i="1" a="1"/>
  <c r="AF81" i="1" s="1"/>
  <c r="AF82" i="1" a="1"/>
  <c r="AF82" i="1" s="1"/>
  <c r="AF83" i="1" a="1"/>
  <c r="AF83" i="1" s="1"/>
  <c r="AF84" i="1" a="1"/>
  <c r="AF84" i="1" s="1"/>
  <c r="AF85" i="1" a="1"/>
  <c r="AF85" i="1" s="1"/>
  <c r="AF86" i="1" a="1"/>
  <c r="AF86" i="1" s="1"/>
  <c r="AF87" i="1" a="1"/>
  <c r="AF87" i="1" s="1"/>
  <c r="AF88" i="1" a="1"/>
  <c r="AF88" i="1" s="1"/>
  <c r="AF89" i="1" a="1"/>
  <c r="AF89" i="1" s="1"/>
  <c r="AF90" i="1" a="1"/>
  <c r="AF90" i="1" s="1"/>
  <c r="AF91" i="1" a="1"/>
  <c r="AF91" i="1" s="1"/>
  <c r="AF92" i="1" a="1"/>
  <c r="AF92" i="1" s="1"/>
  <c r="AF93" i="1" a="1"/>
  <c r="AF93" i="1" s="1"/>
  <c r="AF94" i="1" a="1"/>
  <c r="AF94" i="1" s="1"/>
  <c r="AF95" i="1" a="1"/>
  <c r="AF95" i="1" s="1"/>
  <c r="AF96" i="1" a="1"/>
  <c r="AF96" i="1" s="1"/>
  <c r="AF97" i="1" a="1"/>
  <c r="AF97" i="1" s="1"/>
  <c r="AF98" i="1" a="1"/>
  <c r="AF98" i="1" s="1"/>
  <c r="AF99" i="1" a="1"/>
  <c r="AF99" i="1" s="1"/>
  <c r="AF100" i="1" a="1"/>
  <c r="AF100" i="1" s="1"/>
  <c r="AF101" i="1" a="1"/>
  <c r="AF101" i="1" s="1"/>
  <c r="AF102" i="1" a="1"/>
  <c r="AF102" i="1" s="1"/>
  <c r="AF103" i="1" a="1"/>
  <c r="AF103" i="1" s="1"/>
  <c r="AF104" i="1" a="1"/>
  <c r="AF104" i="1" s="1"/>
  <c r="AF105" i="1" a="1"/>
  <c r="AF105" i="1" s="1"/>
  <c r="AF106" i="1" a="1"/>
  <c r="AF106" i="1" s="1"/>
  <c r="AF107" i="1" a="1"/>
  <c r="AF107" i="1" s="1"/>
  <c r="AF108" i="1" a="1"/>
  <c r="AF108" i="1" s="1"/>
  <c r="AF109" i="1" a="1"/>
  <c r="AF109" i="1" s="1"/>
  <c r="AF110" i="1" a="1"/>
  <c r="AF110" i="1" s="1"/>
  <c r="AF111" i="1" a="1"/>
  <c r="AF111" i="1" s="1"/>
  <c r="AF112" i="1" a="1"/>
  <c r="AF112" i="1" s="1"/>
  <c r="AF113" i="1" a="1"/>
  <c r="AF113" i="1" s="1"/>
  <c r="AF114" i="1" a="1"/>
  <c r="AF114" i="1" s="1"/>
  <c r="AF115" i="1" a="1"/>
  <c r="AF115" i="1" s="1"/>
  <c r="AF116" i="1" a="1"/>
  <c r="AF116" i="1" s="1"/>
  <c r="AF117" i="1" a="1"/>
  <c r="AF117" i="1" s="1"/>
  <c r="AF118" i="1" a="1"/>
  <c r="AF118" i="1" s="1"/>
  <c r="AF119" i="1" a="1"/>
  <c r="AF119" i="1" s="1"/>
  <c r="AF120" i="1" a="1"/>
  <c r="AF120" i="1" s="1"/>
  <c r="AF121" i="1" a="1"/>
  <c r="AF121" i="1" s="1"/>
  <c r="AF122" i="1" a="1"/>
  <c r="AF122" i="1" s="1"/>
  <c r="AF123" i="1" a="1"/>
  <c r="AF123" i="1" s="1"/>
  <c r="AF124" i="1" a="1"/>
  <c r="AF124" i="1" s="1"/>
  <c r="AF125" i="1" a="1"/>
  <c r="AF125" i="1" s="1"/>
  <c r="AF126" i="1" a="1"/>
  <c r="AF126" i="1" s="1"/>
  <c r="AF127" i="1" a="1"/>
  <c r="AF127" i="1" s="1"/>
  <c r="AF128" i="1" a="1"/>
  <c r="AF128" i="1" s="1"/>
  <c r="AF129" i="1" a="1"/>
  <c r="AF129" i="1" s="1"/>
  <c r="AF130" i="1" a="1"/>
  <c r="AF130" i="1" s="1"/>
  <c r="AF131" i="1" a="1"/>
  <c r="AF131" i="1" s="1"/>
  <c r="AF132" i="1" a="1"/>
  <c r="AF132" i="1" s="1"/>
  <c r="AF133" i="1" a="1"/>
  <c r="AF133" i="1" s="1"/>
  <c r="AF134" i="1" a="1"/>
  <c r="AF134" i="1" s="1"/>
  <c r="AF135" i="1" a="1"/>
  <c r="AF135" i="1" s="1"/>
  <c r="AF136" i="1" a="1"/>
  <c r="AF136" i="1" s="1"/>
  <c r="AF137" i="1" a="1"/>
  <c r="AF137" i="1" s="1"/>
  <c r="AF138" i="1" a="1"/>
  <c r="AF138" i="1" s="1"/>
  <c r="AF139" i="1" a="1"/>
  <c r="AF139" i="1" s="1"/>
  <c r="AF140" i="1" a="1"/>
  <c r="AF140" i="1" s="1"/>
  <c r="AF141" i="1" a="1"/>
  <c r="AF141" i="1" s="1"/>
  <c r="AF142" i="1" a="1"/>
  <c r="AF142" i="1" s="1"/>
  <c r="AF143" i="1" a="1"/>
  <c r="AF143" i="1" s="1"/>
  <c r="AF144" i="1" a="1"/>
  <c r="AF144" i="1" s="1"/>
  <c r="AF145" i="1" a="1"/>
  <c r="AF145" i="1" s="1"/>
  <c r="AF146" i="1" a="1"/>
  <c r="AF146" i="1" s="1"/>
  <c r="AF147" i="1" a="1"/>
  <c r="AF147" i="1" s="1"/>
  <c r="AF148" i="1" a="1"/>
  <c r="AF148" i="1" s="1"/>
  <c r="AF149" i="1" a="1"/>
  <c r="AF149" i="1" s="1"/>
  <c r="AF150" i="1" a="1"/>
  <c r="AF150" i="1" s="1"/>
  <c r="AF151" i="1" a="1"/>
  <c r="AF151" i="1" s="1"/>
  <c r="AF152" i="1" a="1"/>
  <c r="AF152" i="1" s="1"/>
  <c r="AF153" i="1" a="1"/>
  <c r="AF153" i="1" s="1"/>
  <c r="AF154" i="1" a="1"/>
  <c r="AF154" i="1" s="1"/>
  <c r="AF155" i="1" a="1"/>
  <c r="AF155" i="1" s="1"/>
  <c r="AF156" i="1" a="1"/>
  <c r="AF156" i="1" s="1"/>
  <c r="AF157" i="1" a="1"/>
  <c r="AF157" i="1" s="1"/>
  <c r="AF158" i="1" a="1"/>
  <c r="AF158" i="1" s="1"/>
  <c r="AF159" i="1" a="1"/>
  <c r="AF159" i="1" s="1"/>
  <c r="AF160" i="1" a="1"/>
  <c r="AF160" i="1" s="1"/>
  <c r="AF161" i="1" a="1"/>
  <c r="AF161" i="1" s="1"/>
  <c r="AF162" i="1" a="1"/>
  <c r="AF162" i="1" s="1"/>
  <c r="AF163" i="1" a="1"/>
  <c r="AF163" i="1" s="1"/>
  <c r="AF164" i="1" a="1"/>
  <c r="AF164" i="1" s="1"/>
  <c r="AF165" i="1" a="1"/>
  <c r="AF165" i="1" s="1"/>
  <c r="AF166" i="1" a="1"/>
  <c r="AF166" i="1" s="1"/>
  <c r="AF167" i="1" a="1"/>
  <c r="AF167" i="1" s="1"/>
  <c r="AF168" i="1" a="1"/>
  <c r="AF168" i="1" s="1"/>
  <c r="AF169" i="1" a="1"/>
  <c r="AF169" i="1" s="1"/>
  <c r="AF170" i="1" a="1"/>
  <c r="AF170" i="1" s="1"/>
  <c r="AF171" i="1" a="1"/>
  <c r="AF171" i="1" s="1"/>
  <c r="AF172" i="1" a="1"/>
  <c r="AF172" i="1" s="1"/>
  <c r="AF173" i="1" a="1"/>
  <c r="AF173" i="1" s="1"/>
  <c r="AF174" i="1" a="1"/>
  <c r="AF174" i="1" s="1"/>
  <c r="AF175" i="1" a="1"/>
  <c r="AF175" i="1" s="1"/>
  <c r="AF176" i="1" a="1"/>
  <c r="AF176" i="1" s="1"/>
  <c r="AF177" i="1" a="1"/>
  <c r="AF177" i="1" s="1"/>
  <c r="AF178" i="1" a="1"/>
  <c r="AF178" i="1" s="1"/>
  <c r="AF179" i="1" a="1"/>
  <c r="AF179" i="1" s="1"/>
  <c r="AF180" i="1" a="1"/>
  <c r="AF180" i="1" s="1"/>
  <c r="AF181" i="1" a="1"/>
  <c r="AF181" i="1" s="1"/>
  <c r="AF182" i="1" a="1"/>
  <c r="AF182" i="1" s="1"/>
  <c r="AF183" i="1" a="1"/>
  <c r="AF183" i="1" s="1"/>
  <c r="AF184" i="1" a="1"/>
  <c r="AF184" i="1" s="1"/>
  <c r="AF185" i="1" a="1"/>
  <c r="AF185" i="1" s="1"/>
  <c r="AF186" i="1" a="1"/>
  <c r="AF186" i="1" s="1"/>
  <c r="AF187" i="1" a="1"/>
  <c r="AF187" i="1" s="1"/>
  <c r="AF188" i="1" a="1"/>
  <c r="AF188" i="1" s="1"/>
  <c r="AF189" i="1" a="1"/>
  <c r="AF189" i="1" s="1"/>
  <c r="AF190" i="1" a="1"/>
  <c r="AF190" i="1" s="1"/>
  <c r="AF191" i="1" a="1"/>
  <c r="AF191" i="1" s="1"/>
  <c r="AF192" i="1" a="1"/>
  <c r="AF192" i="1" s="1"/>
  <c r="AF193" i="1" a="1"/>
  <c r="AF193" i="1" s="1"/>
  <c r="AF194" i="1" a="1"/>
  <c r="AF194" i="1" s="1"/>
  <c r="AF195" i="1" a="1"/>
  <c r="AF195" i="1" s="1"/>
  <c r="AF196" i="1" a="1"/>
  <c r="AF196" i="1" s="1"/>
  <c r="AF197" i="1" a="1"/>
  <c r="AF197" i="1" s="1"/>
  <c r="AF198" i="1" a="1"/>
  <c r="AF198" i="1" s="1"/>
  <c r="AF199" i="1" a="1"/>
  <c r="AF199" i="1" s="1"/>
  <c r="AF200" i="1" a="1"/>
  <c r="AF200" i="1" s="1"/>
  <c r="AF201" i="1" a="1"/>
  <c r="AF201" i="1" s="1"/>
  <c r="AF202" i="1" a="1"/>
  <c r="AF202" i="1" s="1"/>
  <c r="AF12" i="1" a="1"/>
  <c r="AF12" i="1" s="1"/>
  <c r="AE13" i="1" a="1"/>
  <c r="AE13" i="1" s="1"/>
  <c r="AE14" i="1" a="1"/>
  <c r="AE14" i="1" s="1"/>
  <c r="AE15" i="1" a="1"/>
  <c r="AE15" i="1" s="1"/>
  <c r="AE16" i="1" a="1"/>
  <c r="AE16" i="1" s="1"/>
  <c r="AE17" i="1" a="1"/>
  <c r="AE17" i="1" s="1"/>
  <c r="AE18" i="1" a="1"/>
  <c r="AE18" i="1" s="1"/>
  <c r="AE19" i="1" a="1"/>
  <c r="AE19" i="1" s="1"/>
  <c r="AE20" i="1" a="1"/>
  <c r="AE20" i="1" s="1"/>
  <c r="AE21" i="1" a="1"/>
  <c r="AE21" i="1" s="1"/>
  <c r="AE22" i="1" a="1"/>
  <c r="AE22" i="1" s="1"/>
  <c r="AE23" i="1" a="1"/>
  <c r="AE23" i="1" s="1"/>
  <c r="AE24" i="1" a="1"/>
  <c r="AE24" i="1" s="1"/>
  <c r="AE25" i="1" a="1"/>
  <c r="AE25" i="1" s="1"/>
  <c r="AE26" i="1" a="1"/>
  <c r="AE26" i="1" s="1"/>
  <c r="AE27" i="1" a="1"/>
  <c r="AE27" i="1" s="1"/>
  <c r="AE28" i="1" a="1"/>
  <c r="AE28" i="1" s="1"/>
  <c r="AE29" i="1" a="1"/>
  <c r="AE29" i="1" s="1"/>
  <c r="AE30" i="1" a="1"/>
  <c r="AE30" i="1" s="1"/>
  <c r="AE31" i="1" a="1"/>
  <c r="AE31" i="1" s="1"/>
  <c r="AE32" i="1" a="1"/>
  <c r="AE32" i="1" s="1"/>
  <c r="AE33" i="1" a="1"/>
  <c r="AE33" i="1" s="1"/>
  <c r="AE34" i="1" a="1"/>
  <c r="AE34" i="1" s="1"/>
  <c r="AE35" i="1" a="1"/>
  <c r="AE35" i="1" s="1"/>
  <c r="AE36" i="1" a="1"/>
  <c r="AE36" i="1" s="1"/>
  <c r="AE37" i="1" a="1"/>
  <c r="AE37" i="1" s="1"/>
  <c r="AE38" i="1" a="1"/>
  <c r="AE38" i="1" s="1"/>
  <c r="AE39" i="1" a="1"/>
  <c r="AE39" i="1" s="1"/>
  <c r="AE40" i="1" a="1"/>
  <c r="AE40" i="1" s="1"/>
  <c r="AE41" i="1" a="1"/>
  <c r="AE41" i="1" s="1"/>
  <c r="AE42" i="1" a="1"/>
  <c r="AE42" i="1" s="1"/>
  <c r="AE43" i="1" a="1"/>
  <c r="AE43" i="1" s="1"/>
  <c r="AE44" i="1" a="1"/>
  <c r="AE44" i="1" s="1"/>
  <c r="AE45" i="1" a="1"/>
  <c r="AE45" i="1" s="1"/>
  <c r="AE46" i="1" a="1"/>
  <c r="AE46" i="1" s="1"/>
  <c r="AE47" i="1" a="1"/>
  <c r="AE47" i="1" s="1"/>
  <c r="AE48" i="1" a="1"/>
  <c r="AE48" i="1" s="1"/>
  <c r="AE49" i="1" a="1"/>
  <c r="AE49" i="1" s="1"/>
  <c r="AE50" i="1" a="1"/>
  <c r="AE50" i="1" s="1"/>
  <c r="AE51" i="1" a="1"/>
  <c r="AE51" i="1" s="1"/>
  <c r="AE52" i="1" a="1"/>
  <c r="AE52" i="1" s="1"/>
  <c r="AE53" i="1" a="1"/>
  <c r="AE53" i="1" s="1"/>
  <c r="AE54" i="1" a="1"/>
  <c r="AE54" i="1" s="1"/>
  <c r="AE55" i="1" a="1"/>
  <c r="AE55" i="1" s="1"/>
  <c r="AE56" i="1" a="1"/>
  <c r="AE56" i="1" s="1"/>
  <c r="AE57" i="1" a="1"/>
  <c r="AE57" i="1" s="1"/>
  <c r="AE58" i="1" a="1"/>
  <c r="AE58" i="1" s="1"/>
  <c r="AE59" i="1" a="1"/>
  <c r="AE59" i="1" s="1"/>
  <c r="AE60" i="1" a="1"/>
  <c r="AE60" i="1" s="1"/>
  <c r="AE61" i="1" a="1"/>
  <c r="AE61" i="1" s="1"/>
  <c r="AE62" i="1" a="1"/>
  <c r="AE62" i="1" s="1"/>
  <c r="AE63" i="1" a="1"/>
  <c r="AE63" i="1" s="1"/>
  <c r="AE64" i="1" a="1"/>
  <c r="AE64" i="1" s="1"/>
  <c r="AE65" i="1" a="1"/>
  <c r="AE65" i="1" s="1"/>
  <c r="AE66" i="1" a="1"/>
  <c r="AE66" i="1" s="1"/>
  <c r="AE67" i="1" a="1"/>
  <c r="AE67" i="1" s="1"/>
  <c r="AE68" i="1" a="1"/>
  <c r="AE68" i="1" s="1"/>
  <c r="AE69" i="1" a="1"/>
  <c r="AE69" i="1" s="1"/>
  <c r="AE70" i="1" a="1"/>
  <c r="AE70" i="1" s="1"/>
  <c r="AE71" i="1" a="1"/>
  <c r="AE71" i="1" s="1"/>
  <c r="AE72" i="1" a="1"/>
  <c r="AE72" i="1" s="1"/>
  <c r="AE73" i="1" a="1"/>
  <c r="AE73" i="1" s="1"/>
  <c r="AE74" i="1" a="1"/>
  <c r="AE74" i="1" s="1"/>
  <c r="AE75" i="1" a="1"/>
  <c r="AE75" i="1" s="1"/>
  <c r="AE76" i="1" a="1"/>
  <c r="AE76" i="1" s="1"/>
  <c r="AE77" i="1" a="1"/>
  <c r="AE77" i="1" s="1"/>
  <c r="AE78" i="1" a="1"/>
  <c r="AE78" i="1" s="1"/>
  <c r="AE79" i="1" a="1"/>
  <c r="AE79" i="1" s="1"/>
  <c r="AE80" i="1" a="1"/>
  <c r="AE80" i="1" s="1"/>
  <c r="AE81" i="1" a="1"/>
  <c r="AE81" i="1" s="1"/>
  <c r="AE82" i="1" a="1"/>
  <c r="AE82" i="1" s="1"/>
  <c r="AE83" i="1" a="1"/>
  <c r="AE83" i="1" s="1"/>
  <c r="AE84" i="1" a="1"/>
  <c r="AE84" i="1" s="1"/>
  <c r="AE85" i="1" a="1"/>
  <c r="AE85" i="1" s="1"/>
  <c r="AE86" i="1" a="1"/>
  <c r="AE86" i="1" s="1"/>
  <c r="AE87" i="1" a="1"/>
  <c r="AE87" i="1" s="1"/>
  <c r="AE88" i="1" a="1"/>
  <c r="AE88" i="1" s="1"/>
  <c r="AE89" i="1" a="1"/>
  <c r="AE89" i="1" s="1"/>
  <c r="AE90" i="1" a="1"/>
  <c r="AE90" i="1" s="1"/>
  <c r="AE91" i="1" a="1"/>
  <c r="AE91" i="1" s="1"/>
  <c r="AE92" i="1" a="1"/>
  <c r="AE92" i="1" s="1"/>
  <c r="AE93" i="1" a="1"/>
  <c r="AE93" i="1" s="1"/>
  <c r="AE94" i="1" a="1"/>
  <c r="AE94" i="1" s="1"/>
  <c r="AE95" i="1" a="1"/>
  <c r="AE95" i="1" s="1"/>
  <c r="AE96" i="1" a="1"/>
  <c r="AE96" i="1" s="1"/>
  <c r="AE97" i="1" a="1"/>
  <c r="AE97" i="1" s="1"/>
  <c r="AE98" i="1" a="1"/>
  <c r="AE98" i="1" s="1"/>
  <c r="AE99" i="1" a="1"/>
  <c r="AE99" i="1" s="1"/>
  <c r="AE100" i="1" a="1"/>
  <c r="AE100" i="1" s="1"/>
  <c r="AE101" i="1" a="1"/>
  <c r="AE101" i="1" s="1"/>
  <c r="AE102" i="1" a="1"/>
  <c r="AE102" i="1" s="1"/>
  <c r="AE103" i="1" a="1"/>
  <c r="AE103" i="1" s="1"/>
  <c r="AE104" i="1" a="1"/>
  <c r="AE104" i="1" s="1"/>
  <c r="AE105" i="1" a="1"/>
  <c r="AE105" i="1" s="1"/>
  <c r="AE106" i="1" a="1"/>
  <c r="AE106" i="1" s="1"/>
  <c r="AE107" i="1" a="1"/>
  <c r="AE107" i="1" s="1"/>
  <c r="AE108" i="1" a="1"/>
  <c r="AE108" i="1" s="1"/>
  <c r="AE109" i="1" a="1"/>
  <c r="AE109" i="1" s="1"/>
  <c r="AE110" i="1" a="1"/>
  <c r="AE110" i="1" s="1"/>
  <c r="AE111" i="1" a="1"/>
  <c r="AE111" i="1" s="1"/>
  <c r="AE112" i="1" a="1"/>
  <c r="AE112" i="1" s="1"/>
  <c r="AE113" i="1" a="1"/>
  <c r="AE113" i="1" s="1"/>
  <c r="AE114" i="1" a="1"/>
  <c r="AE114" i="1" s="1"/>
  <c r="AE115" i="1" a="1"/>
  <c r="AE115" i="1" s="1"/>
  <c r="AE116" i="1" a="1"/>
  <c r="AE116" i="1" s="1"/>
  <c r="AE117" i="1" a="1"/>
  <c r="AE117" i="1" s="1"/>
  <c r="AE118" i="1" a="1"/>
  <c r="AE118" i="1" s="1"/>
  <c r="AE119" i="1" a="1"/>
  <c r="AE119" i="1" s="1"/>
  <c r="AE120" i="1" a="1"/>
  <c r="AE120" i="1" s="1"/>
  <c r="AE121" i="1" a="1"/>
  <c r="AE121" i="1" s="1"/>
  <c r="AE122" i="1" a="1"/>
  <c r="AE122" i="1" s="1"/>
  <c r="AE123" i="1" a="1"/>
  <c r="AE123" i="1" s="1"/>
  <c r="AE124" i="1" a="1"/>
  <c r="AE124" i="1" s="1"/>
  <c r="AE125" i="1" a="1"/>
  <c r="AE125" i="1" s="1"/>
  <c r="AE126" i="1" a="1"/>
  <c r="AE126" i="1" s="1"/>
  <c r="AE127" i="1" a="1"/>
  <c r="AE127" i="1" s="1"/>
  <c r="AE128" i="1" a="1"/>
  <c r="AE128" i="1" s="1"/>
  <c r="AE129" i="1" a="1"/>
  <c r="AE129" i="1" s="1"/>
  <c r="AE130" i="1" a="1"/>
  <c r="AE130" i="1" s="1"/>
  <c r="AE131" i="1" a="1"/>
  <c r="AE131" i="1" s="1"/>
  <c r="AE132" i="1" a="1"/>
  <c r="AE132" i="1" s="1"/>
  <c r="AE133" i="1" a="1"/>
  <c r="AE133" i="1" s="1"/>
  <c r="AE134" i="1" a="1"/>
  <c r="AE134" i="1" s="1"/>
  <c r="AE135" i="1" a="1"/>
  <c r="AE135" i="1" s="1"/>
  <c r="AE136" i="1" a="1"/>
  <c r="AE136" i="1" s="1"/>
  <c r="AE137" i="1" a="1"/>
  <c r="AE137" i="1" s="1"/>
  <c r="AE138" i="1" a="1"/>
  <c r="AE138" i="1" s="1"/>
  <c r="AE139" i="1" a="1"/>
  <c r="AE139" i="1" s="1"/>
  <c r="AE140" i="1" a="1"/>
  <c r="AE140" i="1" s="1"/>
  <c r="AE141" i="1" a="1"/>
  <c r="AE141" i="1" s="1"/>
  <c r="AE142" i="1" a="1"/>
  <c r="AE142" i="1" s="1"/>
  <c r="AE143" i="1" a="1"/>
  <c r="AE143" i="1" s="1"/>
  <c r="AE144" i="1" a="1"/>
  <c r="AE144" i="1" s="1"/>
  <c r="AE145" i="1" a="1"/>
  <c r="AE145" i="1" s="1"/>
  <c r="AE146" i="1" a="1"/>
  <c r="AE146" i="1" s="1"/>
  <c r="AE147" i="1" a="1"/>
  <c r="AE147" i="1" s="1"/>
  <c r="AE148" i="1" a="1"/>
  <c r="AE148" i="1" s="1"/>
  <c r="AE149" i="1" a="1"/>
  <c r="AE149" i="1" s="1"/>
  <c r="AE150" i="1" a="1"/>
  <c r="AE150" i="1" s="1"/>
  <c r="AE151" i="1" a="1"/>
  <c r="AE151" i="1" s="1"/>
  <c r="AE152" i="1" a="1"/>
  <c r="AE152" i="1" s="1"/>
  <c r="AE153" i="1" a="1"/>
  <c r="AE153" i="1" s="1"/>
  <c r="AE154" i="1" a="1"/>
  <c r="AE154" i="1" s="1"/>
  <c r="AE155" i="1" a="1"/>
  <c r="AE155" i="1" s="1"/>
  <c r="AE156" i="1" a="1"/>
  <c r="AE156" i="1" s="1"/>
  <c r="AE157" i="1" a="1"/>
  <c r="AE157" i="1" s="1"/>
  <c r="AE158" i="1" a="1"/>
  <c r="AE158" i="1" s="1"/>
  <c r="AE159" i="1" a="1"/>
  <c r="AE159" i="1" s="1"/>
  <c r="AE160" i="1" a="1"/>
  <c r="AE160" i="1" s="1"/>
  <c r="AE161" i="1" a="1"/>
  <c r="AE161" i="1" s="1"/>
  <c r="AE162" i="1" a="1"/>
  <c r="AE162" i="1" s="1"/>
  <c r="AE163" i="1" a="1"/>
  <c r="AE163" i="1" s="1"/>
  <c r="AE164" i="1" a="1"/>
  <c r="AE164" i="1" s="1"/>
  <c r="AE165" i="1" a="1"/>
  <c r="AE165" i="1" s="1"/>
  <c r="AE166" i="1" a="1"/>
  <c r="AE166" i="1" s="1"/>
  <c r="AE167" i="1" a="1"/>
  <c r="AE167" i="1" s="1"/>
  <c r="AE168" i="1" a="1"/>
  <c r="AE168" i="1" s="1"/>
  <c r="AE169" i="1" a="1"/>
  <c r="AE169" i="1" s="1"/>
  <c r="AE170" i="1" a="1"/>
  <c r="AE170" i="1" s="1"/>
  <c r="AE171" i="1" a="1"/>
  <c r="AE171" i="1" s="1"/>
  <c r="AE172" i="1" a="1"/>
  <c r="AE172" i="1" s="1"/>
  <c r="AE173" i="1" a="1"/>
  <c r="AE173" i="1" s="1"/>
  <c r="AE174" i="1" a="1"/>
  <c r="AE174" i="1" s="1"/>
  <c r="AE175" i="1" a="1"/>
  <c r="AE175" i="1" s="1"/>
  <c r="AE176" i="1" a="1"/>
  <c r="AE176" i="1" s="1"/>
  <c r="AE177" i="1" a="1"/>
  <c r="AE177" i="1" s="1"/>
  <c r="AE178" i="1" a="1"/>
  <c r="AE178" i="1" s="1"/>
  <c r="AE179" i="1" a="1"/>
  <c r="AE179" i="1" s="1"/>
  <c r="AE180" i="1" a="1"/>
  <c r="AE180" i="1" s="1"/>
  <c r="AE181" i="1" a="1"/>
  <c r="AE181" i="1" s="1"/>
  <c r="AE182" i="1" a="1"/>
  <c r="AE182" i="1" s="1"/>
  <c r="AE183" i="1" a="1"/>
  <c r="AE183" i="1" s="1"/>
  <c r="AE184" i="1" a="1"/>
  <c r="AE184" i="1" s="1"/>
  <c r="AE185" i="1" a="1"/>
  <c r="AE185" i="1" s="1"/>
  <c r="AE186" i="1" a="1"/>
  <c r="AE186" i="1" s="1"/>
  <c r="AE187" i="1" a="1"/>
  <c r="AE187" i="1" s="1"/>
  <c r="AE188" i="1" a="1"/>
  <c r="AE188" i="1" s="1"/>
  <c r="AE189" i="1" a="1"/>
  <c r="AE189" i="1" s="1"/>
  <c r="AE190" i="1" a="1"/>
  <c r="AE190" i="1" s="1"/>
  <c r="AE191" i="1" a="1"/>
  <c r="AE191" i="1" s="1"/>
  <c r="AE192" i="1" a="1"/>
  <c r="AE192" i="1" s="1"/>
  <c r="AE193" i="1" a="1"/>
  <c r="AE193" i="1" s="1"/>
  <c r="AE194" i="1" a="1"/>
  <c r="AE194" i="1" s="1"/>
  <c r="AE195" i="1" a="1"/>
  <c r="AE195" i="1" s="1"/>
  <c r="AE196" i="1" a="1"/>
  <c r="AE196" i="1" s="1"/>
  <c r="AE197" i="1" a="1"/>
  <c r="AE197" i="1" s="1"/>
  <c r="AE198" i="1" a="1"/>
  <c r="AE198" i="1" s="1"/>
  <c r="AE199" i="1" a="1"/>
  <c r="AE199" i="1" s="1"/>
  <c r="AE200" i="1" a="1"/>
  <c r="AE200" i="1" s="1"/>
  <c r="AE201" i="1" a="1"/>
  <c r="AE201" i="1" s="1"/>
  <c r="AE202" i="1" a="1"/>
  <c r="AE202" i="1" s="1"/>
  <c r="AE12" i="1" a="1"/>
  <c r="AE12" i="1" s="1"/>
  <c r="AD13" i="1" a="1"/>
  <c r="AD13" i="1" s="1"/>
  <c r="AD14" i="1" a="1"/>
  <c r="AD14" i="1" s="1"/>
  <c r="AD15" i="1" a="1"/>
  <c r="AD15" i="1" s="1"/>
  <c r="AD16" i="1" a="1"/>
  <c r="AD16" i="1" s="1"/>
  <c r="AD17" i="1" a="1"/>
  <c r="AD17" i="1" s="1"/>
  <c r="AD18" i="1" a="1"/>
  <c r="AD18" i="1" s="1"/>
  <c r="AD19" i="1" a="1"/>
  <c r="AD19" i="1" s="1"/>
  <c r="AD20" i="1" a="1"/>
  <c r="AD20" i="1" s="1"/>
  <c r="AD21" i="1" a="1"/>
  <c r="AD21" i="1" s="1"/>
  <c r="AD22" i="1" a="1"/>
  <c r="AD22" i="1" s="1"/>
  <c r="AD23" i="1" a="1"/>
  <c r="AD23" i="1" s="1"/>
  <c r="AD24" i="1" a="1"/>
  <c r="AD24" i="1" s="1"/>
  <c r="AD25" i="1" a="1"/>
  <c r="AD25" i="1" s="1"/>
  <c r="AD26" i="1" a="1"/>
  <c r="AD26" i="1" s="1"/>
  <c r="AD27" i="1" a="1"/>
  <c r="AD27" i="1" s="1"/>
  <c r="AD28" i="1" a="1"/>
  <c r="AD28" i="1" s="1"/>
  <c r="AD29" i="1" a="1"/>
  <c r="AD29" i="1" s="1"/>
  <c r="AD30" i="1" a="1"/>
  <c r="AD30" i="1" s="1"/>
  <c r="AD31" i="1" a="1"/>
  <c r="AD31" i="1" s="1"/>
  <c r="AD32" i="1" a="1"/>
  <c r="AD32" i="1" s="1"/>
  <c r="AD33" i="1" a="1"/>
  <c r="AD33" i="1" s="1"/>
  <c r="AD34" i="1" a="1"/>
  <c r="AD34" i="1" s="1"/>
  <c r="AD35" i="1" a="1"/>
  <c r="AD35" i="1" s="1"/>
  <c r="AD36" i="1" a="1"/>
  <c r="AD36" i="1" s="1"/>
  <c r="AD37" i="1" a="1"/>
  <c r="AD37" i="1" s="1"/>
  <c r="AD38" i="1" a="1"/>
  <c r="AD38" i="1" s="1"/>
  <c r="AD39" i="1" a="1"/>
  <c r="AD39" i="1" s="1"/>
  <c r="AD40" i="1" a="1"/>
  <c r="AD40" i="1" s="1"/>
  <c r="AD41" i="1" a="1"/>
  <c r="AD41" i="1" s="1"/>
  <c r="AD42" i="1" a="1"/>
  <c r="AD42" i="1" s="1"/>
  <c r="AD43" i="1" a="1"/>
  <c r="AD43" i="1" s="1"/>
  <c r="AD44" i="1" a="1"/>
  <c r="AD44" i="1" s="1"/>
  <c r="AD45" i="1" a="1"/>
  <c r="AD45" i="1" s="1"/>
  <c r="AD46" i="1" a="1"/>
  <c r="AD46" i="1" s="1"/>
  <c r="AD47" i="1" a="1"/>
  <c r="AD47" i="1" s="1"/>
  <c r="AD48" i="1" a="1"/>
  <c r="AD48" i="1" s="1"/>
  <c r="AD49" i="1" a="1"/>
  <c r="AD49" i="1" s="1"/>
  <c r="AD50" i="1" a="1"/>
  <c r="AD50" i="1" s="1"/>
  <c r="AD51" i="1" a="1"/>
  <c r="AD51" i="1" s="1"/>
  <c r="AD52" i="1" a="1"/>
  <c r="AD52" i="1" s="1"/>
  <c r="AD53" i="1" a="1"/>
  <c r="AD53" i="1" s="1"/>
  <c r="AD54" i="1" a="1"/>
  <c r="AD54" i="1" s="1"/>
  <c r="AD55" i="1" a="1"/>
  <c r="AD55" i="1" s="1"/>
  <c r="AD56" i="1" a="1"/>
  <c r="AD56" i="1" s="1"/>
  <c r="AD57" i="1" a="1"/>
  <c r="AD57" i="1" s="1"/>
  <c r="AD58" i="1" a="1"/>
  <c r="AD58" i="1" s="1"/>
  <c r="AD59" i="1" a="1"/>
  <c r="AD59" i="1" s="1"/>
  <c r="AD60" i="1" a="1"/>
  <c r="AD60" i="1" s="1"/>
  <c r="AD61" i="1" a="1"/>
  <c r="AD61" i="1" s="1"/>
  <c r="AD62" i="1" a="1"/>
  <c r="AD62" i="1" s="1"/>
  <c r="AD63" i="1" a="1"/>
  <c r="AD63" i="1" s="1"/>
  <c r="AD64" i="1" a="1"/>
  <c r="AD64" i="1" s="1"/>
  <c r="AD65" i="1" a="1"/>
  <c r="AD65" i="1" s="1"/>
  <c r="AD66" i="1" a="1"/>
  <c r="AD66" i="1" s="1"/>
  <c r="AD67" i="1" a="1"/>
  <c r="AD67" i="1" s="1"/>
  <c r="AD68" i="1" a="1"/>
  <c r="AD68" i="1" s="1"/>
  <c r="AD69" i="1" a="1"/>
  <c r="AD69" i="1" s="1"/>
  <c r="AD70" i="1" a="1"/>
  <c r="AD70" i="1" s="1"/>
  <c r="AD71" i="1" a="1"/>
  <c r="AD71" i="1" s="1"/>
  <c r="AD72" i="1" a="1"/>
  <c r="AD72" i="1" s="1"/>
  <c r="AD73" i="1" a="1"/>
  <c r="AD73" i="1" s="1"/>
  <c r="AD74" i="1" a="1"/>
  <c r="AD74" i="1" s="1"/>
  <c r="AD75" i="1" a="1"/>
  <c r="AD75" i="1" s="1"/>
  <c r="AD76" i="1" a="1"/>
  <c r="AD76" i="1" s="1"/>
  <c r="AD77" i="1" a="1"/>
  <c r="AD77" i="1" s="1"/>
  <c r="AD78" i="1" a="1"/>
  <c r="AD78" i="1" s="1"/>
  <c r="AD79" i="1" a="1"/>
  <c r="AD79" i="1" s="1"/>
  <c r="AD80" i="1" a="1"/>
  <c r="AD80" i="1" s="1"/>
  <c r="AD81" i="1" a="1"/>
  <c r="AD81" i="1" s="1"/>
  <c r="AD82" i="1" a="1"/>
  <c r="AD82" i="1" s="1"/>
  <c r="AD83" i="1" a="1"/>
  <c r="AD83" i="1" s="1"/>
  <c r="AD84" i="1" a="1"/>
  <c r="AD84" i="1" s="1"/>
  <c r="AD85" i="1" a="1"/>
  <c r="AD85" i="1" s="1"/>
  <c r="AD86" i="1" a="1"/>
  <c r="AD86" i="1" s="1"/>
  <c r="AD87" i="1" a="1"/>
  <c r="AD87" i="1" s="1"/>
  <c r="AD88" i="1" a="1"/>
  <c r="AD88" i="1" s="1"/>
  <c r="AD89" i="1" a="1"/>
  <c r="AD89" i="1" s="1"/>
  <c r="AD90" i="1" a="1"/>
  <c r="AD90" i="1" s="1"/>
  <c r="AD91" i="1" a="1"/>
  <c r="AD91" i="1" s="1"/>
  <c r="AD92" i="1" a="1"/>
  <c r="AD92" i="1" s="1"/>
  <c r="AD93" i="1" a="1"/>
  <c r="AD93" i="1" s="1"/>
  <c r="AD94" i="1" a="1"/>
  <c r="AD94" i="1" s="1"/>
  <c r="AD95" i="1" a="1"/>
  <c r="AD95" i="1" s="1"/>
  <c r="AD96" i="1" a="1"/>
  <c r="AD96" i="1" s="1"/>
  <c r="AD97" i="1" a="1"/>
  <c r="AD97" i="1" s="1"/>
  <c r="AD98" i="1" a="1"/>
  <c r="AD98" i="1" s="1"/>
  <c r="AD99" i="1" a="1"/>
  <c r="AD99" i="1" s="1"/>
  <c r="AD100" i="1" a="1"/>
  <c r="AD100" i="1" s="1"/>
  <c r="AD101" i="1" a="1"/>
  <c r="AD101" i="1" s="1"/>
  <c r="AD102" i="1" a="1"/>
  <c r="AD102" i="1" s="1"/>
  <c r="AD103" i="1" a="1"/>
  <c r="AD103" i="1" s="1"/>
  <c r="AD104" i="1" a="1"/>
  <c r="AD104" i="1" s="1"/>
  <c r="AD105" i="1" a="1"/>
  <c r="AD105" i="1" s="1"/>
  <c r="AD106" i="1" a="1"/>
  <c r="AD106" i="1" s="1"/>
  <c r="AD107" i="1" a="1"/>
  <c r="AD107" i="1" s="1"/>
  <c r="AD108" i="1" a="1"/>
  <c r="AD108" i="1" s="1"/>
  <c r="AD109" i="1" a="1"/>
  <c r="AD109" i="1" s="1"/>
  <c r="AD110" i="1" a="1"/>
  <c r="AD110" i="1" s="1"/>
  <c r="AD111" i="1" a="1"/>
  <c r="AD111" i="1" s="1"/>
  <c r="AD112" i="1" a="1"/>
  <c r="AD112" i="1" s="1"/>
  <c r="AD113" i="1" a="1"/>
  <c r="AD113" i="1" s="1"/>
  <c r="AD114" i="1" a="1"/>
  <c r="AD114" i="1" s="1"/>
  <c r="AD115" i="1" a="1"/>
  <c r="AD115" i="1" s="1"/>
  <c r="AD116" i="1" a="1"/>
  <c r="AD116" i="1" s="1"/>
  <c r="AD117" i="1" a="1"/>
  <c r="AD117" i="1" s="1"/>
  <c r="AD118" i="1" a="1"/>
  <c r="AD118" i="1" s="1"/>
  <c r="AD119" i="1" a="1"/>
  <c r="AD119" i="1" s="1"/>
  <c r="AD120" i="1" a="1"/>
  <c r="AD120" i="1" s="1"/>
  <c r="AD121" i="1" a="1"/>
  <c r="AD121" i="1" s="1"/>
  <c r="AD122" i="1" a="1"/>
  <c r="AD122" i="1" s="1"/>
  <c r="AD123" i="1" a="1"/>
  <c r="AD123" i="1" s="1"/>
  <c r="AD124" i="1" a="1"/>
  <c r="AD124" i="1" s="1"/>
  <c r="AD125" i="1" a="1"/>
  <c r="AD125" i="1" s="1"/>
  <c r="AD126" i="1" a="1"/>
  <c r="AD126" i="1" s="1"/>
  <c r="AD127" i="1" a="1"/>
  <c r="AD127" i="1" s="1"/>
  <c r="AD128" i="1" a="1"/>
  <c r="AD128" i="1" s="1"/>
  <c r="AD129" i="1" a="1"/>
  <c r="AD129" i="1" s="1"/>
  <c r="AD130" i="1" a="1"/>
  <c r="AD130" i="1" s="1"/>
  <c r="AD131" i="1" a="1"/>
  <c r="AD131" i="1" s="1"/>
  <c r="AD132" i="1" a="1"/>
  <c r="AD132" i="1" s="1"/>
  <c r="AD133" i="1" a="1"/>
  <c r="AD133" i="1" s="1"/>
  <c r="AD134" i="1" a="1"/>
  <c r="AD134" i="1" s="1"/>
  <c r="AD135" i="1" a="1"/>
  <c r="AD135" i="1" s="1"/>
  <c r="AD136" i="1" a="1"/>
  <c r="AD136" i="1" s="1"/>
  <c r="AD137" i="1" a="1"/>
  <c r="AD137" i="1" s="1"/>
  <c r="AD138" i="1" a="1"/>
  <c r="AD138" i="1" s="1"/>
  <c r="AD139" i="1" a="1"/>
  <c r="AD139" i="1" s="1"/>
  <c r="AD140" i="1" a="1"/>
  <c r="AD140" i="1" s="1"/>
  <c r="AD141" i="1" a="1"/>
  <c r="AD141" i="1" s="1"/>
  <c r="AD142" i="1" a="1"/>
  <c r="AD142" i="1" s="1"/>
  <c r="AD143" i="1" a="1"/>
  <c r="AD143" i="1" s="1"/>
  <c r="AD144" i="1" a="1"/>
  <c r="AD144" i="1" s="1"/>
  <c r="AD145" i="1" a="1"/>
  <c r="AD145" i="1" s="1"/>
  <c r="AD146" i="1" a="1"/>
  <c r="AD146" i="1" s="1"/>
  <c r="AD147" i="1" a="1"/>
  <c r="AD147" i="1" s="1"/>
  <c r="AD148" i="1" a="1"/>
  <c r="AD148" i="1" s="1"/>
  <c r="AD149" i="1" a="1"/>
  <c r="AD149" i="1" s="1"/>
  <c r="AD150" i="1" a="1"/>
  <c r="AD150" i="1" s="1"/>
  <c r="AD151" i="1" a="1"/>
  <c r="AD151" i="1" s="1"/>
  <c r="AD152" i="1" a="1"/>
  <c r="AD152" i="1" s="1"/>
  <c r="AD153" i="1" a="1"/>
  <c r="AD153" i="1" s="1"/>
  <c r="AD154" i="1" a="1"/>
  <c r="AD154" i="1" s="1"/>
  <c r="AD155" i="1" a="1"/>
  <c r="AD155" i="1" s="1"/>
  <c r="AD156" i="1" a="1"/>
  <c r="AD156" i="1" s="1"/>
  <c r="AD157" i="1" a="1"/>
  <c r="AD157" i="1" s="1"/>
  <c r="AD158" i="1" a="1"/>
  <c r="AD158" i="1" s="1"/>
  <c r="AD159" i="1" a="1"/>
  <c r="AD159" i="1" s="1"/>
  <c r="AD160" i="1" a="1"/>
  <c r="AD160" i="1" s="1"/>
  <c r="AD161" i="1" a="1"/>
  <c r="AD161" i="1" s="1"/>
  <c r="AD162" i="1" a="1"/>
  <c r="AD162" i="1" s="1"/>
  <c r="AD163" i="1" a="1"/>
  <c r="AD163" i="1" s="1"/>
  <c r="AD164" i="1" a="1"/>
  <c r="AD164" i="1" s="1"/>
  <c r="AD165" i="1" a="1"/>
  <c r="AD165" i="1" s="1"/>
  <c r="AD166" i="1" a="1"/>
  <c r="AD166" i="1" s="1"/>
  <c r="AD167" i="1" a="1"/>
  <c r="AD167" i="1" s="1"/>
  <c r="AD168" i="1" a="1"/>
  <c r="AD168" i="1" s="1"/>
  <c r="AD169" i="1" a="1"/>
  <c r="AD169" i="1" s="1"/>
  <c r="AD170" i="1" a="1"/>
  <c r="AD170" i="1" s="1"/>
  <c r="AD171" i="1" a="1"/>
  <c r="AD171" i="1" s="1"/>
  <c r="AD172" i="1" a="1"/>
  <c r="AD172" i="1" s="1"/>
  <c r="AD173" i="1" a="1"/>
  <c r="AD173" i="1" s="1"/>
  <c r="AD174" i="1" a="1"/>
  <c r="AD174" i="1" s="1"/>
  <c r="AD175" i="1" a="1"/>
  <c r="AD175" i="1" s="1"/>
  <c r="AD176" i="1" a="1"/>
  <c r="AD176" i="1" s="1"/>
  <c r="AD177" i="1" a="1"/>
  <c r="AD177" i="1" s="1"/>
  <c r="AD178" i="1" a="1"/>
  <c r="AD178" i="1" s="1"/>
  <c r="AD179" i="1" a="1"/>
  <c r="AD179" i="1" s="1"/>
  <c r="AD180" i="1" a="1"/>
  <c r="AD180" i="1" s="1"/>
  <c r="AD181" i="1" a="1"/>
  <c r="AD181" i="1" s="1"/>
  <c r="AD182" i="1" a="1"/>
  <c r="AD182" i="1" s="1"/>
  <c r="AD183" i="1" a="1"/>
  <c r="AD183" i="1" s="1"/>
  <c r="AD184" i="1" a="1"/>
  <c r="AD184" i="1" s="1"/>
  <c r="AD185" i="1" a="1"/>
  <c r="AD185" i="1" s="1"/>
  <c r="AD186" i="1" a="1"/>
  <c r="AD186" i="1" s="1"/>
  <c r="AD187" i="1" a="1"/>
  <c r="AD187" i="1" s="1"/>
  <c r="AD188" i="1" a="1"/>
  <c r="AD188" i="1" s="1"/>
  <c r="AD189" i="1" a="1"/>
  <c r="AD189" i="1" s="1"/>
  <c r="AD190" i="1" a="1"/>
  <c r="AD190" i="1" s="1"/>
  <c r="AD191" i="1" a="1"/>
  <c r="AD191" i="1" s="1"/>
  <c r="AD192" i="1" a="1"/>
  <c r="AD192" i="1" s="1"/>
  <c r="AD193" i="1" a="1"/>
  <c r="AD193" i="1" s="1"/>
  <c r="AD194" i="1" a="1"/>
  <c r="AD194" i="1" s="1"/>
  <c r="AD195" i="1" a="1"/>
  <c r="AD195" i="1" s="1"/>
  <c r="AD196" i="1" a="1"/>
  <c r="AD196" i="1" s="1"/>
  <c r="AD197" i="1" a="1"/>
  <c r="AD197" i="1" s="1"/>
  <c r="AD198" i="1" a="1"/>
  <c r="AD198" i="1" s="1"/>
  <c r="AD199" i="1" a="1"/>
  <c r="AD199" i="1" s="1"/>
  <c r="AD200" i="1" a="1"/>
  <c r="AD200" i="1" s="1"/>
  <c r="AD201" i="1" a="1"/>
  <c r="AD201" i="1" s="1"/>
  <c r="AD202" i="1" a="1"/>
  <c r="AD202" i="1" s="1"/>
  <c r="AD12" i="1" a="1"/>
  <c r="AD12" i="1" s="1"/>
  <c r="AC13" i="1" a="1"/>
  <c r="AC13" i="1" s="1"/>
  <c r="AC14" i="1" a="1"/>
  <c r="AC14" i="1" s="1"/>
  <c r="AC15" i="1" a="1"/>
  <c r="AC15" i="1" s="1"/>
  <c r="AC16" i="1" a="1"/>
  <c r="AC16" i="1" s="1"/>
  <c r="AC17" i="1" a="1"/>
  <c r="AC17" i="1" s="1"/>
  <c r="AC18" i="1" a="1"/>
  <c r="AC18" i="1" s="1"/>
  <c r="AC19" i="1" a="1"/>
  <c r="AC19" i="1" s="1"/>
  <c r="AC20" i="1" a="1"/>
  <c r="AC20" i="1" s="1"/>
  <c r="AC21" i="1" a="1"/>
  <c r="AC21" i="1" s="1"/>
  <c r="AC22" i="1" a="1"/>
  <c r="AC22" i="1" s="1"/>
  <c r="AC23" i="1" a="1"/>
  <c r="AC23" i="1" s="1"/>
  <c r="AC24" i="1" a="1"/>
  <c r="AC24" i="1" s="1"/>
  <c r="AC25" i="1" a="1"/>
  <c r="AC25" i="1" s="1"/>
  <c r="AC26" i="1" a="1"/>
  <c r="AC26" i="1" s="1"/>
  <c r="AC27" i="1" a="1"/>
  <c r="AC27" i="1" s="1"/>
  <c r="AC28" i="1" a="1"/>
  <c r="AC28" i="1" s="1"/>
  <c r="AC29" i="1" a="1"/>
  <c r="AC29" i="1" s="1"/>
  <c r="AC30" i="1" a="1"/>
  <c r="AC30" i="1" s="1"/>
  <c r="AC31" i="1" a="1"/>
  <c r="AC31" i="1" s="1"/>
  <c r="AC32" i="1" a="1"/>
  <c r="AC32" i="1" s="1"/>
  <c r="AC33" i="1" a="1"/>
  <c r="AC33" i="1" s="1"/>
  <c r="AC34" i="1" a="1"/>
  <c r="AC34" i="1" s="1"/>
  <c r="AC35" i="1" a="1"/>
  <c r="AC35" i="1" s="1"/>
  <c r="AC36" i="1" a="1"/>
  <c r="AC36" i="1" s="1"/>
  <c r="AC37" i="1" a="1"/>
  <c r="AC37" i="1" s="1"/>
  <c r="AC38" i="1" a="1"/>
  <c r="AC38" i="1" s="1"/>
  <c r="AC39" i="1" a="1"/>
  <c r="AC39" i="1" s="1"/>
  <c r="AC40" i="1" a="1"/>
  <c r="AC40" i="1" s="1"/>
  <c r="AC41" i="1" a="1"/>
  <c r="AC41" i="1" s="1"/>
  <c r="AC42" i="1" a="1"/>
  <c r="AC42" i="1" s="1"/>
  <c r="AC43" i="1" a="1"/>
  <c r="AC43" i="1" s="1"/>
  <c r="AC44" i="1" a="1"/>
  <c r="AC44" i="1" s="1"/>
  <c r="AC45" i="1" a="1"/>
  <c r="AC45" i="1" s="1"/>
  <c r="AC46" i="1" a="1"/>
  <c r="AC46" i="1" s="1"/>
  <c r="AC47" i="1" a="1"/>
  <c r="AC47" i="1" s="1"/>
  <c r="AC48" i="1" a="1"/>
  <c r="AC48" i="1" s="1"/>
  <c r="AC49" i="1" a="1"/>
  <c r="AC49" i="1" s="1"/>
  <c r="AC50" i="1" a="1"/>
  <c r="AC50" i="1" s="1"/>
  <c r="AC51" i="1" a="1"/>
  <c r="AC51" i="1" s="1"/>
  <c r="AC52" i="1" a="1"/>
  <c r="AC52" i="1" s="1"/>
  <c r="AC53" i="1" a="1"/>
  <c r="AC53" i="1" s="1"/>
  <c r="AC54" i="1" a="1"/>
  <c r="AC54" i="1" s="1"/>
  <c r="AC55" i="1" a="1"/>
  <c r="AC55" i="1" s="1"/>
  <c r="AC56" i="1" a="1"/>
  <c r="AC56" i="1" s="1"/>
  <c r="AC57" i="1" a="1"/>
  <c r="AC57" i="1" s="1"/>
  <c r="AC58" i="1" a="1"/>
  <c r="AC58" i="1" s="1"/>
  <c r="AC59" i="1" a="1"/>
  <c r="AC59" i="1" s="1"/>
  <c r="AC60" i="1" a="1"/>
  <c r="AC60" i="1" s="1"/>
  <c r="AC61" i="1" a="1"/>
  <c r="AC61" i="1" s="1"/>
  <c r="AC62" i="1" a="1"/>
  <c r="AC62" i="1" s="1"/>
  <c r="AC63" i="1" a="1"/>
  <c r="AC63" i="1" s="1"/>
  <c r="AC64" i="1" a="1"/>
  <c r="AC64" i="1" s="1"/>
  <c r="AC65" i="1" a="1"/>
  <c r="AC65" i="1" s="1"/>
  <c r="AC66" i="1" a="1"/>
  <c r="AC66" i="1" s="1"/>
  <c r="AC67" i="1" a="1"/>
  <c r="AC67" i="1" s="1"/>
  <c r="AC68" i="1" a="1"/>
  <c r="AC68" i="1" s="1"/>
  <c r="AC69" i="1" a="1"/>
  <c r="AC69" i="1" s="1"/>
  <c r="AC70" i="1" a="1"/>
  <c r="AC70" i="1" s="1"/>
  <c r="AC71" i="1" a="1"/>
  <c r="AC71" i="1" s="1"/>
  <c r="AC72" i="1" a="1"/>
  <c r="AC72" i="1" s="1"/>
  <c r="AC73" i="1" a="1"/>
  <c r="AC73" i="1" s="1"/>
  <c r="AC74" i="1" a="1"/>
  <c r="AC74" i="1" s="1"/>
  <c r="AC75" i="1" a="1"/>
  <c r="AC75" i="1" s="1"/>
  <c r="AC76" i="1" a="1"/>
  <c r="AC76" i="1" s="1"/>
  <c r="AC77" i="1" a="1"/>
  <c r="AC77" i="1" s="1"/>
  <c r="AC78" i="1" a="1"/>
  <c r="AC78" i="1" s="1"/>
  <c r="AC79" i="1" a="1"/>
  <c r="AC79" i="1" s="1"/>
  <c r="AC80" i="1" a="1"/>
  <c r="AC80" i="1" s="1"/>
  <c r="AC81" i="1" a="1"/>
  <c r="AC81" i="1" s="1"/>
  <c r="AC82" i="1" a="1"/>
  <c r="AC82" i="1" s="1"/>
  <c r="AC83" i="1" a="1"/>
  <c r="AC83" i="1" s="1"/>
  <c r="AC84" i="1" a="1"/>
  <c r="AC84" i="1" s="1"/>
  <c r="AC85" i="1" a="1"/>
  <c r="AC85" i="1" s="1"/>
  <c r="AC86" i="1" a="1"/>
  <c r="AC86" i="1" s="1"/>
  <c r="AC87" i="1" a="1"/>
  <c r="AC87" i="1" s="1"/>
  <c r="AC88" i="1" a="1"/>
  <c r="AC88" i="1" s="1"/>
  <c r="AC89" i="1" a="1"/>
  <c r="AC89" i="1" s="1"/>
  <c r="AC90" i="1" a="1"/>
  <c r="AC90" i="1" s="1"/>
  <c r="AC91" i="1" a="1"/>
  <c r="AC91" i="1" s="1"/>
  <c r="AC92" i="1" a="1"/>
  <c r="AC92" i="1" s="1"/>
  <c r="AC93" i="1" a="1"/>
  <c r="AC93" i="1" s="1"/>
  <c r="AC94" i="1" a="1"/>
  <c r="AC94" i="1" s="1"/>
  <c r="AC95" i="1" a="1"/>
  <c r="AC95" i="1" s="1"/>
  <c r="AC96" i="1" a="1"/>
  <c r="AC96" i="1" s="1"/>
  <c r="AC97" i="1" a="1"/>
  <c r="AC97" i="1" s="1"/>
  <c r="AC98" i="1" a="1"/>
  <c r="AC98" i="1" s="1"/>
  <c r="AC99" i="1" a="1"/>
  <c r="AC99" i="1" s="1"/>
  <c r="AC100" i="1" a="1"/>
  <c r="AC100" i="1" s="1"/>
  <c r="AC101" i="1" a="1"/>
  <c r="AC101" i="1" s="1"/>
  <c r="AC102" i="1" a="1"/>
  <c r="AC102" i="1" s="1"/>
  <c r="AC103" i="1" a="1"/>
  <c r="AC103" i="1" s="1"/>
  <c r="AC104" i="1" a="1"/>
  <c r="AC104" i="1" s="1"/>
  <c r="AC105" i="1" a="1"/>
  <c r="AC105" i="1" s="1"/>
  <c r="AC106" i="1" a="1"/>
  <c r="AC106" i="1" s="1"/>
  <c r="AC107" i="1" a="1"/>
  <c r="AC107" i="1" s="1"/>
  <c r="AC108" i="1" a="1"/>
  <c r="AC108" i="1" s="1"/>
  <c r="AC109" i="1" a="1"/>
  <c r="AC109" i="1" s="1"/>
  <c r="AC110" i="1" a="1"/>
  <c r="AC110" i="1" s="1"/>
  <c r="AC111" i="1" a="1"/>
  <c r="AC111" i="1" s="1"/>
  <c r="AC112" i="1" a="1"/>
  <c r="AC112" i="1" s="1"/>
  <c r="AC113" i="1" a="1"/>
  <c r="AC113" i="1" s="1"/>
  <c r="AC114" i="1" a="1"/>
  <c r="AC114" i="1" s="1"/>
  <c r="AC115" i="1" a="1"/>
  <c r="AC115" i="1" s="1"/>
  <c r="AC116" i="1" a="1"/>
  <c r="AC116" i="1" s="1"/>
  <c r="AC117" i="1" a="1"/>
  <c r="AC117" i="1" s="1"/>
  <c r="AC118" i="1" a="1"/>
  <c r="AC118" i="1" s="1"/>
  <c r="AC119" i="1" a="1"/>
  <c r="AC119" i="1" s="1"/>
  <c r="AC120" i="1" a="1"/>
  <c r="AC120" i="1" s="1"/>
  <c r="AC121" i="1" a="1"/>
  <c r="AC121" i="1" s="1"/>
  <c r="AC122" i="1" a="1"/>
  <c r="AC122" i="1" s="1"/>
  <c r="AC123" i="1" a="1"/>
  <c r="AC123" i="1" s="1"/>
  <c r="AC124" i="1" a="1"/>
  <c r="AC124" i="1" s="1"/>
  <c r="AC125" i="1" a="1"/>
  <c r="AC125" i="1" s="1"/>
  <c r="AC126" i="1" a="1"/>
  <c r="AC126" i="1" s="1"/>
  <c r="AC127" i="1" a="1"/>
  <c r="AC127" i="1" s="1"/>
  <c r="AC128" i="1" a="1"/>
  <c r="AC128" i="1" s="1"/>
  <c r="AC129" i="1" a="1"/>
  <c r="AC129" i="1" s="1"/>
  <c r="AC130" i="1" a="1"/>
  <c r="AC130" i="1" s="1"/>
  <c r="AC131" i="1" a="1"/>
  <c r="AC131" i="1" s="1"/>
  <c r="AC132" i="1" a="1"/>
  <c r="AC132" i="1" s="1"/>
  <c r="AC133" i="1" a="1"/>
  <c r="AC133" i="1" s="1"/>
  <c r="AC134" i="1" a="1"/>
  <c r="AC134" i="1" s="1"/>
  <c r="AC135" i="1" a="1"/>
  <c r="AC135" i="1" s="1"/>
  <c r="AC136" i="1" a="1"/>
  <c r="AC136" i="1" s="1"/>
  <c r="AC137" i="1" a="1"/>
  <c r="AC137" i="1" s="1"/>
  <c r="AC138" i="1" a="1"/>
  <c r="AC138" i="1" s="1"/>
  <c r="AC139" i="1" a="1"/>
  <c r="AC139" i="1" s="1"/>
  <c r="AC140" i="1" a="1"/>
  <c r="AC140" i="1" s="1"/>
  <c r="AC141" i="1" a="1"/>
  <c r="AC141" i="1" s="1"/>
  <c r="AC142" i="1" a="1"/>
  <c r="AC142" i="1" s="1"/>
  <c r="AC143" i="1" a="1"/>
  <c r="AC143" i="1" s="1"/>
  <c r="AC144" i="1" a="1"/>
  <c r="AC144" i="1" s="1"/>
  <c r="AC145" i="1" a="1"/>
  <c r="AC145" i="1" s="1"/>
  <c r="AC146" i="1" a="1"/>
  <c r="AC146" i="1" s="1"/>
  <c r="AC147" i="1" a="1"/>
  <c r="AC147" i="1" s="1"/>
  <c r="AC148" i="1" a="1"/>
  <c r="AC148" i="1" s="1"/>
  <c r="AC149" i="1" a="1"/>
  <c r="AC149" i="1" s="1"/>
  <c r="AC150" i="1" a="1"/>
  <c r="AC150" i="1" s="1"/>
  <c r="AC151" i="1" a="1"/>
  <c r="AC151" i="1" s="1"/>
  <c r="AC152" i="1" a="1"/>
  <c r="AC152" i="1" s="1"/>
  <c r="AC153" i="1" a="1"/>
  <c r="AC153" i="1" s="1"/>
  <c r="AC154" i="1" a="1"/>
  <c r="AC154" i="1" s="1"/>
  <c r="AC155" i="1" a="1"/>
  <c r="AC155" i="1" s="1"/>
  <c r="AC156" i="1" a="1"/>
  <c r="AC156" i="1" s="1"/>
  <c r="AC157" i="1" a="1"/>
  <c r="AC157" i="1" s="1"/>
  <c r="AC158" i="1" a="1"/>
  <c r="AC158" i="1" s="1"/>
  <c r="AC159" i="1" a="1"/>
  <c r="AC159" i="1" s="1"/>
  <c r="AC160" i="1" a="1"/>
  <c r="AC160" i="1" s="1"/>
  <c r="AC161" i="1" a="1"/>
  <c r="AC161" i="1" s="1"/>
  <c r="AC162" i="1" a="1"/>
  <c r="AC162" i="1" s="1"/>
  <c r="AC163" i="1" a="1"/>
  <c r="AC163" i="1" s="1"/>
  <c r="AC164" i="1" a="1"/>
  <c r="AC164" i="1" s="1"/>
  <c r="AC165" i="1" a="1"/>
  <c r="AC165" i="1" s="1"/>
  <c r="AC166" i="1" a="1"/>
  <c r="AC166" i="1" s="1"/>
  <c r="AC167" i="1" a="1"/>
  <c r="AC167" i="1" s="1"/>
  <c r="AC168" i="1" a="1"/>
  <c r="AC168" i="1" s="1"/>
  <c r="AC169" i="1" a="1"/>
  <c r="AC169" i="1" s="1"/>
  <c r="AC170" i="1" a="1"/>
  <c r="AC170" i="1" s="1"/>
  <c r="AC171" i="1" a="1"/>
  <c r="AC171" i="1" s="1"/>
  <c r="AC172" i="1" a="1"/>
  <c r="AC172" i="1" s="1"/>
  <c r="AC173" i="1" a="1"/>
  <c r="AC173" i="1" s="1"/>
  <c r="AC174" i="1" a="1"/>
  <c r="AC174" i="1" s="1"/>
  <c r="AC175" i="1" a="1"/>
  <c r="AC175" i="1" s="1"/>
  <c r="AC176" i="1" a="1"/>
  <c r="AC176" i="1" s="1"/>
  <c r="AC177" i="1" a="1"/>
  <c r="AC177" i="1" s="1"/>
  <c r="AC178" i="1" a="1"/>
  <c r="AC178" i="1" s="1"/>
  <c r="AC179" i="1" a="1"/>
  <c r="AC179" i="1" s="1"/>
  <c r="AC180" i="1" a="1"/>
  <c r="AC180" i="1" s="1"/>
  <c r="AC181" i="1" a="1"/>
  <c r="AC181" i="1" s="1"/>
  <c r="AC182" i="1" a="1"/>
  <c r="AC182" i="1" s="1"/>
  <c r="AC183" i="1" a="1"/>
  <c r="AC183" i="1" s="1"/>
  <c r="AC184" i="1" a="1"/>
  <c r="AC184" i="1" s="1"/>
  <c r="AC185" i="1" a="1"/>
  <c r="AC185" i="1" s="1"/>
  <c r="AC186" i="1" a="1"/>
  <c r="AC186" i="1" s="1"/>
  <c r="AC187" i="1" a="1"/>
  <c r="AC187" i="1" s="1"/>
  <c r="AC188" i="1" a="1"/>
  <c r="AC188" i="1" s="1"/>
  <c r="AC189" i="1" a="1"/>
  <c r="AC189" i="1" s="1"/>
  <c r="AC190" i="1" a="1"/>
  <c r="AC190" i="1" s="1"/>
  <c r="AC191" i="1" a="1"/>
  <c r="AC191" i="1" s="1"/>
  <c r="AC192" i="1" a="1"/>
  <c r="AC192" i="1" s="1"/>
  <c r="AC193" i="1" a="1"/>
  <c r="AC193" i="1" s="1"/>
  <c r="AC194" i="1" a="1"/>
  <c r="AC194" i="1" s="1"/>
  <c r="AC195" i="1" a="1"/>
  <c r="AC195" i="1" s="1"/>
  <c r="AC196" i="1" a="1"/>
  <c r="AC196" i="1" s="1"/>
  <c r="AC197" i="1" a="1"/>
  <c r="AC197" i="1" s="1"/>
  <c r="AC198" i="1" a="1"/>
  <c r="AC198" i="1" s="1"/>
  <c r="AC199" i="1" a="1"/>
  <c r="AC199" i="1" s="1"/>
  <c r="AC200" i="1" a="1"/>
  <c r="AC200" i="1" s="1"/>
  <c r="AC201" i="1" a="1"/>
  <c r="AC201" i="1" s="1"/>
  <c r="AC202" i="1" a="1"/>
  <c r="AC202" i="1" s="1"/>
  <c r="AC12" i="1" a="1"/>
  <c r="AC12" i="1" s="1"/>
  <c r="AB13" i="1" a="1"/>
  <c r="AB13" i="1" s="1"/>
  <c r="AB14" i="1" a="1"/>
  <c r="AB14" i="1" s="1"/>
  <c r="AB15" i="1" a="1"/>
  <c r="AB15" i="1" s="1"/>
  <c r="AB16" i="1" a="1"/>
  <c r="AB16" i="1" s="1"/>
  <c r="AB17" i="1" a="1"/>
  <c r="AB17" i="1" s="1"/>
  <c r="AB18" i="1" a="1"/>
  <c r="AB18" i="1" s="1"/>
  <c r="AB19" i="1" a="1"/>
  <c r="AB19" i="1" s="1"/>
  <c r="AB20" i="1" a="1"/>
  <c r="AB20" i="1" s="1"/>
  <c r="AB21" i="1" a="1"/>
  <c r="AB21" i="1" s="1"/>
  <c r="AB22" i="1" a="1"/>
  <c r="AB22" i="1" s="1"/>
  <c r="AB23" i="1" a="1"/>
  <c r="AB23" i="1" s="1"/>
  <c r="AB24" i="1" a="1"/>
  <c r="AB24" i="1" s="1"/>
  <c r="AB25" i="1" a="1"/>
  <c r="AB25" i="1" s="1"/>
  <c r="AB26" i="1" a="1"/>
  <c r="AB26" i="1" s="1"/>
  <c r="AB27" i="1" a="1"/>
  <c r="AB27" i="1" s="1"/>
  <c r="AB28" i="1" a="1"/>
  <c r="AB28" i="1" s="1"/>
  <c r="AB29" i="1" a="1"/>
  <c r="AB29" i="1" s="1"/>
  <c r="AB30" i="1" a="1"/>
  <c r="AB30" i="1" s="1"/>
  <c r="AB31" i="1" a="1"/>
  <c r="AB31" i="1" s="1"/>
  <c r="AB32" i="1" a="1"/>
  <c r="AB32" i="1" s="1"/>
  <c r="AB33" i="1" a="1"/>
  <c r="AB33" i="1" s="1"/>
  <c r="AB34" i="1" a="1"/>
  <c r="AB34" i="1" s="1"/>
  <c r="AB35" i="1" a="1"/>
  <c r="AB35" i="1" s="1"/>
  <c r="AB36" i="1" a="1"/>
  <c r="AB36" i="1" s="1"/>
  <c r="AB37" i="1" a="1"/>
  <c r="AB37" i="1" s="1"/>
  <c r="AB38" i="1" a="1"/>
  <c r="AB38" i="1" s="1"/>
  <c r="AB39" i="1" a="1"/>
  <c r="AB39" i="1" s="1"/>
  <c r="AB40" i="1" a="1"/>
  <c r="AB40" i="1" s="1"/>
  <c r="AB41" i="1" a="1"/>
  <c r="AB41" i="1" s="1"/>
  <c r="AB42" i="1" a="1"/>
  <c r="AB42" i="1" s="1"/>
  <c r="AB43" i="1" a="1"/>
  <c r="AB43" i="1" s="1"/>
  <c r="AB44" i="1" a="1"/>
  <c r="AB44" i="1" s="1"/>
  <c r="AB45" i="1" a="1"/>
  <c r="AB45" i="1" s="1"/>
  <c r="AB46" i="1" a="1"/>
  <c r="AB46" i="1" s="1"/>
  <c r="AB47" i="1" a="1"/>
  <c r="AB47" i="1" s="1"/>
  <c r="AB48" i="1" a="1"/>
  <c r="AB48" i="1" s="1"/>
  <c r="AB49" i="1" a="1"/>
  <c r="AB49" i="1" s="1"/>
  <c r="AB50" i="1" a="1"/>
  <c r="AB50" i="1" s="1"/>
  <c r="AB51" i="1" a="1"/>
  <c r="AB51" i="1" s="1"/>
  <c r="AB52" i="1" a="1"/>
  <c r="AB52" i="1" s="1"/>
  <c r="AB53" i="1" a="1"/>
  <c r="AB53" i="1" s="1"/>
  <c r="AB54" i="1" a="1"/>
  <c r="AB54" i="1" s="1"/>
  <c r="AB55" i="1" a="1"/>
  <c r="AB55" i="1" s="1"/>
  <c r="AB56" i="1" a="1"/>
  <c r="AB56" i="1" s="1"/>
  <c r="AB57" i="1" a="1"/>
  <c r="AB57" i="1" s="1"/>
  <c r="AB58" i="1" a="1"/>
  <c r="AB58" i="1" s="1"/>
  <c r="AB59" i="1" a="1"/>
  <c r="AB59" i="1" s="1"/>
  <c r="AB60" i="1" a="1"/>
  <c r="AB60" i="1" s="1"/>
  <c r="AB61" i="1" a="1"/>
  <c r="AB61" i="1" s="1"/>
  <c r="AB62" i="1" a="1"/>
  <c r="AB62" i="1" s="1"/>
  <c r="AB63" i="1" a="1"/>
  <c r="AB63" i="1" s="1"/>
  <c r="AB64" i="1" a="1"/>
  <c r="AB64" i="1" s="1"/>
  <c r="AB65" i="1" a="1"/>
  <c r="AB65" i="1" s="1"/>
  <c r="AB66" i="1" a="1"/>
  <c r="AB66" i="1" s="1"/>
  <c r="AB67" i="1" a="1"/>
  <c r="AB67" i="1" s="1"/>
  <c r="AB68" i="1" a="1"/>
  <c r="AB68" i="1" s="1"/>
  <c r="AB69" i="1" a="1"/>
  <c r="AB69" i="1" s="1"/>
  <c r="AB70" i="1" a="1"/>
  <c r="AB70" i="1" s="1"/>
  <c r="AB71" i="1" a="1"/>
  <c r="AB71" i="1" s="1"/>
  <c r="AB72" i="1" a="1"/>
  <c r="AB72" i="1" s="1"/>
  <c r="AB73" i="1" a="1"/>
  <c r="AB73" i="1" s="1"/>
  <c r="AB74" i="1" a="1"/>
  <c r="AB74" i="1" s="1"/>
  <c r="AB75" i="1" a="1"/>
  <c r="AB75" i="1" s="1"/>
  <c r="AB76" i="1" a="1"/>
  <c r="AB76" i="1" s="1"/>
  <c r="AB77" i="1" a="1"/>
  <c r="AB77" i="1" s="1"/>
  <c r="AB78" i="1" a="1"/>
  <c r="AB78" i="1" s="1"/>
  <c r="AB79" i="1" a="1"/>
  <c r="AB79" i="1" s="1"/>
  <c r="AB80" i="1" a="1"/>
  <c r="AB80" i="1" s="1"/>
  <c r="AB81" i="1" a="1"/>
  <c r="AB81" i="1" s="1"/>
  <c r="AB82" i="1" a="1"/>
  <c r="AB82" i="1" s="1"/>
  <c r="AB83" i="1" a="1"/>
  <c r="AB83" i="1" s="1"/>
  <c r="AB84" i="1" a="1"/>
  <c r="AB84" i="1" s="1"/>
  <c r="AB85" i="1" a="1"/>
  <c r="AB85" i="1" s="1"/>
  <c r="AB86" i="1" a="1"/>
  <c r="AB86" i="1" s="1"/>
  <c r="AB87" i="1" a="1"/>
  <c r="AB87" i="1" s="1"/>
  <c r="AB88" i="1" a="1"/>
  <c r="AB88" i="1" s="1"/>
  <c r="AB89" i="1" a="1"/>
  <c r="AB89" i="1" s="1"/>
  <c r="AB90" i="1" a="1"/>
  <c r="AB90" i="1" s="1"/>
  <c r="AB91" i="1" a="1"/>
  <c r="AB91" i="1" s="1"/>
  <c r="AB92" i="1" a="1"/>
  <c r="AB92" i="1" s="1"/>
  <c r="AB93" i="1" a="1"/>
  <c r="AB93" i="1" s="1"/>
  <c r="AB94" i="1" a="1"/>
  <c r="AB94" i="1" s="1"/>
  <c r="AB95" i="1" a="1"/>
  <c r="AB95" i="1" s="1"/>
  <c r="AB96" i="1" a="1"/>
  <c r="AB96" i="1" s="1"/>
  <c r="AB97" i="1" a="1"/>
  <c r="AB97" i="1" s="1"/>
  <c r="AB98" i="1" a="1"/>
  <c r="AB98" i="1" s="1"/>
  <c r="AB99" i="1" a="1"/>
  <c r="AB99" i="1" s="1"/>
  <c r="AB100" i="1" a="1"/>
  <c r="AB100" i="1" s="1"/>
  <c r="AB101" i="1" a="1"/>
  <c r="AB101" i="1" s="1"/>
  <c r="AB102" i="1" a="1"/>
  <c r="AB102" i="1" s="1"/>
  <c r="AB103" i="1" a="1"/>
  <c r="AB103" i="1" s="1"/>
  <c r="AB104" i="1" a="1"/>
  <c r="AB104" i="1" s="1"/>
  <c r="AB105" i="1" a="1"/>
  <c r="AB105" i="1" s="1"/>
  <c r="AB106" i="1" a="1"/>
  <c r="AB106" i="1" s="1"/>
  <c r="AB107" i="1" a="1"/>
  <c r="AB107" i="1" s="1"/>
  <c r="AB108" i="1" a="1"/>
  <c r="AB108" i="1" s="1"/>
  <c r="AB109" i="1" a="1"/>
  <c r="AB109" i="1" s="1"/>
  <c r="AB110" i="1" a="1"/>
  <c r="AB110" i="1" s="1"/>
  <c r="AB111" i="1" a="1"/>
  <c r="AB111" i="1" s="1"/>
  <c r="AB112" i="1" a="1"/>
  <c r="AB112" i="1" s="1"/>
  <c r="AB113" i="1" a="1"/>
  <c r="AB113" i="1" s="1"/>
  <c r="AB114" i="1" a="1"/>
  <c r="AB114" i="1" s="1"/>
  <c r="AB115" i="1" a="1"/>
  <c r="AB115" i="1" s="1"/>
  <c r="AB116" i="1" a="1"/>
  <c r="AB116" i="1" s="1"/>
  <c r="AB117" i="1" a="1"/>
  <c r="AB117" i="1" s="1"/>
  <c r="AB118" i="1" a="1"/>
  <c r="AB118" i="1" s="1"/>
  <c r="AB119" i="1" a="1"/>
  <c r="AB119" i="1" s="1"/>
  <c r="AB120" i="1" a="1"/>
  <c r="AB120" i="1" s="1"/>
  <c r="AB121" i="1" a="1"/>
  <c r="AB121" i="1" s="1"/>
  <c r="AB122" i="1" a="1"/>
  <c r="AB122" i="1" s="1"/>
  <c r="AB123" i="1" a="1"/>
  <c r="AB123" i="1" s="1"/>
  <c r="AB124" i="1" a="1"/>
  <c r="AB124" i="1" s="1"/>
  <c r="AB125" i="1" a="1"/>
  <c r="AB125" i="1" s="1"/>
  <c r="AB126" i="1" a="1"/>
  <c r="AB126" i="1" s="1"/>
  <c r="AB127" i="1" a="1"/>
  <c r="AB127" i="1" s="1"/>
  <c r="AB128" i="1" a="1"/>
  <c r="AB128" i="1" s="1"/>
  <c r="AB129" i="1" a="1"/>
  <c r="AB129" i="1" s="1"/>
  <c r="AB130" i="1" a="1"/>
  <c r="AB130" i="1" s="1"/>
  <c r="AB131" i="1" a="1"/>
  <c r="AB131" i="1" s="1"/>
  <c r="AB132" i="1" a="1"/>
  <c r="AB132" i="1" s="1"/>
  <c r="AB133" i="1" a="1"/>
  <c r="AB133" i="1" s="1"/>
  <c r="AB134" i="1" a="1"/>
  <c r="AB134" i="1" s="1"/>
  <c r="AB135" i="1" a="1"/>
  <c r="AB135" i="1" s="1"/>
  <c r="AB136" i="1" a="1"/>
  <c r="AB136" i="1" s="1"/>
  <c r="AB137" i="1" a="1"/>
  <c r="AB137" i="1" s="1"/>
  <c r="AB138" i="1" a="1"/>
  <c r="AB138" i="1" s="1"/>
  <c r="AB139" i="1" a="1"/>
  <c r="AB139" i="1" s="1"/>
  <c r="AB140" i="1" a="1"/>
  <c r="AB140" i="1" s="1"/>
  <c r="AB141" i="1" a="1"/>
  <c r="AB141" i="1" s="1"/>
  <c r="AB142" i="1" a="1"/>
  <c r="AB142" i="1" s="1"/>
  <c r="AB143" i="1" a="1"/>
  <c r="AB143" i="1" s="1"/>
  <c r="AB144" i="1" a="1"/>
  <c r="AB144" i="1" s="1"/>
  <c r="AB145" i="1" a="1"/>
  <c r="AB145" i="1" s="1"/>
  <c r="AB146" i="1" a="1"/>
  <c r="AB146" i="1" s="1"/>
  <c r="AB147" i="1" a="1"/>
  <c r="AB147" i="1" s="1"/>
  <c r="AB148" i="1" a="1"/>
  <c r="AB148" i="1" s="1"/>
  <c r="AB149" i="1" a="1"/>
  <c r="AB149" i="1" s="1"/>
  <c r="AB150" i="1" a="1"/>
  <c r="AB150" i="1" s="1"/>
  <c r="AB151" i="1" a="1"/>
  <c r="AB151" i="1" s="1"/>
  <c r="AB152" i="1" a="1"/>
  <c r="AB152" i="1" s="1"/>
  <c r="AB153" i="1" a="1"/>
  <c r="AB153" i="1" s="1"/>
  <c r="AB154" i="1" a="1"/>
  <c r="AB154" i="1" s="1"/>
  <c r="AB155" i="1" a="1"/>
  <c r="AB155" i="1" s="1"/>
  <c r="AB156" i="1" a="1"/>
  <c r="AB156" i="1" s="1"/>
  <c r="AB157" i="1" a="1"/>
  <c r="AB157" i="1" s="1"/>
  <c r="AB158" i="1" a="1"/>
  <c r="AB158" i="1" s="1"/>
  <c r="AB159" i="1" a="1"/>
  <c r="AB159" i="1" s="1"/>
  <c r="AB160" i="1" a="1"/>
  <c r="AB160" i="1" s="1"/>
  <c r="AB161" i="1" a="1"/>
  <c r="AB161" i="1" s="1"/>
  <c r="AB162" i="1" a="1"/>
  <c r="AB162" i="1" s="1"/>
  <c r="AB163" i="1" a="1"/>
  <c r="AB163" i="1" s="1"/>
  <c r="AB164" i="1" a="1"/>
  <c r="AB164" i="1" s="1"/>
  <c r="AB165" i="1" a="1"/>
  <c r="AB165" i="1" s="1"/>
  <c r="AB166" i="1" a="1"/>
  <c r="AB166" i="1" s="1"/>
  <c r="AB167" i="1" a="1"/>
  <c r="AB167" i="1" s="1"/>
  <c r="AB168" i="1" a="1"/>
  <c r="AB168" i="1" s="1"/>
  <c r="AB169" i="1" a="1"/>
  <c r="AB169" i="1" s="1"/>
  <c r="AB170" i="1" a="1"/>
  <c r="AB170" i="1" s="1"/>
  <c r="AB171" i="1" a="1"/>
  <c r="AB171" i="1" s="1"/>
  <c r="AB172" i="1" a="1"/>
  <c r="AB172" i="1" s="1"/>
  <c r="AB173" i="1" a="1"/>
  <c r="AB173" i="1" s="1"/>
  <c r="AB174" i="1" a="1"/>
  <c r="AB174" i="1" s="1"/>
  <c r="AB175" i="1" a="1"/>
  <c r="AB175" i="1" s="1"/>
  <c r="AB176" i="1" a="1"/>
  <c r="AB176" i="1" s="1"/>
  <c r="AB177" i="1" a="1"/>
  <c r="AB177" i="1" s="1"/>
  <c r="AB178" i="1" a="1"/>
  <c r="AB178" i="1" s="1"/>
  <c r="AB179" i="1" a="1"/>
  <c r="AB179" i="1" s="1"/>
  <c r="AB180" i="1" a="1"/>
  <c r="AB180" i="1" s="1"/>
  <c r="AB181" i="1" a="1"/>
  <c r="AB181" i="1" s="1"/>
  <c r="AB182" i="1" a="1"/>
  <c r="AB182" i="1" s="1"/>
  <c r="AB183" i="1" a="1"/>
  <c r="AB183" i="1" s="1"/>
  <c r="AB184" i="1" a="1"/>
  <c r="AB184" i="1" s="1"/>
  <c r="AB185" i="1" a="1"/>
  <c r="AB185" i="1" s="1"/>
  <c r="AB186" i="1" a="1"/>
  <c r="AB186" i="1" s="1"/>
  <c r="AB187" i="1" a="1"/>
  <c r="AB187" i="1" s="1"/>
  <c r="AB188" i="1" a="1"/>
  <c r="AB188" i="1" s="1"/>
  <c r="AB189" i="1" a="1"/>
  <c r="AB189" i="1" s="1"/>
  <c r="AB190" i="1" a="1"/>
  <c r="AB190" i="1" s="1"/>
  <c r="AB191" i="1" a="1"/>
  <c r="AB191" i="1" s="1"/>
  <c r="AB192" i="1" a="1"/>
  <c r="AB192" i="1" s="1"/>
  <c r="AB193" i="1" a="1"/>
  <c r="AB193" i="1" s="1"/>
  <c r="AB194" i="1" a="1"/>
  <c r="AB194" i="1" s="1"/>
  <c r="AB195" i="1" a="1"/>
  <c r="AB195" i="1" s="1"/>
  <c r="AB196" i="1" a="1"/>
  <c r="AB196" i="1" s="1"/>
  <c r="AB197" i="1" a="1"/>
  <c r="AB197" i="1" s="1"/>
  <c r="AB198" i="1" a="1"/>
  <c r="AB198" i="1" s="1"/>
  <c r="AB199" i="1" a="1"/>
  <c r="AB199" i="1" s="1"/>
  <c r="AB200" i="1" a="1"/>
  <c r="AB200" i="1" s="1"/>
  <c r="AB201" i="1" a="1"/>
  <c r="AB201" i="1" s="1"/>
  <c r="AB202" i="1" a="1"/>
  <c r="AB202" i="1" s="1"/>
  <c r="AB12" i="1" a="1"/>
  <c r="AB12" i="1" s="1"/>
  <c r="AA13" i="1" a="1"/>
  <c r="AA13" i="1" s="1"/>
  <c r="AA14" i="1" a="1"/>
  <c r="AA14" i="1" s="1"/>
  <c r="AA15" i="1" a="1"/>
  <c r="AA15" i="1" s="1"/>
  <c r="AA16" i="1" a="1"/>
  <c r="AA16" i="1" s="1"/>
  <c r="AA17" i="1" a="1"/>
  <c r="AA17" i="1" s="1"/>
  <c r="AA18" i="1" a="1"/>
  <c r="AA18" i="1" s="1"/>
  <c r="AA19" i="1" a="1"/>
  <c r="AA19" i="1" s="1"/>
  <c r="AA20" i="1" a="1"/>
  <c r="AA20" i="1" s="1"/>
  <c r="AA21" i="1" a="1"/>
  <c r="AA21" i="1" s="1"/>
  <c r="AA22" i="1" a="1"/>
  <c r="AA22" i="1" s="1"/>
  <c r="AA23" i="1" a="1"/>
  <c r="AA23" i="1" s="1"/>
  <c r="AA24" i="1" a="1"/>
  <c r="AA24" i="1" s="1"/>
  <c r="AA25" i="1" a="1"/>
  <c r="AA25" i="1" s="1"/>
  <c r="AA26" i="1" a="1"/>
  <c r="AA26" i="1" s="1"/>
  <c r="AA27" i="1" a="1"/>
  <c r="AA27" i="1" s="1"/>
  <c r="AA28" i="1" a="1"/>
  <c r="AA28" i="1" s="1"/>
  <c r="AA29" i="1" a="1"/>
  <c r="AA29" i="1" s="1"/>
  <c r="AA30" i="1" a="1"/>
  <c r="AA30" i="1" s="1"/>
  <c r="AA31" i="1" a="1"/>
  <c r="AA31" i="1" s="1"/>
  <c r="AA32" i="1" a="1"/>
  <c r="AA32" i="1" s="1"/>
  <c r="AA33" i="1" a="1"/>
  <c r="AA33" i="1" s="1"/>
  <c r="AA34" i="1" a="1"/>
  <c r="AA34" i="1" s="1"/>
  <c r="AA35" i="1" a="1"/>
  <c r="AA35" i="1" s="1"/>
  <c r="AA36" i="1" a="1"/>
  <c r="AA36" i="1" s="1"/>
  <c r="AA37" i="1" a="1"/>
  <c r="AA37" i="1" s="1"/>
  <c r="AA38" i="1" a="1"/>
  <c r="AA38" i="1" s="1"/>
  <c r="AA39" i="1" a="1"/>
  <c r="AA39" i="1" s="1"/>
  <c r="AA40" i="1" a="1"/>
  <c r="AA40" i="1" s="1"/>
  <c r="AA41" i="1" a="1"/>
  <c r="AA41" i="1" s="1"/>
  <c r="AA42" i="1" a="1"/>
  <c r="AA42" i="1" s="1"/>
  <c r="AA43" i="1" a="1"/>
  <c r="AA43" i="1" s="1"/>
  <c r="AA44" i="1" a="1"/>
  <c r="AA44" i="1" s="1"/>
  <c r="AA45" i="1" a="1"/>
  <c r="AA45" i="1" s="1"/>
  <c r="AA46" i="1" a="1"/>
  <c r="AA46" i="1" s="1"/>
  <c r="AA47" i="1" a="1"/>
  <c r="AA47" i="1" s="1"/>
  <c r="AA48" i="1" a="1"/>
  <c r="AA48" i="1" s="1"/>
  <c r="AA49" i="1" a="1"/>
  <c r="AA49" i="1" s="1"/>
  <c r="AA50" i="1" a="1"/>
  <c r="AA50" i="1" s="1"/>
  <c r="AA51" i="1" a="1"/>
  <c r="AA51" i="1" s="1"/>
  <c r="AA52" i="1" a="1"/>
  <c r="AA52" i="1" s="1"/>
  <c r="AA53" i="1" a="1"/>
  <c r="AA53" i="1" s="1"/>
  <c r="AA54" i="1" a="1"/>
  <c r="AA54" i="1" s="1"/>
  <c r="AA55" i="1" a="1"/>
  <c r="AA55" i="1" s="1"/>
  <c r="AA56" i="1" a="1"/>
  <c r="AA56" i="1" s="1"/>
  <c r="AA57" i="1" a="1"/>
  <c r="AA57" i="1" s="1"/>
  <c r="AA58" i="1" a="1"/>
  <c r="AA58" i="1" s="1"/>
  <c r="AA59" i="1" a="1"/>
  <c r="AA59" i="1" s="1"/>
  <c r="AA60" i="1" a="1"/>
  <c r="AA60" i="1" s="1"/>
  <c r="AA61" i="1" a="1"/>
  <c r="AA61" i="1" s="1"/>
  <c r="AA62" i="1" a="1"/>
  <c r="AA62" i="1" s="1"/>
  <c r="AA63" i="1" a="1"/>
  <c r="AA63" i="1" s="1"/>
  <c r="AA64" i="1" a="1"/>
  <c r="AA64" i="1" s="1"/>
  <c r="AA65" i="1" a="1"/>
  <c r="AA65" i="1" s="1"/>
  <c r="AA66" i="1" a="1"/>
  <c r="AA66" i="1" s="1"/>
  <c r="AA67" i="1" a="1"/>
  <c r="AA67" i="1" s="1"/>
  <c r="AA68" i="1" a="1"/>
  <c r="AA68" i="1" s="1"/>
  <c r="AA69" i="1" a="1"/>
  <c r="AA69" i="1" s="1"/>
  <c r="AA70" i="1" a="1"/>
  <c r="AA70" i="1" s="1"/>
  <c r="AA71" i="1" a="1"/>
  <c r="AA71" i="1" s="1"/>
  <c r="AA72" i="1" a="1"/>
  <c r="AA72" i="1" s="1"/>
  <c r="AA73" i="1" a="1"/>
  <c r="AA73" i="1" s="1"/>
  <c r="AA74" i="1" a="1"/>
  <c r="AA74" i="1" s="1"/>
  <c r="AA75" i="1" a="1"/>
  <c r="AA75" i="1" s="1"/>
  <c r="AA76" i="1" a="1"/>
  <c r="AA76" i="1" s="1"/>
  <c r="AA77" i="1" a="1"/>
  <c r="AA77" i="1" s="1"/>
  <c r="AA78" i="1" a="1"/>
  <c r="AA78" i="1" s="1"/>
  <c r="AA79" i="1" a="1"/>
  <c r="AA79" i="1" s="1"/>
  <c r="AA80" i="1" a="1"/>
  <c r="AA80" i="1" s="1"/>
  <c r="AA81" i="1" a="1"/>
  <c r="AA81" i="1" s="1"/>
  <c r="AA82" i="1" a="1"/>
  <c r="AA82" i="1" s="1"/>
  <c r="AA83" i="1" a="1"/>
  <c r="AA83" i="1" s="1"/>
  <c r="AA84" i="1" a="1"/>
  <c r="AA84" i="1" s="1"/>
  <c r="AA85" i="1" a="1"/>
  <c r="AA85" i="1" s="1"/>
  <c r="AA86" i="1" a="1"/>
  <c r="AA86" i="1" s="1"/>
  <c r="AA87" i="1" a="1"/>
  <c r="AA87" i="1" s="1"/>
  <c r="AA88" i="1" a="1"/>
  <c r="AA88" i="1" s="1"/>
  <c r="AA89" i="1" a="1"/>
  <c r="AA89" i="1" s="1"/>
  <c r="AA90" i="1" a="1"/>
  <c r="AA90" i="1" s="1"/>
  <c r="AA91" i="1" a="1"/>
  <c r="AA91" i="1" s="1"/>
  <c r="AA92" i="1" a="1"/>
  <c r="AA92" i="1" s="1"/>
  <c r="AA93" i="1" a="1"/>
  <c r="AA93" i="1" s="1"/>
  <c r="AA94" i="1" a="1"/>
  <c r="AA94" i="1" s="1"/>
  <c r="AA95" i="1" a="1"/>
  <c r="AA95" i="1" s="1"/>
  <c r="AA96" i="1" a="1"/>
  <c r="AA96" i="1" s="1"/>
  <c r="AA97" i="1" a="1"/>
  <c r="AA97" i="1" s="1"/>
  <c r="AA98" i="1" a="1"/>
  <c r="AA98" i="1" s="1"/>
  <c r="AA99" i="1" a="1"/>
  <c r="AA99" i="1" s="1"/>
  <c r="AA100" i="1" a="1"/>
  <c r="AA100" i="1" s="1"/>
  <c r="AA101" i="1" a="1"/>
  <c r="AA101" i="1" s="1"/>
  <c r="AA102" i="1" a="1"/>
  <c r="AA102" i="1" s="1"/>
  <c r="AA103" i="1" a="1"/>
  <c r="AA103" i="1" s="1"/>
  <c r="AA104" i="1" a="1"/>
  <c r="AA104" i="1" s="1"/>
  <c r="AA105" i="1" a="1"/>
  <c r="AA105" i="1" s="1"/>
  <c r="AA106" i="1" a="1"/>
  <c r="AA106" i="1" s="1"/>
  <c r="AA107" i="1" a="1"/>
  <c r="AA107" i="1" s="1"/>
  <c r="AA108" i="1" a="1"/>
  <c r="AA108" i="1" s="1"/>
  <c r="AA109" i="1" a="1"/>
  <c r="AA109" i="1" s="1"/>
  <c r="AA110" i="1" a="1"/>
  <c r="AA110" i="1" s="1"/>
  <c r="AA111" i="1" a="1"/>
  <c r="AA111" i="1" s="1"/>
  <c r="AA112" i="1" a="1"/>
  <c r="AA112" i="1" s="1"/>
  <c r="AA113" i="1" a="1"/>
  <c r="AA113" i="1" s="1"/>
  <c r="AA114" i="1" a="1"/>
  <c r="AA114" i="1" s="1"/>
  <c r="AA115" i="1" a="1"/>
  <c r="AA115" i="1" s="1"/>
  <c r="AA116" i="1" a="1"/>
  <c r="AA116" i="1" s="1"/>
  <c r="AA117" i="1" a="1"/>
  <c r="AA117" i="1" s="1"/>
  <c r="AA118" i="1" a="1"/>
  <c r="AA118" i="1" s="1"/>
  <c r="AA119" i="1" a="1"/>
  <c r="AA119" i="1" s="1"/>
  <c r="AA120" i="1" a="1"/>
  <c r="AA120" i="1" s="1"/>
  <c r="AA121" i="1" a="1"/>
  <c r="AA121" i="1" s="1"/>
  <c r="AA122" i="1" a="1"/>
  <c r="AA122" i="1" s="1"/>
  <c r="AA123" i="1" a="1"/>
  <c r="AA123" i="1" s="1"/>
  <c r="AA124" i="1" a="1"/>
  <c r="AA124" i="1" s="1"/>
  <c r="AA125" i="1" a="1"/>
  <c r="AA125" i="1" s="1"/>
  <c r="AA126" i="1" a="1"/>
  <c r="AA126" i="1" s="1"/>
  <c r="AA127" i="1" a="1"/>
  <c r="AA127" i="1" s="1"/>
  <c r="AA128" i="1" a="1"/>
  <c r="AA128" i="1" s="1"/>
  <c r="AA129" i="1" a="1"/>
  <c r="AA129" i="1" s="1"/>
  <c r="AA130" i="1" a="1"/>
  <c r="AA130" i="1" s="1"/>
  <c r="AA131" i="1" a="1"/>
  <c r="AA131" i="1" s="1"/>
  <c r="AA132" i="1" a="1"/>
  <c r="AA132" i="1" s="1"/>
  <c r="AA133" i="1" a="1"/>
  <c r="AA133" i="1" s="1"/>
  <c r="AA134" i="1" a="1"/>
  <c r="AA134" i="1" s="1"/>
  <c r="AA135" i="1" a="1"/>
  <c r="AA135" i="1" s="1"/>
  <c r="AA136" i="1" a="1"/>
  <c r="AA136" i="1" s="1"/>
  <c r="AA137" i="1" a="1"/>
  <c r="AA137" i="1" s="1"/>
  <c r="AA138" i="1" a="1"/>
  <c r="AA138" i="1" s="1"/>
  <c r="AA139" i="1" a="1"/>
  <c r="AA139" i="1" s="1"/>
  <c r="AA140" i="1" a="1"/>
  <c r="AA140" i="1" s="1"/>
  <c r="AA141" i="1" a="1"/>
  <c r="AA141" i="1" s="1"/>
  <c r="AA142" i="1" a="1"/>
  <c r="AA142" i="1" s="1"/>
  <c r="AA143" i="1" a="1"/>
  <c r="AA143" i="1" s="1"/>
  <c r="AA144" i="1" a="1"/>
  <c r="AA144" i="1" s="1"/>
  <c r="AA145" i="1" a="1"/>
  <c r="AA145" i="1" s="1"/>
  <c r="AA146" i="1" a="1"/>
  <c r="AA146" i="1" s="1"/>
  <c r="AA147" i="1" a="1"/>
  <c r="AA147" i="1" s="1"/>
  <c r="AA148" i="1" a="1"/>
  <c r="AA148" i="1" s="1"/>
  <c r="AA149" i="1" a="1"/>
  <c r="AA149" i="1" s="1"/>
  <c r="AA150" i="1" a="1"/>
  <c r="AA150" i="1" s="1"/>
  <c r="AA151" i="1" a="1"/>
  <c r="AA151" i="1" s="1"/>
  <c r="AA152" i="1" a="1"/>
  <c r="AA152" i="1" s="1"/>
  <c r="AA153" i="1" a="1"/>
  <c r="AA153" i="1" s="1"/>
  <c r="AA154" i="1" a="1"/>
  <c r="AA154" i="1" s="1"/>
  <c r="AA155" i="1" a="1"/>
  <c r="AA155" i="1" s="1"/>
  <c r="AA156" i="1" a="1"/>
  <c r="AA156" i="1" s="1"/>
  <c r="AA157" i="1" a="1"/>
  <c r="AA157" i="1" s="1"/>
  <c r="AA158" i="1" a="1"/>
  <c r="AA158" i="1" s="1"/>
  <c r="AA159" i="1" a="1"/>
  <c r="AA159" i="1" s="1"/>
  <c r="AA160" i="1" a="1"/>
  <c r="AA160" i="1" s="1"/>
  <c r="AA161" i="1" a="1"/>
  <c r="AA161" i="1" s="1"/>
  <c r="AA162" i="1" a="1"/>
  <c r="AA162" i="1" s="1"/>
  <c r="AA163" i="1" a="1"/>
  <c r="AA163" i="1" s="1"/>
  <c r="AA164" i="1" a="1"/>
  <c r="AA164" i="1" s="1"/>
  <c r="AA165" i="1" a="1"/>
  <c r="AA165" i="1" s="1"/>
  <c r="AA166" i="1" a="1"/>
  <c r="AA166" i="1" s="1"/>
  <c r="AA167" i="1" a="1"/>
  <c r="AA167" i="1" s="1"/>
  <c r="AA168" i="1" a="1"/>
  <c r="AA168" i="1" s="1"/>
  <c r="AA169" i="1" a="1"/>
  <c r="AA169" i="1" s="1"/>
  <c r="AA170" i="1" a="1"/>
  <c r="AA170" i="1" s="1"/>
  <c r="AA171" i="1" a="1"/>
  <c r="AA171" i="1" s="1"/>
  <c r="AA172" i="1" a="1"/>
  <c r="AA172" i="1" s="1"/>
  <c r="AA173" i="1" a="1"/>
  <c r="AA173" i="1" s="1"/>
  <c r="AA174" i="1" a="1"/>
  <c r="AA174" i="1" s="1"/>
  <c r="AA175" i="1" a="1"/>
  <c r="AA175" i="1" s="1"/>
  <c r="AA176" i="1" a="1"/>
  <c r="AA176" i="1" s="1"/>
  <c r="AA177" i="1" a="1"/>
  <c r="AA177" i="1" s="1"/>
  <c r="AA178" i="1" a="1"/>
  <c r="AA178" i="1" s="1"/>
  <c r="AA179" i="1" a="1"/>
  <c r="AA179" i="1" s="1"/>
  <c r="AA180" i="1" a="1"/>
  <c r="AA180" i="1" s="1"/>
  <c r="AA181" i="1" a="1"/>
  <c r="AA181" i="1" s="1"/>
  <c r="AA182" i="1" a="1"/>
  <c r="AA182" i="1" s="1"/>
  <c r="AA183" i="1" a="1"/>
  <c r="AA183" i="1" s="1"/>
  <c r="AA184" i="1" a="1"/>
  <c r="AA184" i="1" s="1"/>
  <c r="AA185" i="1" a="1"/>
  <c r="AA185" i="1" s="1"/>
  <c r="AA186" i="1" a="1"/>
  <c r="AA186" i="1" s="1"/>
  <c r="AA187" i="1" a="1"/>
  <c r="AA187" i="1" s="1"/>
  <c r="AA188" i="1" a="1"/>
  <c r="AA188" i="1" s="1"/>
  <c r="AA189" i="1" a="1"/>
  <c r="AA189" i="1" s="1"/>
  <c r="AA190" i="1" a="1"/>
  <c r="AA190" i="1" s="1"/>
  <c r="AA191" i="1" a="1"/>
  <c r="AA191" i="1" s="1"/>
  <c r="AA192" i="1" a="1"/>
  <c r="AA192" i="1" s="1"/>
  <c r="AA193" i="1" a="1"/>
  <c r="AA193" i="1" s="1"/>
  <c r="AA194" i="1" a="1"/>
  <c r="AA194" i="1" s="1"/>
  <c r="AA195" i="1" a="1"/>
  <c r="AA195" i="1" s="1"/>
  <c r="AA196" i="1" a="1"/>
  <c r="AA196" i="1" s="1"/>
  <c r="AA197" i="1" a="1"/>
  <c r="AA197" i="1" s="1"/>
  <c r="AA198" i="1" a="1"/>
  <c r="AA198" i="1" s="1"/>
  <c r="AA199" i="1" a="1"/>
  <c r="AA199" i="1" s="1"/>
  <c r="AA200" i="1" a="1"/>
  <c r="AA200" i="1" s="1"/>
  <c r="AA201" i="1" a="1"/>
  <c r="AA201" i="1" s="1"/>
  <c r="AA202" i="1" a="1"/>
  <c r="AA202" i="1" s="1"/>
  <c r="AA12" i="1" a="1"/>
  <c r="AA12" i="1" s="1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P13" i="12" l="1"/>
  <c r="AL16" i="1" l="1"/>
  <c r="AL18" i="1"/>
  <c r="AL19" i="1"/>
  <c r="AL20" i="1"/>
  <c r="AL24" i="1"/>
  <c r="AL25" i="1"/>
  <c r="AL26" i="1"/>
  <c r="AL27" i="1"/>
  <c r="AL28" i="1"/>
  <c r="AL31" i="1"/>
  <c r="AL32" i="1"/>
  <c r="AL33" i="1"/>
  <c r="AL34" i="1"/>
  <c r="AL35" i="1"/>
  <c r="AL36" i="1"/>
  <c r="AL39" i="1"/>
  <c r="AL40" i="1"/>
  <c r="AL41" i="1"/>
  <c r="AL42" i="1"/>
  <c r="AL43" i="1"/>
  <c r="AL44" i="1"/>
  <c r="AL48" i="1"/>
  <c r="AL49" i="1"/>
  <c r="AL50" i="1"/>
  <c r="AL51" i="1"/>
  <c r="AL52" i="1"/>
  <c r="AL56" i="1"/>
  <c r="AL57" i="1"/>
  <c r="AL58" i="1"/>
  <c r="AL59" i="1"/>
  <c r="AL60" i="1"/>
  <c r="AL65" i="1"/>
  <c r="AL66" i="1"/>
  <c r="AL67" i="1"/>
  <c r="AL68" i="1"/>
  <c r="AL72" i="1"/>
  <c r="AL73" i="1"/>
  <c r="AL74" i="1"/>
  <c r="AL75" i="1"/>
  <c r="AL76" i="1"/>
  <c r="AL81" i="1"/>
  <c r="AL82" i="1"/>
  <c r="AL83" i="1"/>
  <c r="AL84" i="1"/>
  <c r="AL90" i="1"/>
  <c r="AL91" i="1"/>
  <c r="AL92" i="1"/>
  <c r="AL96" i="1"/>
  <c r="AL97" i="1"/>
  <c r="AL98" i="1"/>
  <c r="AL99" i="1"/>
  <c r="AL100" i="1"/>
  <c r="AL104" i="1"/>
  <c r="AL105" i="1"/>
  <c r="AL106" i="1"/>
  <c r="AL107" i="1"/>
  <c r="AL108" i="1"/>
  <c r="AL113" i="1"/>
  <c r="AL114" i="1"/>
  <c r="AL115" i="1"/>
  <c r="AL116" i="1"/>
  <c r="AL120" i="1"/>
  <c r="AL121" i="1"/>
  <c r="AL122" i="1"/>
  <c r="AL123" i="1"/>
  <c r="AL124" i="1"/>
  <c r="AL129" i="1"/>
  <c r="AL130" i="1"/>
  <c r="AL131" i="1"/>
  <c r="AL132" i="1"/>
  <c r="AL136" i="1"/>
  <c r="AL137" i="1"/>
  <c r="AL138" i="1"/>
  <c r="AL139" i="1"/>
  <c r="AL140" i="1"/>
  <c r="AL143" i="1"/>
  <c r="AL145" i="1"/>
  <c r="AL146" i="1"/>
  <c r="AL147" i="1"/>
  <c r="AL148" i="1"/>
  <c r="AL152" i="1"/>
  <c r="AL153" i="1"/>
  <c r="AL154" i="1"/>
  <c r="AL155" i="1"/>
  <c r="AL156" i="1"/>
  <c r="AL159" i="1"/>
  <c r="AL161" i="1"/>
  <c r="AL162" i="1"/>
  <c r="AL163" i="1"/>
  <c r="AL164" i="1"/>
  <c r="AL168" i="1"/>
  <c r="AL169" i="1"/>
  <c r="AL170" i="1"/>
  <c r="AL171" i="1"/>
  <c r="AL172" i="1"/>
  <c r="AL175" i="1"/>
  <c r="AL177" i="1"/>
  <c r="AL178" i="1"/>
  <c r="AL179" i="1"/>
  <c r="AL180" i="1"/>
  <c r="AL184" i="1"/>
  <c r="AL185" i="1"/>
  <c r="AL186" i="1"/>
  <c r="AL187" i="1"/>
  <c r="AL188" i="1"/>
  <c r="AL191" i="1"/>
  <c r="AL192" i="1"/>
  <c r="AL193" i="1"/>
  <c r="AL194" i="1"/>
  <c r="AL195" i="1"/>
  <c r="AL196" i="1"/>
  <c r="AL201" i="1"/>
  <c r="AL202" i="1"/>
  <c r="AN13" i="1"/>
  <c r="AN14" i="1"/>
  <c r="AN15" i="1"/>
  <c r="AN17" i="1"/>
  <c r="AN18" i="1"/>
  <c r="AN19" i="1"/>
  <c r="AN20" i="1"/>
  <c r="AN21" i="1"/>
  <c r="AN22" i="1"/>
  <c r="AN23" i="1"/>
  <c r="AN25" i="1"/>
  <c r="AN26" i="1"/>
  <c r="AN27" i="1"/>
  <c r="AN28" i="1"/>
  <c r="AN29" i="1"/>
  <c r="AN30" i="1"/>
  <c r="AN31" i="1"/>
  <c r="AN34" i="1"/>
  <c r="AN35" i="1"/>
  <c r="AN36" i="1"/>
  <c r="AN37" i="1"/>
  <c r="AN38" i="1"/>
  <c r="AN39" i="1"/>
  <c r="AN41" i="1"/>
  <c r="AN42" i="1"/>
  <c r="AN43" i="1"/>
  <c r="AN44" i="1"/>
  <c r="AN45" i="1"/>
  <c r="AN46" i="1"/>
  <c r="AN47" i="1"/>
  <c r="AN49" i="1"/>
  <c r="AN50" i="1"/>
  <c r="AN51" i="1"/>
  <c r="AN52" i="1"/>
  <c r="AN53" i="1"/>
  <c r="AN54" i="1"/>
  <c r="AN55" i="1"/>
  <c r="AN57" i="1"/>
  <c r="AN58" i="1"/>
  <c r="AN59" i="1"/>
  <c r="AN60" i="1"/>
  <c r="AN61" i="1"/>
  <c r="AN62" i="1"/>
  <c r="AN63" i="1"/>
  <c r="AN65" i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2" i="1"/>
  <c r="AN83" i="1"/>
  <c r="AN84" i="1"/>
  <c r="AN85" i="1"/>
  <c r="AN86" i="1"/>
  <c r="AN87" i="1"/>
  <c r="AN89" i="1"/>
  <c r="AN90" i="1"/>
  <c r="AN91" i="1"/>
  <c r="AN92" i="1"/>
  <c r="AN93" i="1"/>
  <c r="AN94" i="1"/>
  <c r="AN95" i="1"/>
  <c r="AN97" i="1"/>
  <c r="AN98" i="1"/>
  <c r="AN99" i="1"/>
  <c r="AN100" i="1"/>
  <c r="AN101" i="1"/>
  <c r="AN102" i="1"/>
  <c r="AN103" i="1"/>
  <c r="AN105" i="1"/>
  <c r="AN106" i="1"/>
  <c r="AN107" i="1"/>
  <c r="AN108" i="1"/>
  <c r="AN109" i="1"/>
  <c r="AN110" i="1"/>
  <c r="AN111" i="1"/>
  <c r="AN113" i="1"/>
  <c r="AN114" i="1"/>
  <c r="AN115" i="1"/>
  <c r="AN116" i="1"/>
  <c r="AN117" i="1"/>
  <c r="AN118" i="1"/>
  <c r="AN119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5" i="1"/>
  <c r="AN186" i="1"/>
  <c r="AN187" i="1"/>
  <c r="AN188" i="1"/>
  <c r="AN189" i="1"/>
  <c r="AN190" i="1"/>
  <c r="AN191" i="1"/>
  <c r="AN193" i="1"/>
  <c r="AN194" i="1"/>
  <c r="AN195" i="1"/>
  <c r="AN196" i="1"/>
  <c r="AN197" i="1"/>
  <c r="AN198" i="1"/>
  <c r="AN199" i="1"/>
  <c r="AN200" i="1"/>
  <c r="AN201" i="1"/>
  <c r="AN20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P202" i="1"/>
  <c r="AO202" i="1"/>
  <c r="AK202" i="1"/>
  <c r="AJ202" i="1"/>
  <c r="AI202" i="1"/>
  <c r="AP201" i="1"/>
  <c r="AO201" i="1"/>
  <c r="AK201" i="1"/>
  <c r="AJ201" i="1"/>
  <c r="AI201" i="1"/>
  <c r="AP200" i="1"/>
  <c r="AO200" i="1"/>
  <c r="AL200" i="1"/>
  <c r="AK200" i="1"/>
  <c r="AJ200" i="1"/>
  <c r="AI200" i="1"/>
  <c r="AP199" i="1"/>
  <c r="AO199" i="1"/>
  <c r="AL199" i="1"/>
  <c r="AK199" i="1"/>
  <c r="AJ199" i="1"/>
  <c r="AI199" i="1"/>
  <c r="AP198" i="1"/>
  <c r="AO198" i="1"/>
  <c r="AL198" i="1"/>
  <c r="AK198" i="1"/>
  <c r="AJ198" i="1"/>
  <c r="AI198" i="1"/>
  <c r="AP197" i="1"/>
  <c r="AO197" i="1"/>
  <c r="AL197" i="1"/>
  <c r="AK197" i="1"/>
  <c r="AJ197" i="1"/>
  <c r="AI197" i="1"/>
  <c r="AP196" i="1"/>
  <c r="AO196" i="1"/>
  <c r="AK196" i="1"/>
  <c r="AJ196" i="1"/>
  <c r="AI196" i="1"/>
  <c r="AP195" i="1"/>
  <c r="AO195" i="1"/>
  <c r="AK195" i="1"/>
  <c r="AJ195" i="1"/>
  <c r="AI195" i="1"/>
  <c r="AP194" i="1"/>
  <c r="AO194" i="1"/>
  <c r="AK194" i="1"/>
  <c r="AJ194" i="1"/>
  <c r="AI194" i="1"/>
  <c r="AP193" i="1"/>
  <c r="AO193" i="1"/>
  <c r="AK193" i="1"/>
  <c r="AJ193" i="1"/>
  <c r="AI193" i="1"/>
  <c r="AP192" i="1"/>
  <c r="AO192" i="1"/>
  <c r="AN192" i="1"/>
  <c r="AK192" i="1"/>
  <c r="AJ192" i="1"/>
  <c r="AI192" i="1"/>
  <c r="AP191" i="1"/>
  <c r="AO191" i="1"/>
  <c r="AK191" i="1"/>
  <c r="AJ191" i="1"/>
  <c r="AI191" i="1"/>
  <c r="AP190" i="1"/>
  <c r="AO190" i="1"/>
  <c r="AL190" i="1"/>
  <c r="AK190" i="1"/>
  <c r="AJ190" i="1"/>
  <c r="AI190" i="1"/>
  <c r="AP189" i="1"/>
  <c r="AO189" i="1"/>
  <c r="AL189" i="1"/>
  <c r="AK189" i="1"/>
  <c r="AJ189" i="1"/>
  <c r="AI189" i="1"/>
  <c r="AP188" i="1"/>
  <c r="AO188" i="1"/>
  <c r="AK188" i="1"/>
  <c r="AJ188" i="1"/>
  <c r="AI188" i="1"/>
  <c r="AP187" i="1"/>
  <c r="AO187" i="1"/>
  <c r="AK187" i="1"/>
  <c r="AJ187" i="1"/>
  <c r="AI187" i="1"/>
  <c r="AP186" i="1"/>
  <c r="AO186" i="1"/>
  <c r="AK186" i="1"/>
  <c r="AJ186" i="1"/>
  <c r="AI186" i="1"/>
  <c r="AP185" i="1"/>
  <c r="AO185" i="1"/>
  <c r="AK185" i="1"/>
  <c r="AJ185" i="1"/>
  <c r="AI185" i="1"/>
  <c r="AP184" i="1"/>
  <c r="AO184" i="1"/>
  <c r="AN184" i="1"/>
  <c r="AK184" i="1"/>
  <c r="AJ184" i="1"/>
  <c r="AI184" i="1"/>
  <c r="AP183" i="1"/>
  <c r="AO183" i="1"/>
  <c r="AL183" i="1"/>
  <c r="AK183" i="1"/>
  <c r="AJ183" i="1"/>
  <c r="AI183" i="1"/>
  <c r="AP182" i="1"/>
  <c r="AO182" i="1"/>
  <c r="AL182" i="1"/>
  <c r="AK182" i="1"/>
  <c r="AJ182" i="1"/>
  <c r="AI182" i="1"/>
  <c r="AP181" i="1"/>
  <c r="AO181" i="1"/>
  <c r="AL181" i="1"/>
  <c r="AK181" i="1"/>
  <c r="AJ181" i="1"/>
  <c r="AI181" i="1"/>
  <c r="AP180" i="1"/>
  <c r="AO180" i="1"/>
  <c r="AK180" i="1"/>
  <c r="AJ180" i="1"/>
  <c r="AI180" i="1"/>
  <c r="AP179" i="1"/>
  <c r="AO179" i="1"/>
  <c r="AK179" i="1"/>
  <c r="AJ179" i="1"/>
  <c r="AI179" i="1"/>
  <c r="AP178" i="1"/>
  <c r="AO178" i="1"/>
  <c r="AK178" i="1"/>
  <c r="AJ178" i="1"/>
  <c r="AI178" i="1"/>
  <c r="AP177" i="1"/>
  <c r="AO177" i="1"/>
  <c r="AK177" i="1"/>
  <c r="AJ177" i="1"/>
  <c r="AI177" i="1"/>
  <c r="AP176" i="1"/>
  <c r="AO176" i="1"/>
  <c r="AL176" i="1"/>
  <c r="AK176" i="1"/>
  <c r="AJ176" i="1"/>
  <c r="AI176" i="1"/>
  <c r="AP175" i="1"/>
  <c r="AO175" i="1"/>
  <c r="AK175" i="1"/>
  <c r="AJ175" i="1"/>
  <c r="AI175" i="1"/>
  <c r="AP174" i="1"/>
  <c r="AO174" i="1"/>
  <c r="AL174" i="1"/>
  <c r="AK174" i="1"/>
  <c r="AJ174" i="1"/>
  <c r="AI174" i="1"/>
  <c r="AP173" i="1"/>
  <c r="AO173" i="1"/>
  <c r="AL173" i="1"/>
  <c r="AK173" i="1"/>
  <c r="AJ173" i="1"/>
  <c r="AI173" i="1"/>
  <c r="AP172" i="1"/>
  <c r="AO172" i="1"/>
  <c r="AK172" i="1"/>
  <c r="AJ172" i="1"/>
  <c r="AI172" i="1"/>
  <c r="AP171" i="1"/>
  <c r="AO171" i="1"/>
  <c r="AK171" i="1"/>
  <c r="AJ171" i="1"/>
  <c r="AI171" i="1"/>
  <c r="AP170" i="1"/>
  <c r="AO170" i="1"/>
  <c r="AK170" i="1"/>
  <c r="AJ170" i="1"/>
  <c r="AI170" i="1"/>
  <c r="AP169" i="1"/>
  <c r="AO169" i="1"/>
  <c r="AK169" i="1"/>
  <c r="AJ169" i="1"/>
  <c r="AI169" i="1"/>
  <c r="AP168" i="1"/>
  <c r="AO168" i="1"/>
  <c r="AK168" i="1"/>
  <c r="AJ168" i="1"/>
  <c r="AI168" i="1"/>
  <c r="AP167" i="1"/>
  <c r="AO167" i="1"/>
  <c r="AL167" i="1"/>
  <c r="AK167" i="1"/>
  <c r="AJ167" i="1"/>
  <c r="AI167" i="1"/>
  <c r="AP166" i="1"/>
  <c r="AO166" i="1"/>
  <c r="AL166" i="1"/>
  <c r="AK166" i="1"/>
  <c r="AJ166" i="1"/>
  <c r="AI166" i="1"/>
  <c r="AP165" i="1"/>
  <c r="AO165" i="1"/>
  <c r="AL165" i="1"/>
  <c r="AK165" i="1"/>
  <c r="AJ165" i="1"/>
  <c r="AI165" i="1"/>
  <c r="AP164" i="1"/>
  <c r="AO164" i="1"/>
  <c r="AK164" i="1"/>
  <c r="AJ164" i="1"/>
  <c r="AI164" i="1"/>
  <c r="AP163" i="1"/>
  <c r="AO163" i="1"/>
  <c r="AK163" i="1"/>
  <c r="AJ163" i="1"/>
  <c r="AI163" i="1"/>
  <c r="AP162" i="1"/>
  <c r="AO162" i="1"/>
  <c r="AK162" i="1"/>
  <c r="AJ162" i="1"/>
  <c r="AI162" i="1"/>
  <c r="AP161" i="1"/>
  <c r="AO161" i="1"/>
  <c r="AK161" i="1"/>
  <c r="AJ161" i="1"/>
  <c r="AI161" i="1"/>
  <c r="AP160" i="1"/>
  <c r="AO160" i="1"/>
  <c r="AL160" i="1"/>
  <c r="AK160" i="1"/>
  <c r="AJ160" i="1"/>
  <c r="AI160" i="1"/>
  <c r="AP159" i="1"/>
  <c r="AO159" i="1"/>
  <c r="AK159" i="1"/>
  <c r="AJ159" i="1"/>
  <c r="AI159" i="1"/>
  <c r="AP158" i="1"/>
  <c r="AO158" i="1"/>
  <c r="AL158" i="1"/>
  <c r="AK158" i="1"/>
  <c r="AJ158" i="1"/>
  <c r="AI158" i="1"/>
  <c r="AP157" i="1"/>
  <c r="AO157" i="1"/>
  <c r="AL157" i="1"/>
  <c r="AK157" i="1"/>
  <c r="AJ157" i="1"/>
  <c r="AI157" i="1"/>
  <c r="AP156" i="1"/>
  <c r="AO156" i="1"/>
  <c r="AK156" i="1"/>
  <c r="AJ156" i="1"/>
  <c r="AI156" i="1"/>
  <c r="AP155" i="1"/>
  <c r="AO155" i="1"/>
  <c r="AK155" i="1"/>
  <c r="AJ155" i="1"/>
  <c r="AI155" i="1"/>
  <c r="AP154" i="1"/>
  <c r="AO154" i="1"/>
  <c r="AK154" i="1"/>
  <c r="AJ154" i="1"/>
  <c r="AI154" i="1"/>
  <c r="AP153" i="1"/>
  <c r="AO153" i="1"/>
  <c r="AK153" i="1"/>
  <c r="AJ153" i="1"/>
  <c r="AI153" i="1"/>
  <c r="AP152" i="1"/>
  <c r="AO152" i="1"/>
  <c r="AK152" i="1"/>
  <c r="AJ152" i="1"/>
  <c r="AI152" i="1"/>
  <c r="AP151" i="1"/>
  <c r="AO151" i="1"/>
  <c r="AL151" i="1"/>
  <c r="AK151" i="1"/>
  <c r="AJ151" i="1"/>
  <c r="AI151" i="1"/>
  <c r="AP150" i="1"/>
  <c r="AO150" i="1"/>
  <c r="AL150" i="1"/>
  <c r="AK150" i="1"/>
  <c r="AJ150" i="1"/>
  <c r="AI150" i="1"/>
  <c r="AP149" i="1"/>
  <c r="AO149" i="1"/>
  <c r="AL149" i="1"/>
  <c r="AK149" i="1"/>
  <c r="AJ149" i="1"/>
  <c r="AI149" i="1"/>
  <c r="AP148" i="1"/>
  <c r="AO148" i="1"/>
  <c r="AK148" i="1"/>
  <c r="AJ148" i="1"/>
  <c r="AI148" i="1"/>
  <c r="AP147" i="1"/>
  <c r="AO147" i="1"/>
  <c r="AK147" i="1"/>
  <c r="AJ147" i="1"/>
  <c r="AI147" i="1"/>
  <c r="AP146" i="1"/>
  <c r="AO146" i="1"/>
  <c r="AK146" i="1"/>
  <c r="AJ146" i="1"/>
  <c r="AI146" i="1"/>
  <c r="AP145" i="1"/>
  <c r="AO145" i="1"/>
  <c r="AK145" i="1"/>
  <c r="AJ145" i="1"/>
  <c r="AI145" i="1"/>
  <c r="AP144" i="1"/>
  <c r="AO144" i="1"/>
  <c r="AL144" i="1"/>
  <c r="AK144" i="1"/>
  <c r="AJ144" i="1"/>
  <c r="AI144" i="1"/>
  <c r="AP143" i="1"/>
  <c r="AO143" i="1"/>
  <c r="AK143" i="1"/>
  <c r="AJ143" i="1"/>
  <c r="AI143" i="1"/>
  <c r="AP142" i="1"/>
  <c r="AO142" i="1"/>
  <c r="AL142" i="1"/>
  <c r="AK142" i="1"/>
  <c r="AJ142" i="1"/>
  <c r="AI142" i="1"/>
  <c r="AP141" i="1"/>
  <c r="AO141" i="1"/>
  <c r="AL141" i="1"/>
  <c r="AK141" i="1"/>
  <c r="AJ141" i="1"/>
  <c r="AI141" i="1"/>
  <c r="AP140" i="1"/>
  <c r="AO140" i="1"/>
  <c r="AK140" i="1"/>
  <c r="AJ140" i="1"/>
  <c r="AI140" i="1"/>
  <c r="AP139" i="1"/>
  <c r="AO139" i="1"/>
  <c r="AK139" i="1"/>
  <c r="AJ139" i="1"/>
  <c r="AI139" i="1"/>
  <c r="AP138" i="1"/>
  <c r="AO138" i="1"/>
  <c r="AK138" i="1"/>
  <c r="AJ138" i="1"/>
  <c r="AI138" i="1"/>
  <c r="AP137" i="1"/>
  <c r="AO137" i="1"/>
  <c r="AK137" i="1"/>
  <c r="AJ137" i="1"/>
  <c r="AI137" i="1"/>
  <c r="AP136" i="1"/>
  <c r="AO136" i="1"/>
  <c r="AK136" i="1"/>
  <c r="AJ136" i="1"/>
  <c r="AI136" i="1"/>
  <c r="AP135" i="1"/>
  <c r="AO135" i="1"/>
  <c r="AL135" i="1"/>
  <c r="AK135" i="1"/>
  <c r="AJ135" i="1"/>
  <c r="AI135" i="1"/>
  <c r="AP134" i="1"/>
  <c r="AO134" i="1"/>
  <c r="AL134" i="1"/>
  <c r="AK134" i="1"/>
  <c r="AJ134" i="1"/>
  <c r="AI134" i="1"/>
  <c r="AP133" i="1"/>
  <c r="AO133" i="1"/>
  <c r="AL133" i="1"/>
  <c r="AK133" i="1"/>
  <c r="AJ133" i="1"/>
  <c r="AI133" i="1"/>
  <c r="AP132" i="1"/>
  <c r="AO132" i="1"/>
  <c r="AK132" i="1"/>
  <c r="AJ132" i="1"/>
  <c r="AI132" i="1"/>
  <c r="AP131" i="1"/>
  <c r="AO131" i="1"/>
  <c r="AK131" i="1"/>
  <c r="AJ131" i="1"/>
  <c r="AI131" i="1"/>
  <c r="AP130" i="1"/>
  <c r="AO130" i="1"/>
  <c r="AK130" i="1"/>
  <c r="AJ130" i="1"/>
  <c r="AI130" i="1"/>
  <c r="AP129" i="1"/>
  <c r="AO129" i="1"/>
  <c r="AK129" i="1"/>
  <c r="AJ129" i="1"/>
  <c r="AI129" i="1"/>
  <c r="AP128" i="1"/>
  <c r="AO128" i="1"/>
  <c r="AL128" i="1"/>
  <c r="AK128" i="1"/>
  <c r="AJ128" i="1"/>
  <c r="AI128" i="1"/>
  <c r="AP127" i="1"/>
  <c r="AO127" i="1"/>
  <c r="AL127" i="1"/>
  <c r="AK127" i="1"/>
  <c r="AJ127" i="1"/>
  <c r="AI127" i="1"/>
  <c r="AP126" i="1"/>
  <c r="AO126" i="1"/>
  <c r="AL126" i="1"/>
  <c r="AK126" i="1"/>
  <c r="AJ126" i="1"/>
  <c r="AI126" i="1"/>
  <c r="AP125" i="1"/>
  <c r="AO125" i="1"/>
  <c r="AL125" i="1"/>
  <c r="AK125" i="1"/>
  <c r="AJ125" i="1"/>
  <c r="AI125" i="1"/>
  <c r="AP124" i="1"/>
  <c r="AO124" i="1"/>
  <c r="AK124" i="1"/>
  <c r="AJ124" i="1"/>
  <c r="AI124" i="1"/>
  <c r="AP123" i="1"/>
  <c r="AO123" i="1"/>
  <c r="AK123" i="1"/>
  <c r="AJ123" i="1"/>
  <c r="AI123" i="1"/>
  <c r="AP122" i="1"/>
  <c r="AO122" i="1"/>
  <c r="AK122" i="1"/>
  <c r="AJ122" i="1"/>
  <c r="AI122" i="1"/>
  <c r="AP121" i="1"/>
  <c r="AO121" i="1"/>
  <c r="AK121" i="1"/>
  <c r="AJ121" i="1"/>
  <c r="AI121" i="1"/>
  <c r="AP120" i="1"/>
  <c r="AO120" i="1"/>
  <c r="AN120" i="1"/>
  <c r="AK120" i="1"/>
  <c r="AJ120" i="1"/>
  <c r="AI120" i="1"/>
  <c r="AP119" i="1"/>
  <c r="AO119" i="1"/>
  <c r="AL119" i="1"/>
  <c r="AK119" i="1"/>
  <c r="AJ119" i="1"/>
  <c r="AI119" i="1"/>
  <c r="AP118" i="1"/>
  <c r="AO118" i="1"/>
  <c r="AL118" i="1"/>
  <c r="AK118" i="1"/>
  <c r="AJ118" i="1"/>
  <c r="AI118" i="1"/>
  <c r="AP117" i="1"/>
  <c r="AO117" i="1"/>
  <c r="AL117" i="1"/>
  <c r="AK117" i="1"/>
  <c r="AJ117" i="1"/>
  <c r="AI117" i="1"/>
  <c r="AP116" i="1"/>
  <c r="AO116" i="1"/>
  <c r="AK116" i="1"/>
  <c r="AJ116" i="1"/>
  <c r="AI116" i="1"/>
  <c r="AP115" i="1"/>
  <c r="AO115" i="1"/>
  <c r="AK115" i="1"/>
  <c r="AJ115" i="1"/>
  <c r="AI115" i="1"/>
  <c r="AP114" i="1"/>
  <c r="AO114" i="1"/>
  <c r="AK114" i="1"/>
  <c r="AJ114" i="1"/>
  <c r="AI114" i="1"/>
  <c r="AP113" i="1"/>
  <c r="AO113" i="1"/>
  <c r="AK113" i="1"/>
  <c r="AJ113" i="1"/>
  <c r="AI113" i="1"/>
  <c r="AP112" i="1"/>
  <c r="AO112" i="1"/>
  <c r="AN112" i="1"/>
  <c r="AL112" i="1"/>
  <c r="AK112" i="1"/>
  <c r="AJ112" i="1"/>
  <c r="AI112" i="1"/>
  <c r="AP111" i="1"/>
  <c r="AO111" i="1"/>
  <c r="AL111" i="1"/>
  <c r="AK111" i="1"/>
  <c r="AJ111" i="1"/>
  <c r="AI111" i="1"/>
  <c r="AP110" i="1"/>
  <c r="AO110" i="1"/>
  <c r="AL110" i="1"/>
  <c r="AK110" i="1"/>
  <c r="AJ110" i="1"/>
  <c r="AI110" i="1"/>
  <c r="AP109" i="1"/>
  <c r="AO109" i="1"/>
  <c r="AL109" i="1"/>
  <c r="AK109" i="1"/>
  <c r="AJ109" i="1"/>
  <c r="AI109" i="1"/>
  <c r="AP108" i="1"/>
  <c r="AO108" i="1"/>
  <c r="AK108" i="1"/>
  <c r="AJ108" i="1"/>
  <c r="AI108" i="1"/>
  <c r="AP107" i="1"/>
  <c r="AO107" i="1"/>
  <c r="AK107" i="1"/>
  <c r="AJ107" i="1"/>
  <c r="AI107" i="1"/>
  <c r="AP106" i="1"/>
  <c r="AO106" i="1"/>
  <c r="AK106" i="1"/>
  <c r="AJ106" i="1"/>
  <c r="AI106" i="1"/>
  <c r="AP105" i="1"/>
  <c r="AO105" i="1"/>
  <c r="AK105" i="1"/>
  <c r="AJ105" i="1"/>
  <c r="AI105" i="1"/>
  <c r="AP104" i="1"/>
  <c r="AO104" i="1"/>
  <c r="AN104" i="1"/>
  <c r="AK104" i="1"/>
  <c r="AJ104" i="1"/>
  <c r="AI104" i="1"/>
  <c r="AP103" i="1"/>
  <c r="AO103" i="1"/>
  <c r="AL103" i="1"/>
  <c r="AK103" i="1"/>
  <c r="AJ103" i="1"/>
  <c r="AI103" i="1"/>
  <c r="AP102" i="1"/>
  <c r="AO102" i="1"/>
  <c r="AL102" i="1"/>
  <c r="AK102" i="1"/>
  <c r="AJ102" i="1"/>
  <c r="AI102" i="1"/>
  <c r="AP101" i="1"/>
  <c r="AO101" i="1"/>
  <c r="AL101" i="1"/>
  <c r="AK101" i="1"/>
  <c r="AJ101" i="1"/>
  <c r="AI101" i="1"/>
  <c r="AP100" i="1"/>
  <c r="AO100" i="1"/>
  <c r="AK100" i="1"/>
  <c r="AJ100" i="1"/>
  <c r="AI100" i="1"/>
  <c r="AP99" i="1"/>
  <c r="AO99" i="1"/>
  <c r="AK99" i="1"/>
  <c r="AJ99" i="1"/>
  <c r="AI99" i="1"/>
  <c r="AP98" i="1"/>
  <c r="AO98" i="1"/>
  <c r="AK98" i="1"/>
  <c r="AJ98" i="1"/>
  <c r="AI98" i="1"/>
  <c r="AP97" i="1"/>
  <c r="AO97" i="1"/>
  <c r="AK97" i="1"/>
  <c r="AJ97" i="1"/>
  <c r="AI97" i="1"/>
  <c r="AP96" i="1"/>
  <c r="AO96" i="1"/>
  <c r="AN96" i="1"/>
  <c r="AK96" i="1"/>
  <c r="AJ96" i="1"/>
  <c r="AI96" i="1"/>
  <c r="AP95" i="1"/>
  <c r="AO95" i="1"/>
  <c r="AL95" i="1"/>
  <c r="AK95" i="1"/>
  <c r="AJ95" i="1"/>
  <c r="AI95" i="1"/>
  <c r="AP94" i="1"/>
  <c r="AO94" i="1"/>
  <c r="AL94" i="1"/>
  <c r="AK94" i="1"/>
  <c r="AJ94" i="1"/>
  <c r="AI94" i="1"/>
  <c r="AP93" i="1"/>
  <c r="AO93" i="1"/>
  <c r="AL93" i="1"/>
  <c r="AK93" i="1"/>
  <c r="AJ93" i="1"/>
  <c r="AI93" i="1"/>
  <c r="AP92" i="1"/>
  <c r="AO92" i="1"/>
  <c r="AK92" i="1"/>
  <c r="AJ92" i="1"/>
  <c r="AI92" i="1"/>
  <c r="AP91" i="1"/>
  <c r="AO91" i="1"/>
  <c r="AK91" i="1"/>
  <c r="AJ91" i="1"/>
  <c r="AI91" i="1"/>
  <c r="AP90" i="1"/>
  <c r="AO90" i="1"/>
  <c r="AK90" i="1"/>
  <c r="AJ90" i="1"/>
  <c r="AI90" i="1"/>
  <c r="AP89" i="1"/>
  <c r="AO89" i="1"/>
  <c r="AL89" i="1"/>
  <c r="AK89" i="1"/>
  <c r="AJ89" i="1"/>
  <c r="AI89" i="1"/>
  <c r="AP88" i="1"/>
  <c r="AO88" i="1"/>
  <c r="AN88" i="1"/>
  <c r="AL88" i="1"/>
  <c r="AK88" i="1"/>
  <c r="AJ88" i="1"/>
  <c r="AI88" i="1"/>
  <c r="AP87" i="1"/>
  <c r="AO87" i="1"/>
  <c r="AL87" i="1"/>
  <c r="AK87" i="1"/>
  <c r="AJ87" i="1"/>
  <c r="AI87" i="1"/>
  <c r="AP86" i="1"/>
  <c r="AO86" i="1"/>
  <c r="AL86" i="1"/>
  <c r="AK86" i="1"/>
  <c r="AJ86" i="1"/>
  <c r="AI86" i="1"/>
  <c r="AP85" i="1"/>
  <c r="AO85" i="1"/>
  <c r="AL85" i="1"/>
  <c r="AK85" i="1"/>
  <c r="AJ85" i="1"/>
  <c r="AI85" i="1"/>
  <c r="AP84" i="1"/>
  <c r="AO84" i="1"/>
  <c r="AK84" i="1"/>
  <c r="AJ84" i="1"/>
  <c r="AI84" i="1"/>
  <c r="AP83" i="1"/>
  <c r="AO83" i="1"/>
  <c r="AK83" i="1"/>
  <c r="AJ83" i="1"/>
  <c r="AI83" i="1"/>
  <c r="AP82" i="1"/>
  <c r="AO82" i="1"/>
  <c r="AK82" i="1"/>
  <c r="AJ82" i="1"/>
  <c r="AI82" i="1"/>
  <c r="AP81" i="1"/>
  <c r="AO81" i="1"/>
  <c r="AN81" i="1"/>
  <c r="AK81" i="1"/>
  <c r="AJ81" i="1"/>
  <c r="AI81" i="1"/>
  <c r="AP80" i="1"/>
  <c r="AO80" i="1"/>
  <c r="AN80" i="1"/>
  <c r="AL80" i="1"/>
  <c r="AK80" i="1"/>
  <c r="AJ80" i="1"/>
  <c r="AI80" i="1"/>
  <c r="AP79" i="1"/>
  <c r="AO79" i="1"/>
  <c r="AL79" i="1"/>
  <c r="AK79" i="1"/>
  <c r="AJ79" i="1"/>
  <c r="AI79" i="1"/>
  <c r="AP78" i="1"/>
  <c r="AO78" i="1"/>
  <c r="AL78" i="1"/>
  <c r="AK78" i="1"/>
  <c r="AJ78" i="1"/>
  <c r="AI78" i="1"/>
  <c r="AP77" i="1"/>
  <c r="AO77" i="1"/>
  <c r="AL77" i="1"/>
  <c r="AK77" i="1"/>
  <c r="AJ77" i="1"/>
  <c r="AI77" i="1"/>
  <c r="AP76" i="1"/>
  <c r="AO76" i="1"/>
  <c r="AK76" i="1"/>
  <c r="AJ76" i="1"/>
  <c r="AI76" i="1"/>
  <c r="AP75" i="1"/>
  <c r="AO75" i="1"/>
  <c r="AK75" i="1"/>
  <c r="AJ75" i="1"/>
  <c r="AI75" i="1"/>
  <c r="AP74" i="1"/>
  <c r="AO74" i="1"/>
  <c r="AK74" i="1"/>
  <c r="AJ74" i="1"/>
  <c r="AI74" i="1"/>
  <c r="AP73" i="1"/>
  <c r="AO73" i="1"/>
  <c r="AK73" i="1"/>
  <c r="AJ73" i="1"/>
  <c r="AI73" i="1"/>
  <c r="AP72" i="1"/>
  <c r="AO72" i="1"/>
  <c r="AN72" i="1"/>
  <c r="AK72" i="1"/>
  <c r="AJ72" i="1"/>
  <c r="AI72" i="1"/>
  <c r="AP71" i="1"/>
  <c r="AO71" i="1"/>
  <c r="AL71" i="1"/>
  <c r="AK71" i="1"/>
  <c r="AJ71" i="1"/>
  <c r="AI71" i="1"/>
  <c r="AP70" i="1"/>
  <c r="AO70" i="1"/>
  <c r="AL70" i="1"/>
  <c r="AK70" i="1"/>
  <c r="AJ70" i="1"/>
  <c r="AI70" i="1"/>
  <c r="AP69" i="1"/>
  <c r="AO69" i="1"/>
  <c r="AL69" i="1"/>
  <c r="AK69" i="1"/>
  <c r="AJ69" i="1"/>
  <c r="AI69" i="1"/>
  <c r="AP68" i="1"/>
  <c r="AO68" i="1"/>
  <c r="AK68" i="1"/>
  <c r="AJ68" i="1"/>
  <c r="AI68" i="1"/>
  <c r="AP67" i="1"/>
  <c r="AO67" i="1"/>
  <c r="AK67" i="1"/>
  <c r="AJ67" i="1"/>
  <c r="AI67" i="1"/>
  <c r="AP66" i="1"/>
  <c r="AO66" i="1"/>
  <c r="AK66" i="1"/>
  <c r="AJ66" i="1"/>
  <c r="AI66" i="1"/>
  <c r="AP65" i="1"/>
  <c r="AO65" i="1"/>
  <c r="AK65" i="1"/>
  <c r="AJ65" i="1"/>
  <c r="AI65" i="1"/>
  <c r="AP64" i="1"/>
  <c r="AO64" i="1"/>
  <c r="AN64" i="1"/>
  <c r="AL64" i="1"/>
  <c r="AK64" i="1"/>
  <c r="AJ64" i="1"/>
  <c r="AI64" i="1"/>
  <c r="AP63" i="1"/>
  <c r="AO63" i="1"/>
  <c r="AL63" i="1"/>
  <c r="AK63" i="1"/>
  <c r="AJ63" i="1"/>
  <c r="AI63" i="1"/>
  <c r="AP62" i="1"/>
  <c r="AO62" i="1"/>
  <c r="AL62" i="1"/>
  <c r="AK62" i="1"/>
  <c r="AJ62" i="1"/>
  <c r="AI62" i="1"/>
  <c r="AP61" i="1"/>
  <c r="AO61" i="1"/>
  <c r="AL61" i="1"/>
  <c r="AK61" i="1"/>
  <c r="AJ61" i="1"/>
  <c r="AI61" i="1"/>
  <c r="AP60" i="1"/>
  <c r="AO60" i="1"/>
  <c r="AK60" i="1"/>
  <c r="AJ60" i="1"/>
  <c r="AI60" i="1"/>
  <c r="AP59" i="1"/>
  <c r="AO59" i="1"/>
  <c r="AK59" i="1"/>
  <c r="AJ59" i="1"/>
  <c r="AI59" i="1"/>
  <c r="AP58" i="1"/>
  <c r="AO58" i="1"/>
  <c r="AK58" i="1"/>
  <c r="AJ58" i="1"/>
  <c r="AI58" i="1"/>
  <c r="AP57" i="1"/>
  <c r="AO57" i="1"/>
  <c r="AK57" i="1"/>
  <c r="AJ57" i="1"/>
  <c r="AI57" i="1"/>
  <c r="AP56" i="1"/>
  <c r="AO56" i="1"/>
  <c r="AN56" i="1"/>
  <c r="AK56" i="1"/>
  <c r="AJ56" i="1"/>
  <c r="AI56" i="1"/>
  <c r="AP55" i="1"/>
  <c r="AO55" i="1"/>
  <c r="AL55" i="1"/>
  <c r="AK55" i="1"/>
  <c r="AJ55" i="1"/>
  <c r="AI55" i="1"/>
  <c r="AP54" i="1"/>
  <c r="AO54" i="1"/>
  <c r="AL54" i="1"/>
  <c r="AK54" i="1"/>
  <c r="AJ54" i="1"/>
  <c r="AI54" i="1"/>
  <c r="AP53" i="1"/>
  <c r="AO53" i="1"/>
  <c r="AL53" i="1"/>
  <c r="AK53" i="1"/>
  <c r="AJ53" i="1"/>
  <c r="AI53" i="1"/>
  <c r="AP52" i="1"/>
  <c r="AO52" i="1"/>
  <c r="AK52" i="1"/>
  <c r="AJ52" i="1"/>
  <c r="AI52" i="1"/>
  <c r="AP51" i="1"/>
  <c r="AO51" i="1"/>
  <c r="AK51" i="1"/>
  <c r="AJ51" i="1"/>
  <c r="AI51" i="1"/>
  <c r="AP50" i="1"/>
  <c r="AO50" i="1"/>
  <c r="AK50" i="1"/>
  <c r="AJ50" i="1"/>
  <c r="AI50" i="1"/>
  <c r="AP49" i="1"/>
  <c r="AO49" i="1"/>
  <c r="AK49" i="1"/>
  <c r="AJ49" i="1"/>
  <c r="AI49" i="1"/>
  <c r="AP48" i="1"/>
  <c r="AO48" i="1"/>
  <c r="AN48" i="1"/>
  <c r="AK48" i="1"/>
  <c r="AJ48" i="1"/>
  <c r="AI48" i="1"/>
  <c r="AP47" i="1"/>
  <c r="AO47" i="1"/>
  <c r="AL47" i="1"/>
  <c r="AK47" i="1"/>
  <c r="AJ47" i="1"/>
  <c r="AI47" i="1"/>
  <c r="AP46" i="1"/>
  <c r="AO46" i="1"/>
  <c r="AL46" i="1"/>
  <c r="AK46" i="1"/>
  <c r="AJ46" i="1"/>
  <c r="AI46" i="1"/>
  <c r="AP45" i="1"/>
  <c r="AO45" i="1"/>
  <c r="AL45" i="1"/>
  <c r="AK45" i="1"/>
  <c r="AJ45" i="1"/>
  <c r="AI45" i="1"/>
  <c r="AP44" i="1"/>
  <c r="AO44" i="1"/>
  <c r="AK44" i="1"/>
  <c r="AJ44" i="1"/>
  <c r="AI44" i="1"/>
  <c r="AP43" i="1"/>
  <c r="AO43" i="1"/>
  <c r="AK43" i="1"/>
  <c r="AJ43" i="1"/>
  <c r="AI43" i="1"/>
  <c r="AP42" i="1"/>
  <c r="AO42" i="1"/>
  <c r="AK42" i="1"/>
  <c r="AJ42" i="1"/>
  <c r="AI42" i="1"/>
  <c r="AP41" i="1"/>
  <c r="AO41" i="1"/>
  <c r="AK41" i="1"/>
  <c r="AJ41" i="1"/>
  <c r="AI41" i="1"/>
  <c r="AP40" i="1"/>
  <c r="AO40" i="1"/>
  <c r="AN40" i="1"/>
  <c r="AK40" i="1"/>
  <c r="AJ40" i="1"/>
  <c r="AI40" i="1"/>
  <c r="AP39" i="1"/>
  <c r="AO39" i="1"/>
  <c r="AK39" i="1"/>
  <c r="AJ39" i="1"/>
  <c r="AI39" i="1"/>
  <c r="AP38" i="1"/>
  <c r="AO38" i="1"/>
  <c r="AL38" i="1"/>
  <c r="AK38" i="1"/>
  <c r="AJ38" i="1"/>
  <c r="AI38" i="1"/>
  <c r="AP37" i="1"/>
  <c r="AO37" i="1"/>
  <c r="AL37" i="1"/>
  <c r="AK37" i="1"/>
  <c r="AJ37" i="1"/>
  <c r="AI37" i="1"/>
  <c r="AP36" i="1"/>
  <c r="AO36" i="1"/>
  <c r="AK36" i="1"/>
  <c r="AJ36" i="1"/>
  <c r="AI36" i="1"/>
  <c r="AP35" i="1"/>
  <c r="AO35" i="1"/>
  <c r="AK35" i="1"/>
  <c r="AJ35" i="1"/>
  <c r="AI35" i="1"/>
  <c r="AP34" i="1"/>
  <c r="AO34" i="1"/>
  <c r="AK34" i="1"/>
  <c r="AJ34" i="1"/>
  <c r="AI34" i="1"/>
  <c r="AP33" i="1"/>
  <c r="AO33" i="1"/>
  <c r="AN33" i="1"/>
  <c r="AK33" i="1"/>
  <c r="AJ33" i="1"/>
  <c r="AI33" i="1"/>
  <c r="AP32" i="1"/>
  <c r="AO32" i="1"/>
  <c r="AN32" i="1"/>
  <c r="AK32" i="1"/>
  <c r="AJ32" i="1"/>
  <c r="AI32" i="1"/>
  <c r="AP31" i="1"/>
  <c r="AO31" i="1"/>
  <c r="AK31" i="1"/>
  <c r="AJ31" i="1"/>
  <c r="AI31" i="1"/>
  <c r="AP30" i="1"/>
  <c r="AO30" i="1"/>
  <c r="AL30" i="1"/>
  <c r="AK30" i="1"/>
  <c r="AJ30" i="1"/>
  <c r="AI30" i="1"/>
  <c r="AP29" i="1"/>
  <c r="AO29" i="1"/>
  <c r="AL29" i="1"/>
  <c r="AK29" i="1"/>
  <c r="AJ29" i="1"/>
  <c r="AI29" i="1"/>
  <c r="AP28" i="1"/>
  <c r="AO28" i="1"/>
  <c r="AK28" i="1"/>
  <c r="AJ28" i="1"/>
  <c r="AI28" i="1"/>
  <c r="AP27" i="1"/>
  <c r="AO27" i="1"/>
  <c r="AK27" i="1"/>
  <c r="AJ27" i="1"/>
  <c r="AI27" i="1"/>
  <c r="AP26" i="1"/>
  <c r="AO26" i="1"/>
  <c r="AK26" i="1"/>
  <c r="AJ26" i="1"/>
  <c r="AI26" i="1"/>
  <c r="AP25" i="1"/>
  <c r="AO25" i="1"/>
  <c r="AK25" i="1"/>
  <c r="AJ25" i="1"/>
  <c r="AI25" i="1"/>
  <c r="AP24" i="1"/>
  <c r="AO24" i="1"/>
  <c r="AN24" i="1"/>
  <c r="AK24" i="1"/>
  <c r="AJ24" i="1"/>
  <c r="AI24" i="1"/>
  <c r="AP23" i="1"/>
  <c r="AO23" i="1"/>
  <c r="AL23" i="1"/>
  <c r="AK23" i="1"/>
  <c r="AJ23" i="1"/>
  <c r="AI23" i="1"/>
  <c r="AP22" i="1"/>
  <c r="AO22" i="1"/>
  <c r="AL22" i="1"/>
  <c r="AK22" i="1"/>
  <c r="AJ22" i="1"/>
  <c r="AI22" i="1"/>
  <c r="AP21" i="1"/>
  <c r="AO21" i="1"/>
  <c r="AL21" i="1"/>
  <c r="AK21" i="1"/>
  <c r="AJ21" i="1"/>
  <c r="AI21" i="1"/>
  <c r="AP20" i="1"/>
  <c r="AO20" i="1"/>
  <c r="AK20" i="1"/>
  <c r="AJ20" i="1"/>
  <c r="AI20" i="1"/>
  <c r="AP19" i="1"/>
  <c r="AO19" i="1"/>
  <c r="AK19" i="1"/>
  <c r="AJ19" i="1"/>
  <c r="AI19" i="1"/>
  <c r="AP18" i="1"/>
  <c r="AO18" i="1"/>
  <c r="AK18" i="1"/>
  <c r="AJ18" i="1"/>
  <c r="AI18" i="1"/>
  <c r="AP17" i="1"/>
  <c r="AO17" i="1"/>
  <c r="AL17" i="1"/>
  <c r="AK17" i="1"/>
  <c r="AJ17" i="1"/>
  <c r="AI17" i="1"/>
  <c r="AO16" i="1"/>
  <c r="AN16" i="1"/>
  <c r="AK16" i="1"/>
  <c r="AJ16" i="1"/>
  <c r="AI16" i="1"/>
  <c r="AP15" i="1"/>
  <c r="AO15" i="1"/>
  <c r="AL15" i="1"/>
  <c r="AK15" i="1"/>
  <c r="AI15" i="1"/>
  <c r="AP14" i="1"/>
  <c r="AO14" i="1"/>
  <c r="AL14" i="1"/>
  <c r="AK14" i="1"/>
  <c r="AJ14" i="1"/>
  <c r="AI14" i="1"/>
  <c r="AP13" i="1"/>
  <c r="AO13" i="1"/>
  <c r="AL13" i="1"/>
  <c r="AK13" i="1"/>
  <c r="AJ13" i="1"/>
  <c r="AI13" i="1"/>
  <c r="AH203" i="1" l="1" a="1"/>
  <c r="AH203" i="1" s="1"/>
  <c r="AB203" i="1" a="1"/>
  <c r="AB203" i="1" s="1"/>
  <c r="AG203" i="1" a="1"/>
  <c r="AG203" i="1" s="1"/>
  <c r="AC203" i="1" a="1"/>
  <c r="AC203" i="1" s="1"/>
  <c r="AE203" i="1" a="1"/>
  <c r="AE203" i="1" s="1"/>
  <c r="AD203" i="1" a="1"/>
  <c r="AD203" i="1" s="1"/>
  <c r="AA203" i="1" a="1"/>
  <c r="AA203" i="1" s="1"/>
  <c r="AF203" i="1" a="1"/>
  <c r="AF203" i="1" s="1"/>
  <c r="AX18" i="1"/>
  <c r="AX17" i="1"/>
  <c r="AX19" i="1"/>
  <c r="AX20" i="1"/>
  <c r="AX14" i="1"/>
  <c r="AX13" i="1"/>
  <c r="AX15" i="1"/>
  <c r="AX16" i="1"/>
  <c r="AE204" i="1"/>
  <c r="AE206" i="1" s="1"/>
  <c r="AE207" i="1" s="1"/>
  <c r="AE205" i="1"/>
  <c r="AJ15" i="1"/>
  <c r="AP12" i="1"/>
  <c r="AM12" i="1"/>
  <c r="AF205" i="1"/>
  <c r="AF204" i="1"/>
  <c r="AH205" i="1"/>
  <c r="AH204" i="1"/>
  <c r="AH206" i="1" s="1"/>
  <c r="AH207" i="1" s="1"/>
  <c r="AP16" i="1"/>
  <c r="AB204" i="1"/>
  <c r="AB205" i="1"/>
  <c r="AJ12" i="1"/>
  <c r="AG205" i="1"/>
  <c r="AG204" i="1"/>
  <c r="AG206" i="1" s="1"/>
  <c r="AG207" i="1" s="1"/>
  <c r="AO12" i="1"/>
  <c r="AC204" i="1"/>
  <c r="AC205" i="1"/>
  <c r="AK12" i="1"/>
  <c r="AN12" i="1"/>
  <c r="AR18" i="1" s="1"/>
  <c r="AA204" i="1"/>
  <c r="AA205" i="1"/>
  <c r="AI12" i="1"/>
  <c r="AD205" i="1"/>
  <c r="AD204" i="1"/>
  <c r="AL12" i="1"/>
  <c r="AU20" i="1" l="1"/>
  <c r="AR20" i="1"/>
  <c r="AR16" i="1"/>
  <c r="AV16" i="1"/>
  <c r="AU16" i="1"/>
  <c r="AT16" i="1"/>
  <c r="AS16" i="1"/>
  <c r="AE209" i="1"/>
  <c r="AF206" i="1"/>
  <c r="AF207" i="1" s="1"/>
  <c r="AD206" i="1"/>
  <c r="AA206" i="1"/>
  <c r="AC206" i="1"/>
  <c r="AB206" i="1"/>
  <c r="AB207" i="1" s="1"/>
  <c r="AS18" i="1"/>
  <c r="AV18" i="1"/>
  <c r="AU18" i="1"/>
  <c r="AT18" i="1"/>
  <c r="AU13" i="1"/>
  <c r="AT13" i="1"/>
  <c r="AS13" i="1"/>
  <c r="AR13" i="1"/>
  <c r="AV13" i="1"/>
  <c r="AU15" i="1"/>
  <c r="AS15" i="1"/>
  <c r="AT15" i="1"/>
  <c r="AR15" i="1"/>
  <c r="AV15" i="1"/>
  <c r="AS14" i="1"/>
  <c r="AR14" i="1"/>
  <c r="AV14" i="1"/>
  <c r="AU14" i="1"/>
  <c r="AT14" i="1"/>
  <c r="AT19" i="1"/>
  <c r="AS19" i="1"/>
  <c r="AV19" i="1"/>
  <c r="AU19" i="1"/>
  <c r="AR19" i="1"/>
  <c r="AV20" i="1"/>
  <c r="AS20" i="1"/>
  <c r="AT20" i="1"/>
  <c r="AU17" i="1"/>
  <c r="AT17" i="1"/>
  <c r="AR17" i="1"/>
  <c r="AS17" i="1"/>
  <c r="AV17" i="1"/>
  <c r="AG209" i="1"/>
  <c r="AH209" i="1"/>
  <c r="AF209" i="1" l="1"/>
  <c r="AD209" i="1"/>
  <c r="AD207" i="1"/>
  <c r="AC209" i="1"/>
  <c r="AC207" i="1"/>
  <c r="AA209" i="1"/>
  <c r="AA207" i="1"/>
  <c r="AW16" i="1"/>
  <c r="AB209" i="1"/>
  <c r="AW19" i="1"/>
  <c r="AY19" i="1" s="1"/>
  <c r="AW18" i="1"/>
  <c r="AY18" i="1" s="1"/>
  <c r="AZ18" i="1" s="1"/>
  <c r="AW14" i="1"/>
  <c r="AY14" i="1" s="1"/>
  <c r="AZ14" i="1" s="1"/>
  <c r="Q18" i="12" s="1"/>
  <c r="AW17" i="1"/>
  <c r="AY17" i="1" s="1"/>
  <c r="AZ17" i="1" s="1"/>
  <c r="AW13" i="1"/>
  <c r="AW20" i="1"/>
  <c r="AY20" i="1" s="1"/>
  <c r="AZ20" i="1" s="1"/>
  <c r="AW15" i="1"/>
  <c r="AY15" i="1" s="1"/>
  <c r="AZ15" i="1" s="1"/>
  <c r="Q19" i="12" s="1"/>
  <c r="AY16" i="1" l="1"/>
  <c r="AZ16" i="1" s="1"/>
  <c r="Q20" i="12" s="1"/>
  <c r="AY13" i="1"/>
  <c r="I19" i="12"/>
  <c r="P19" i="12"/>
  <c r="H19" i="12"/>
  <c r="O19" i="12"/>
  <c r="G19" i="12"/>
  <c r="N19" i="12"/>
  <c r="F19" i="12"/>
  <c r="M19" i="12"/>
  <c r="E19" i="12"/>
  <c r="L19" i="12"/>
  <c r="D19" i="12"/>
  <c r="K19" i="12"/>
  <c r="C19" i="12"/>
  <c r="J19" i="12"/>
  <c r="B19" i="12"/>
  <c r="P18" i="12"/>
  <c r="H18" i="12"/>
  <c r="O18" i="12"/>
  <c r="G18" i="12"/>
  <c r="N18" i="12"/>
  <c r="F18" i="12"/>
  <c r="M18" i="12"/>
  <c r="E18" i="12"/>
  <c r="L18" i="12"/>
  <c r="D18" i="12"/>
  <c r="K18" i="12"/>
  <c r="C18" i="12"/>
  <c r="J18" i="12"/>
  <c r="B18" i="12"/>
  <c r="I18" i="12"/>
  <c r="BA19" i="1"/>
  <c r="AZ19" i="1"/>
  <c r="BA18" i="1"/>
  <c r="BA17" i="1"/>
  <c r="BA15" i="1"/>
  <c r="BA20" i="1"/>
  <c r="BA14" i="1"/>
  <c r="BA16" i="1" l="1"/>
  <c r="F20" i="12"/>
  <c r="J20" i="12"/>
  <c r="O20" i="12"/>
  <c r="G20" i="12"/>
  <c r="L20" i="12"/>
  <c r="H20" i="12"/>
  <c r="P20" i="12"/>
  <c r="M20" i="12"/>
  <c r="B20" i="12"/>
  <c r="K20" i="12"/>
  <c r="E20" i="12"/>
  <c r="N20" i="12"/>
  <c r="C20" i="12"/>
  <c r="I20" i="12"/>
  <c r="D20" i="12"/>
  <c r="BA13" i="1"/>
  <c r="AZ13" i="1"/>
  <c r="Q17" i="12" s="1"/>
  <c r="I17" i="12" s="1"/>
  <c r="I21" i="12" l="1"/>
  <c r="J17" i="12"/>
  <c r="J21" i="12" s="1"/>
  <c r="G17" i="12"/>
  <c r="G21" i="12" s="1"/>
  <c r="O17" i="12"/>
  <c r="O21" i="12" s="1"/>
  <c r="F17" i="12"/>
  <c r="F21" i="12" s="1"/>
  <c r="M17" i="12"/>
  <c r="M21" i="12" s="1"/>
  <c r="B17" i="12"/>
  <c r="B21" i="12" s="1"/>
  <c r="E17" i="12"/>
  <c r="E21" i="12" s="1"/>
  <c r="H17" i="12"/>
  <c r="H21" i="12" s="1"/>
  <c r="L17" i="12"/>
  <c r="L21" i="12" s="1"/>
  <c r="P17" i="12"/>
  <c r="P21" i="12" s="1"/>
  <c r="D17" i="12"/>
  <c r="D21" i="12" s="1"/>
  <c r="K17" i="12"/>
  <c r="K21" i="12" s="1"/>
  <c r="C17" i="12"/>
  <c r="C21" i="12" s="1"/>
  <c r="N17" i="12"/>
  <c r="N21" i="12" s="1"/>
  <c r="P23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<sst xmlns="http://schemas.openxmlformats.org/spreadsheetml/2006/main" count="361" uniqueCount="191">
  <si>
    <t>M.E.S. VASANT JOSHI COLLEGE OF ARTS &amp; COMMERCE, ZUARINAGAR GOA. 403726</t>
  </si>
  <si>
    <t>Faculty Name:</t>
  </si>
  <si>
    <t>Year</t>
  </si>
  <si>
    <t>2024-25</t>
  </si>
  <si>
    <t>Attainment for ISA &amp; SEA Examination</t>
  </si>
  <si>
    <t>SEE</t>
  </si>
  <si>
    <t xml:space="preserve">QUESTIONS </t>
  </si>
  <si>
    <t>Q1</t>
  </si>
  <si>
    <t>Q2</t>
  </si>
  <si>
    <t>Q3</t>
  </si>
  <si>
    <t>Q4</t>
  </si>
  <si>
    <t>Levels of Attainment</t>
  </si>
  <si>
    <t>SUB Q</t>
  </si>
  <si>
    <t>B</t>
  </si>
  <si>
    <t>A</t>
  </si>
  <si>
    <t>C</t>
  </si>
  <si>
    <t>F</t>
  </si>
  <si>
    <t>Good</t>
  </si>
  <si>
    <t>CO</t>
  </si>
  <si>
    <t>CO4</t>
  </si>
  <si>
    <t>CO2</t>
  </si>
  <si>
    <t>CO3</t>
  </si>
  <si>
    <t>CO1</t>
  </si>
  <si>
    <t>Very Good</t>
  </si>
  <si>
    <t>&gt;60</t>
  </si>
  <si>
    <t>CO WISE MAX. MARKS</t>
  </si>
  <si>
    <t>Percentage of CO Attainment</t>
  </si>
  <si>
    <t>CO Attainment Grade</t>
  </si>
  <si>
    <t>L1</t>
  </si>
  <si>
    <t>L2</t>
  </si>
  <si>
    <t>L3</t>
  </si>
  <si>
    <t>L4</t>
  </si>
  <si>
    <t>Excellent</t>
  </si>
  <si>
    <t>&gt;70</t>
  </si>
  <si>
    <t>ROLL NO.</t>
  </si>
  <si>
    <t>NAME</t>
  </si>
  <si>
    <t>CO1 %</t>
  </si>
  <si>
    <t>CO2 %</t>
  </si>
  <si>
    <t>CO3 %</t>
  </si>
  <si>
    <t>CO4 %</t>
  </si>
  <si>
    <t>CO5 %</t>
  </si>
  <si>
    <t>CO6 %</t>
  </si>
  <si>
    <t>CO7 %</t>
  </si>
  <si>
    <t>CO8 %</t>
  </si>
  <si>
    <t>CO1 T</t>
  </si>
  <si>
    <t>CO2 T</t>
  </si>
  <si>
    <t>CO3 T</t>
  </si>
  <si>
    <t>CO4 T</t>
  </si>
  <si>
    <t>CO5 T</t>
  </si>
  <si>
    <t>CO6 T</t>
  </si>
  <si>
    <t>CO7 T</t>
  </si>
  <si>
    <t>CO8 T</t>
  </si>
  <si>
    <t>&lt;40%</t>
  </si>
  <si>
    <t>&lt;50%</t>
  </si>
  <si>
    <t>&lt;60%</t>
  </si>
  <si>
    <t>&lt;70%</t>
  </si>
  <si>
    <t>≥70%</t>
  </si>
  <si>
    <t>Threshold (%)</t>
  </si>
  <si>
    <t>Institution Target (%)</t>
  </si>
  <si>
    <t>Pass</t>
  </si>
  <si>
    <t>Second</t>
  </si>
  <si>
    <t>First</t>
  </si>
  <si>
    <t>Distinction</t>
  </si>
  <si>
    <t>Total</t>
  </si>
  <si>
    <t>&gt; 40</t>
  </si>
  <si>
    <t>Level of Attainment</t>
  </si>
  <si>
    <t>CO Attainment</t>
  </si>
  <si>
    <t>CO5</t>
  </si>
  <si>
    <t>CO6</t>
  </si>
  <si>
    <t>CO7</t>
  </si>
  <si>
    <t>CO8</t>
  </si>
  <si>
    <t>ABSENT OR NOT ATTEMPTED</t>
  </si>
  <si>
    <t>PRESENT STUDENTS OR ATTEMPTED</t>
  </si>
  <si>
    <t>NO. OF STUDENTS SECURE MARKS&gt;THRESHOLD MARKS (40%)</t>
  </si>
  <si>
    <t>% OF STUDENTS SECURED MARKS&gt;THRESHOLD MARKS (40%)</t>
  </si>
  <si>
    <t>CO ATTAINMENT (&gt;70=3; &gt;60=2; &gt;50=1, OTHERWISE=0)</t>
  </si>
  <si>
    <t>INSTITUTION ATTAINMENT (%)</t>
  </si>
  <si>
    <t>COURSE:</t>
  </si>
  <si>
    <t>YEAR:</t>
  </si>
  <si>
    <t>SEMESTER:</t>
  </si>
  <si>
    <t>SUBJECT:</t>
  </si>
  <si>
    <t>SUBJECT CODE: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</si>
  <si>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</si>
  <si>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</si>
  <si>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</si>
  <si>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</si>
  <si>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</si>
  <si>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</si>
  <si>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</si>
  <si>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</si>
  <si>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</si>
  <si>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</si>
  <si>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</si>
  <si>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</si>
  <si>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</si>
  <si>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</si>
  <si>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</si>
  <si>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-</t>
  </si>
  <si>
    <t>WT. AVG</t>
  </si>
  <si>
    <t>Overall Mapping of Subject</t>
  </si>
  <si>
    <t>AVG</t>
  </si>
  <si>
    <t>Overall Attainment of Subject</t>
  </si>
  <si>
    <t>CO PO PSO MAPPING</t>
  </si>
  <si>
    <t>CO - PO- PSO ATTAINMENT</t>
  </si>
  <si>
    <t>&gt;=50</t>
  </si>
  <si>
    <t>Practical</t>
  </si>
  <si>
    <t>Q5</t>
  </si>
  <si>
    <t>A(i)</t>
  </si>
  <si>
    <t>A(iii)</t>
  </si>
  <si>
    <t>Abhishek</t>
  </si>
  <si>
    <t>Adhi Nandan Naik</t>
  </si>
  <si>
    <t>Ajaya Pundalik Naik</t>
  </si>
  <si>
    <t>Ansel Monteiro</t>
  </si>
  <si>
    <t>Apurba Singh</t>
  </si>
  <si>
    <t>Arnav Ravalnath Chodankar</t>
  </si>
  <si>
    <t>Ayush Ram Asare Maurya</t>
  </si>
  <si>
    <t>Disha Deepak Lamani</t>
  </si>
  <si>
    <t>Feyvan Cardozo</t>
  </si>
  <si>
    <t>Kapil Rajkumar Nishad</t>
  </si>
  <si>
    <t>Leo Gama</t>
  </si>
  <si>
    <t>Pratiksha Yadav</t>
  </si>
  <si>
    <t>Pravin Chandrashekar Rathod</t>
  </si>
  <si>
    <t>Prithviraj Chauhan</t>
  </si>
  <si>
    <t>Puneet Pavar</t>
  </si>
  <si>
    <t>Rakshata Madar</t>
  </si>
  <si>
    <t>Ruturaj Rajendra Talawadekar</t>
  </si>
  <si>
    <t>Ram Bahadur Thapa</t>
  </si>
  <si>
    <t>Devangi Masurkar</t>
  </si>
  <si>
    <t>Reetika Waghmare</t>
  </si>
  <si>
    <t>Risha Ashok Pednekar</t>
  </si>
  <si>
    <t>Nancy Gudime</t>
  </si>
  <si>
    <t>Sakshi Singh</t>
  </si>
  <si>
    <t>Sandhya Yadav</t>
  </si>
  <si>
    <t>Satyam Kumar</t>
  </si>
  <si>
    <t>Sayed Adnan Nabeel</t>
  </si>
  <si>
    <t>Sayed Imaad Ahmed</t>
  </si>
  <si>
    <t>Sayed Lucky Ali</t>
  </si>
  <si>
    <t>Shivam Verma</t>
  </si>
  <si>
    <t>Sonu Anilkumar Srivastav</t>
  </si>
  <si>
    <t>Sooraj Prakash Mesta</t>
  </si>
  <si>
    <t>Sumeet Pradeep Gupta</t>
  </si>
  <si>
    <t>Tanuja Kumari Singh</t>
  </si>
  <si>
    <t>Trupti Kasar</t>
  </si>
  <si>
    <t>Varun Kumar Verma</t>
  </si>
  <si>
    <t>Blessy</t>
  </si>
  <si>
    <t>A Ajaykrish</t>
  </si>
  <si>
    <t>Amruta Manjunath Kurdekar</t>
  </si>
  <si>
    <t>Anita Basuraj Valmiki</t>
  </si>
  <si>
    <t>Ashutosh Anant Gawas</t>
  </si>
  <si>
    <t>Awyaz Gafur</t>
  </si>
  <si>
    <t>Bhavesh Gautam</t>
  </si>
  <si>
    <t>Belgawker Vishaka Vijay</t>
  </si>
  <si>
    <t>David S Guru</t>
  </si>
  <si>
    <t>Deepa Basu Belagali</t>
  </si>
  <si>
    <t>Devaki Timmapa Deshbhandari</t>
  </si>
  <si>
    <t>Harry Ashnoy Roberto</t>
  </si>
  <si>
    <t>Hema Paswan</t>
  </si>
  <si>
    <t>Kashinath Shamsunder Chari</t>
  </si>
  <si>
    <t>Kushal Naik</t>
  </si>
  <si>
    <t>Nirmiti Narayan Shetye</t>
  </si>
  <si>
    <t>Meghana Govindappa Madar</t>
  </si>
  <si>
    <t>Melifa Liberata Fernandes</t>
  </si>
  <si>
    <t>Nahid Raza Ansari</t>
  </si>
  <si>
    <t>Manoj Jagadeesh Tonashyal</t>
  </si>
  <si>
    <t>Nazeer Farzeen Moilanjikkal</t>
  </si>
  <si>
    <t>Nisar Ahmed Shaikh</t>
  </si>
  <si>
    <t>Reeshikesh Verma</t>
  </si>
  <si>
    <t>Rehaan Shaikh</t>
  </si>
  <si>
    <t>Ruhulamin</t>
  </si>
  <si>
    <t>Sagardutt Sushantsen Dicholkar</t>
  </si>
  <si>
    <t>Salcar Yuvika Vishnum</t>
  </si>
  <si>
    <t>Sana Shaikh</t>
  </si>
  <si>
    <t>Shreenita Bhattacharjee</t>
  </si>
  <si>
    <t>Shreshth Udai Alornecar</t>
  </si>
  <si>
    <t>Shrustri Madar</t>
  </si>
  <si>
    <t>Uday Rajkumar Nishad</t>
  </si>
  <si>
    <t>V Rahul Jairam Rathod</t>
  </si>
  <si>
    <t>Yash Vijay Korgaonkar</t>
  </si>
  <si>
    <t>Zuriel Samuel Fernandes</t>
  </si>
  <si>
    <t>Shafi Shaikh</t>
  </si>
  <si>
    <t>ab</t>
  </si>
  <si>
    <t>D</t>
  </si>
  <si>
    <t>A(iIi)</t>
  </si>
  <si>
    <t>ISA(Theory/Practical)</t>
  </si>
  <si>
    <t>ISA1(T)</t>
  </si>
  <si>
    <t>ISA2(T)</t>
  </si>
  <si>
    <t>ISA1(P)</t>
  </si>
  <si>
    <t>ISA2(P)</t>
  </si>
  <si>
    <t>ISA3(P)</t>
  </si>
  <si>
    <t>Rajesh Tanksali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</si>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</sst>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&quot;DEPARTMENT&quot;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Myanmar Text"/>
      <family val="2"/>
    </font>
    <font>
      <b/>
      <sz val="10"/>
      <color theme="1"/>
      <name val="Myanmar Text"/>
      <family val="2"/>
    </font>
    <font>
      <b/>
      <sz val="12"/>
      <color theme="0"/>
      <name val="Myanmar Text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thick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0" fillId="0" borderId="9" xfId="0" applyBorder="1" applyAlignment="1" applyProtection="1">
      <alignment vertical="center"/>
      <protection hidden="1"/>
    </xf>
    <xf numFmtId="0" fontId="0" fillId="13" borderId="9" xfId="0" applyFill="1" applyBorder="1" applyProtection="1">
      <protection hidden="1"/>
    </xf>
    <xf numFmtId="0" fontId="0" fillId="0" borderId="9" xfId="0" applyBorder="1" applyProtection="1">
      <protection hidden="1"/>
    </xf>
    <xf numFmtId="0" fontId="1" fillId="13" borderId="9" xfId="0" applyFont="1" applyFill="1" applyBorder="1" applyProtection="1">
      <protection hidden="1"/>
    </xf>
    <xf numFmtId="0" fontId="0" fillId="13" borderId="9" xfId="0" applyFill="1" applyBorder="1" applyAlignment="1" applyProtection="1">
      <alignment vertical="center"/>
      <protection hidden="1"/>
    </xf>
    <xf numFmtId="0" fontId="1" fillId="6" borderId="12" xfId="0" applyFont="1" applyFill="1" applyBorder="1" applyAlignment="1" applyProtection="1">
      <alignment horizontal="center"/>
      <protection hidden="1"/>
    </xf>
    <xf numFmtId="0" fontId="1" fillId="6" borderId="9" xfId="0" applyFont="1" applyFill="1" applyBorder="1" applyAlignment="1" applyProtection="1">
      <alignment horizontal="center"/>
      <protection hidden="1"/>
    </xf>
    <xf numFmtId="0" fontId="0" fillId="13" borderId="14" xfId="0" applyFill="1" applyBorder="1" applyAlignment="1" applyProtection="1">
      <alignment vertical="center"/>
      <protection hidden="1"/>
    </xf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3" borderId="1" xfId="0" applyFont="1" applyFill="1" applyBorder="1" applyAlignment="1" applyProtection="1">
      <alignment vertical="center" wrapText="1"/>
      <protection locked="0"/>
    </xf>
    <xf numFmtId="0" fontId="3" fillId="3" borderId="4" xfId="0" applyFont="1" applyFill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0" fillId="0" borderId="9" xfId="0" applyBorder="1" applyProtection="1">
      <protection locked="0"/>
    </xf>
    <xf numFmtId="0" fontId="1" fillId="8" borderId="9" xfId="0" applyFont="1" applyFill="1" applyBorder="1" applyProtection="1">
      <protection locked="0"/>
    </xf>
    <xf numFmtId="0" fontId="1" fillId="0" borderId="9" xfId="0" applyFont="1" applyBorder="1" applyProtection="1">
      <protection locked="0"/>
    </xf>
    <xf numFmtId="0" fontId="0" fillId="8" borderId="9" xfId="0" applyFill="1" applyBorder="1" applyProtection="1">
      <protection locked="0"/>
    </xf>
    <xf numFmtId="0" fontId="1" fillId="9" borderId="9" xfId="0" applyFont="1" applyFill="1" applyBorder="1" applyProtection="1">
      <protection locked="0"/>
    </xf>
    <xf numFmtId="0" fontId="1" fillId="10" borderId="9" xfId="0" applyFont="1" applyFill="1" applyBorder="1" applyProtection="1">
      <protection locked="0"/>
    </xf>
    <xf numFmtId="0" fontId="1" fillId="11" borderId="9" xfId="0" applyFont="1" applyFill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5" borderId="9" xfId="0" applyFont="1" applyFill="1" applyBorder="1" applyProtection="1">
      <protection locked="0"/>
    </xf>
    <xf numFmtId="0" fontId="1" fillId="13" borderId="9" xfId="0" applyFont="1" applyFill="1" applyBorder="1" applyProtection="1">
      <protection locked="0"/>
    </xf>
    <xf numFmtId="0" fontId="1" fillId="11" borderId="0" xfId="0" applyFont="1" applyFill="1" applyProtection="1">
      <protection locked="0"/>
    </xf>
    <xf numFmtId="0" fontId="1" fillId="14" borderId="9" xfId="0" applyFont="1" applyFill="1" applyBorder="1" applyAlignment="1" applyProtection="1">
      <alignment horizontal="center"/>
      <protection locked="0"/>
    </xf>
    <xf numFmtId="1" fontId="1" fillId="14" borderId="9" xfId="0" applyNumberFormat="1" applyFont="1" applyFill="1" applyBorder="1" applyAlignment="1" applyProtection="1">
      <alignment horizontal="center"/>
      <protection locked="0"/>
    </xf>
    <xf numFmtId="0" fontId="1" fillId="0" borderId="11" xfId="0" applyFont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16" borderId="9" xfId="0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9" borderId="9" xfId="0" applyFill="1" applyBorder="1" applyProtection="1">
      <protection locked="0"/>
    </xf>
    <xf numFmtId="0" fontId="0" fillId="9" borderId="9" xfId="0" applyFill="1" applyBorder="1" applyAlignment="1" applyProtection="1">
      <alignment horizontal="center"/>
      <protection locked="0"/>
    </xf>
    <xf numFmtId="0" fontId="0" fillId="10" borderId="9" xfId="0" applyFill="1" applyBorder="1" applyProtection="1">
      <protection locked="0"/>
    </xf>
    <xf numFmtId="0" fontId="0" fillId="10" borderId="9" xfId="0" applyFill="1" applyBorder="1" applyAlignment="1" applyProtection="1">
      <alignment horizontal="center"/>
      <protection locked="0"/>
    </xf>
    <xf numFmtId="0" fontId="0" fillId="11" borderId="9" xfId="0" applyFill="1" applyBorder="1" applyProtection="1">
      <protection locked="0"/>
    </xf>
    <xf numFmtId="0" fontId="0" fillId="11" borderId="9" xfId="0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2" fontId="6" fillId="0" borderId="31" xfId="0" applyNumberFormat="1" applyFont="1" applyBorder="1" applyAlignment="1" applyProtection="1">
      <alignment horizontal="center" vertical="center"/>
      <protection locked="0"/>
    </xf>
    <xf numFmtId="2" fontId="6" fillId="0" borderId="25" xfId="0" applyNumberFormat="1" applyFont="1" applyBorder="1" applyAlignment="1" applyProtection="1">
      <alignment horizontal="center" vertical="center"/>
      <protection locked="0"/>
    </xf>
    <xf numFmtId="2" fontId="6" fillId="0" borderId="26" xfId="0" applyNumberFormat="1" applyFont="1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6" fillId="19" borderId="27" xfId="0" applyFont="1" applyFill="1" applyBorder="1" applyAlignment="1" applyProtection="1">
      <alignment horizontal="center" vertical="center"/>
      <protection locked="0"/>
    </xf>
    <xf numFmtId="0" fontId="7" fillId="8" borderId="27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2" fontId="6" fillId="8" borderId="27" xfId="0" applyNumberFormat="1" applyFont="1" applyFill="1" applyBorder="1" applyAlignment="1" applyProtection="1">
      <alignment horizontal="center" vertical="center"/>
      <protection hidden="1"/>
    </xf>
    <xf numFmtId="2" fontId="6" fillId="0" borderId="27" xfId="0" applyNumberFormat="1" applyFont="1" applyBorder="1" applyAlignment="1" applyProtection="1">
      <alignment horizontal="center" vertical="center"/>
      <protection hidden="1"/>
    </xf>
    <xf numFmtId="2" fontId="8" fillId="0" borderId="0" xfId="0" applyNumberFormat="1" applyFont="1" applyAlignment="1" applyProtection="1">
      <alignment horizontal="center" vertical="center"/>
      <protection hidden="1"/>
    </xf>
    <xf numFmtId="0" fontId="3" fillId="3" borderId="22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9" fillId="0" borderId="34" xfId="0" applyFont="1" applyBorder="1" applyAlignment="1" applyProtection="1">
      <alignment horizontal="center" wrapText="1"/>
      <protection locked="0"/>
    </xf>
    <xf numFmtId="0" fontId="9" fillId="20" borderId="35" xfId="0" applyFont="1" applyFill="1" applyBorder="1" applyAlignment="1" applyProtection="1">
      <alignment wrapText="1"/>
      <protection locked="0"/>
    </xf>
    <xf numFmtId="0" fontId="9" fillId="0" borderId="36" xfId="0" applyFont="1" applyBorder="1" applyAlignment="1" applyProtection="1">
      <alignment horizontal="center" wrapText="1"/>
      <protection locked="0"/>
    </xf>
    <xf numFmtId="0" fontId="9" fillId="20" borderId="37" xfId="0" applyFont="1" applyFill="1" applyBorder="1" applyAlignment="1" applyProtection="1">
      <alignment wrapText="1"/>
      <protection locked="0"/>
    </xf>
    <xf numFmtId="0" fontId="9" fillId="0" borderId="37" xfId="0" applyFont="1" applyBorder="1" applyAlignment="1" applyProtection="1">
      <alignment wrapText="1"/>
      <protection locked="0"/>
    </xf>
    <xf numFmtId="0" fontId="10" fillId="0" borderId="38" xfId="0" applyFont="1" applyBorder="1" applyAlignment="1" applyProtection="1">
      <alignment wrapText="1"/>
      <protection locked="0"/>
    </xf>
    <xf numFmtId="0" fontId="9" fillId="20" borderId="34" xfId="0" applyFont="1" applyFill="1" applyBorder="1" applyAlignment="1" applyProtection="1">
      <alignment horizontal="center" wrapText="1"/>
      <protection locked="0"/>
    </xf>
    <xf numFmtId="0" fontId="9" fillId="20" borderId="36" xfId="0" applyFont="1" applyFill="1" applyBorder="1" applyAlignment="1" applyProtection="1">
      <alignment horizontal="center" wrapText="1"/>
      <protection locked="0"/>
    </xf>
    <xf numFmtId="0" fontId="0" fillId="0" borderId="14" xfId="0" applyBorder="1" applyProtection="1">
      <protection locked="0"/>
    </xf>
    <xf numFmtId="0" fontId="0" fillId="0" borderId="14" xfId="0" applyBorder="1" applyAlignment="1" applyProtection="1">
      <alignment vertical="center"/>
      <protection hidden="1"/>
    </xf>
    <xf numFmtId="0" fontId="0" fillId="0" borderId="14" xfId="0" applyBorder="1" applyProtection="1">
      <protection hidden="1"/>
    </xf>
    <xf numFmtId="0" fontId="9" fillId="20" borderId="39" xfId="0" applyFont="1" applyFill="1" applyBorder="1" applyAlignment="1" applyProtection="1">
      <alignment horizontal="center" wrapText="1"/>
      <protection locked="0"/>
    </xf>
    <xf numFmtId="0" fontId="9" fillId="20" borderId="40" xfId="0" applyFont="1" applyFill="1" applyBorder="1" applyAlignment="1" applyProtection="1">
      <alignment wrapText="1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vertical="center"/>
      <protection hidden="1"/>
    </xf>
    <xf numFmtId="0" fontId="0" fillId="0" borderId="13" xfId="0" applyBorder="1" applyProtection="1">
      <protection hidden="1"/>
    </xf>
    <xf numFmtId="0" fontId="11" fillId="0" borderId="41" xfId="0" applyFont="1" applyBorder="1" applyAlignment="1" applyProtection="1">
      <alignment horizontal="center" wrapText="1"/>
      <protection locked="0"/>
    </xf>
    <xf numFmtId="0" fontId="11" fillId="0" borderId="42" xfId="0" applyFont="1" applyBorder="1" applyAlignment="1" applyProtection="1">
      <alignment wrapText="1"/>
      <protection locked="0"/>
    </xf>
    <xf numFmtId="0" fontId="0" fillId="0" borderId="43" xfId="0" applyBorder="1" applyProtection="1">
      <protection locked="0"/>
    </xf>
    <xf numFmtId="0" fontId="0" fillId="0" borderId="43" xfId="0" applyBorder="1" applyAlignment="1" applyProtection="1">
      <alignment vertical="center"/>
      <protection hidden="1"/>
    </xf>
    <xf numFmtId="0" fontId="0" fillId="0" borderId="43" xfId="0" applyBorder="1" applyProtection="1">
      <protection hidden="1"/>
    </xf>
    <xf numFmtId="0" fontId="12" fillId="0" borderId="44" xfId="0" applyFont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horizontal="center" vertical="center" wrapText="1"/>
      <protection locked="0"/>
    </xf>
    <xf numFmtId="0" fontId="12" fillId="9" borderId="45" xfId="0" applyFont="1" applyFill="1" applyBorder="1" applyAlignment="1" applyProtection="1">
      <alignment horizontal="center" vertical="center" wrapText="1"/>
      <protection locked="0"/>
    </xf>
    <xf numFmtId="0" fontId="12" fillId="0" borderId="46" xfId="0" applyFont="1" applyBorder="1" applyAlignment="1" applyProtection="1">
      <alignment horizontal="center" vertical="center" wrapText="1"/>
      <protection locked="0"/>
    </xf>
    <xf numFmtId="0" fontId="11" fillId="9" borderId="47" xfId="0" applyFont="1" applyFill="1" applyBorder="1" applyAlignment="1" applyProtection="1">
      <alignment horizontal="center" vertical="center" wrapText="1"/>
      <protection locked="0"/>
    </xf>
    <xf numFmtId="0" fontId="12" fillId="0" borderId="48" xfId="0" applyFont="1" applyBorder="1" applyAlignment="1" applyProtection="1">
      <alignment horizontal="center" vertical="center" wrapText="1"/>
      <protection locked="0"/>
    </xf>
    <xf numFmtId="0" fontId="12" fillId="0" borderId="36" xfId="0" applyFont="1" applyBorder="1" applyAlignment="1" applyProtection="1">
      <alignment horizontal="center" vertical="center" wrapText="1"/>
      <protection locked="0"/>
    </xf>
    <xf numFmtId="0" fontId="12" fillId="9" borderId="36" xfId="0" applyFont="1" applyFill="1" applyBorder="1" applyAlignment="1" applyProtection="1">
      <alignment horizontal="center" vertical="center" wrapText="1"/>
      <protection locked="0"/>
    </xf>
    <xf numFmtId="0" fontId="12" fillId="0" borderId="34" xfId="0" applyFont="1" applyBorder="1" applyAlignment="1" applyProtection="1">
      <alignment horizontal="center" vertical="center" wrapText="1"/>
      <protection locked="0"/>
    </xf>
    <xf numFmtId="0" fontId="11" fillId="0" borderId="49" xfId="0" applyFont="1" applyBorder="1" applyAlignment="1" applyProtection="1">
      <alignment horizontal="center" vertical="center" wrapText="1"/>
      <protection locked="0"/>
    </xf>
    <xf numFmtId="0" fontId="12" fillId="0" borderId="48" xfId="0" applyFont="1" applyBorder="1" applyAlignment="1" applyProtection="1">
      <alignment horizontal="center" wrapText="1"/>
      <protection locked="0"/>
    </xf>
    <xf numFmtId="0" fontId="12" fillId="0" borderId="50" xfId="0" applyFont="1" applyBorder="1" applyAlignment="1" applyProtection="1">
      <alignment horizontal="center" wrapText="1"/>
      <protection locked="0"/>
    </xf>
    <xf numFmtId="0" fontId="12" fillId="0" borderId="36" xfId="0" applyFont="1" applyBorder="1" applyAlignment="1" applyProtection="1">
      <alignment horizontal="center" wrapText="1"/>
      <protection locked="0"/>
    </xf>
    <xf numFmtId="0" fontId="12" fillId="0" borderId="51" xfId="0" applyFont="1" applyBorder="1" applyAlignment="1" applyProtection="1">
      <alignment horizontal="center" wrapText="1"/>
      <protection locked="0"/>
    </xf>
    <xf numFmtId="0" fontId="12" fillId="9" borderId="51" xfId="0" applyFont="1" applyFill="1" applyBorder="1" applyAlignment="1" applyProtection="1">
      <alignment horizontal="center" wrapText="1"/>
      <protection locked="0"/>
    </xf>
    <xf numFmtId="0" fontId="11" fillId="0" borderId="51" xfId="0" applyFont="1" applyBorder="1" applyAlignment="1" applyProtection="1">
      <alignment horizontal="center" wrapText="1"/>
      <protection locked="0"/>
    </xf>
    <xf numFmtId="0" fontId="12" fillId="9" borderId="36" xfId="0" applyFont="1" applyFill="1" applyBorder="1" applyAlignment="1" applyProtection="1">
      <alignment horizontal="center" wrapText="1"/>
      <protection locked="0"/>
    </xf>
    <xf numFmtId="0" fontId="11" fillId="9" borderId="52" xfId="0" applyFont="1" applyFill="1" applyBorder="1" applyAlignment="1" applyProtection="1">
      <alignment horizontal="center" wrapText="1"/>
      <protection locked="0"/>
    </xf>
    <xf numFmtId="0" fontId="11" fillId="0" borderId="49" xfId="0" applyFont="1" applyBorder="1" applyAlignment="1" applyProtection="1">
      <alignment horizontal="center" wrapText="1"/>
      <protection locked="0"/>
    </xf>
    <xf numFmtId="0" fontId="12" fillId="0" borderId="34" xfId="0" applyFont="1" applyBorder="1" applyAlignment="1" applyProtection="1">
      <alignment horizontal="right" wrapText="1"/>
      <protection locked="0"/>
    </xf>
    <xf numFmtId="0" fontId="12" fillId="0" borderId="53" xfId="0" applyFont="1" applyBorder="1" applyAlignment="1" applyProtection="1">
      <alignment horizontal="right" wrapText="1"/>
      <protection locked="0"/>
    </xf>
    <xf numFmtId="0" fontId="12" fillId="0" borderId="53" xfId="0" applyFont="1" applyBorder="1" applyAlignment="1" applyProtection="1">
      <alignment horizontal="center" wrapText="1"/>
      <protection locked="0"/>
    </xf>
    <xf numFmtId="0" fontId="12" fillId="0" borderId="36" xfId="0" applyFont="1" applyBorder="1" applyAlignment="1" applyProtection="1">
      <alignment horizontal="right" wrapText="1"/>
      <protection locked="0"/>
    </xf>
    <xf numFmtId="0" fontId="12" fillId="0" borderId="51" xfId="0" applyFont="1" applyBorder="1" applyAlignment="1" applyProtection="1">
      <alignment horizontal="right" wrapText="1"/>
      <protection locked="0"/>
    </xf>
    <xf numFmtId="0" fontId="11" fillId="0" borderId="51" xfId="0" applyFont="1" applyBorder="1" applyAlignment="1" applyProtection="1">
      <alignment wrapText="1"/>
      <protection locked="0"/>
    </xf>
    <xf numFmtId="0" fontId="12" fillId="5" borderId="36" xfId="0" applyFont="1" applyFill="1" applyBorder="1" applyAlignment="1" applyProtection="1">
      <alignment wrapText="1"/>
      <protection locked="0"/>
    </xf>
    <xf numFmtId="0" fontId="12" fillId="5" borderId="51" xfId="0" applyFont="1" applyFill="1" applyBorder="1" applyAlignment="1" applyProtection="1">
      <alignment wrapText="1"/>
      <protection locked="0"/>
    </xf>
    <xf numFmtId="0" fontId="12" fillId="0" borderId="39" xfId="0" applyFont="1" applyBorder="1" applyAlignment="1" applyProtection="1">
      <alignment horizontal="right" wrapText="1"/>
      <protection locked="0"/>
    </xf>
    <xf numFmtId="0" fontId="12" fillId="0" borderId="54" xfId="0" applyFont="1" applyBorder="1" applyAlignment="1" applyProtection="1">
      <alignment horizontal="right" wrapText="1"/>
      <protection locked="0"/>
    </xf>
    <xf numFmtId="0" fontId="12" fillId="0" borderId="54" xfId="0" applyFont="1" applyBorder="1" applyAlignment="1" applyProtection="1">
      <alignment horizontal="center" wrapText="1"/>
      <protection locked="0"/>
    </xf>
    <xf numFmtId="0" fontId="11" fillId="0" borderId="55" xfId="0" applyFont="1" applyBorder="1" applyAlignment="1" applyProtection="1">
      <alignment horizontal="right" wrapText="1"/>
      <protection locked="0"/>
    </xf>
    <xf numFmtId="0" fontId="11" fillId="0" borderId="41" xfId="0" applyFont="1" applyBorder="1" applyAlignment="1" applyProtection="1">
      <alignment horizontal="right" wrapText="1"/>
      <protection locked="0"/>
    </xf>
    <xf numFmtId="0" fontId="11" fillId="0" borderId="56" xfId="0" applyFont="1" applyBorder="1" applyAlignment="1" applyProtection="1">
      <alignment horizontal="right" wrapText="1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4" fillId="4" borderId="21" xfId="0" applyFont="1" applyFill="1" applyBorder="1" applyAlignment="1" applyProtection="1">
      <alignment horizontal="center" vertical="center" wrapText="1"/>
      <protection locked="0"/>
    </xf>
    <xf numFmtId="0" fontId="4" fillId="4" borderId="22" xfId="0" applyFont="1" applyFill="1" applyBorder="1" applyAlignment="1" applyProtection="1">
      <alignment horizontal="center" vertical="center" wrapText="1"/>
      <protection locked="0"/>
    </xf>
    <xf numFmtId="0" fontId="3" fillId="4" borderId="22" xfId="0" applyFont="1" applyFill="1" applyBorder="1" applyAlignment="1" applyProtection="1">
      <alignment horizontal="center" vertical="center" wrapText="1"/>
      <protection locked="0"/>
    </xf>
    <xf numFmtId="0" fontId="3" fillId="3" borderId="22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 vertical="center" wrapText="1"/>
      <protection locked="0"/>
    </xf>
    <xf numFmtId="0" fontId="3" fillId="4" borderId="6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0" fillId="5" borderId="15" xfId="0" applyFill="1" applyBorder="1" applyAlignment="1" applyProtection="1">
      <alignment horizontal="center"/>
      <protection locked="0"/>
    </xf>
    <xf numFmtId="0" fontId="0" fillId="5" borderId="17" xfId="0" applyFill="1" applyBorder="1" applyAlignment="1" applyProtection="1">
      <alignment horizontal="center"/>
      <protection locked="0"/>
    </xf>
    <xf numFmtId="0" fontId="0" fillId="5" borderId="16" xfId="0" applyFill="1" applyBorder="1" applyAlignment="1" applyProtection="1">
      <alignment horizontal="center"/>
      <protection locked="0"/>
    </xf>
    <xf numFmtId="0" fontId="3" fillId="5" borderId="9" xfId="0" applyFont="1" applyFill="1" applyBorder="1" applyAlignment="1" applyProtection="1">
      <alignment horizontal="center" vertical="center" wrapText="1"/>
      <protection locked="0"/>
    </xf>
    <xf numFmtId="0" fontId="1" fillId="6" borderId="9" xfId="0" applyFont="1" applyFill="1" applyBorder="1" applyAlignment="1" applyProtection="1">
      <alignment horizontal="center"/>
      <protection locked="0"/>
    </xf>
    <xf numFmtId="0" fontId="1" fillId="7" borderId="9" xfId="0" applyFont="1" applyFill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1" fillId="5" borderId="10" xfId="0" applyFont="1" applyFill="1" applyBorder="1" applyAlignment="1" applyProtection="1">
      <alignment horizontal="center"/>
      <protection locked="0"/>
    </xf>
    <xf numFmtId="0" fontId="1" fillId="5" borderId="12" xfId="0" applyFont="1" applyFill="1" applyBorder="1" applyAlignment="1" applyProtection="1">
      <alignment horizontal="center"/>
      <protection locked="0"/>
    </xf>
    <xf numFmtId="0" fontId="0" fillId="12" borderId="10" xfId="0" applyFill="1" applyBorder="1" applyAlignment="1" applyProtection="1">
      <alignment horizontal="center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12" xfId="0" applyFill="1" applyBorder="1" applyAlignment="1" applyProtection="1">
      <alignment horizontal="center"/>
      <protection locked="0"/>
    </xf>
    <xf numFmtId="0" fontId="0" fillId="12" borderId="9" xfId="0" applyFill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11" xfId="0" applyFill="1" applyBorder="1" applyAlignment="1" applyProtection="1">
      <alignment horizontal="center"/>
      <protection locked="0"/>
    </xf>
    <xf numFmtId="0" fontId="0" fillId="5" borderId="12" xfId="0" applyFill="1" applyBorder="1" applyAlignment="1" applyProtection="1">
      <alignment horizontal="center"/>
      <protection locked="0"/>
    </xf>
    <xf numFmtId="0" fontId="0" fillId="5" borderId="18" xfId="0" applyFill="1" applyBorder="1" applyAlignment="1" applyProtection="1">
      <alignment horizontal="center"/>
      <protection locked="0"/>
    </xf>
    <xf numFmtId="0" fontId="0" fillId="5" borderId="19" xfId="0" applyFill="1" applyBorder="1" applyAlignment="1" applyProtection="1">
      <alignment horizontal="center"/>
      <protection locked="0"/>
    </xf>
    <xf numFmtId="0" fontId="0" fillId="5" borderId="20" xfId="0" applyFill="1" applyBorder="1" applyAlignment="1" applyProtection="1">
      <alignment horizontal="center"/>
      <protection locked="0"/>
    </xf>
    <xf numFmtId="0" fontId="0" fillId="15" borderId="18" xfId="0" applyFill="1" applyBorder="1" applyAlignment="1" applyProtection="1">
      <alignment horizontal="center"/>
      <protection locked="0"/>
    </xf>
    <xf numFmtId="0" fontId="0" fillId="15" borderId="19" xfId="0" applyFill="1" applyBorder="1" applyAlignment="1" applyProtection="1">
      <alignment horizontal="center"/>
      <protection locked="0"/>
    </xf>
    <xf numFmtId="0" fontId="0" fillId="15" borderId="20" xfId="0" applyFill="1" applyBorder="1" applyAlignment="1" applyProtection="1">
      <alignment horizontal="center"/>
      <protection locked="0"/>
    </xf>
    <xf numFmtId="1" fontId="0" fillId="15" borderId="15" xfId="0" applyNumberFormat="1" applyFill="1" applyBorder="1" applyAlignment="1" applyProtection="1">
      <alignment horizontal="center"/>
      <protection locked="0"/>
    </xf>
    <xf numFmtId="1" fontId="0" fillId="15" borderId="17" xfId="0" applyNumberFormat="1" applyFill="1" applyBorder="1" applyAlignment="1" applyProtection="1">
      <alignment horizontal="center"/>
      <protection locked="0"/>
    </xf>
    <xf numFmtId="1" fontId="0" fillId="15" borderId="16" xfId="0" applyNumberFormat="1" applyFill="1" applyBorder="1" applyAlignment="1" applyProtection="1">
      <alignment horizontal="center"/>
      <protection locked="0"/>
    </xf>
    <xf numFmtId="0" fontId="2" fillId="18" borderId="24" xfId="0" applyFont="1" applyFill="1" applyBorder="1" applyAlignment="1" applyProtection="1">
      <alignment horizontal="center" vertical="center"/>
      <protection locked="0"/>
    </xf>
    <xf numFmtId="0" fontId="2" fillId="18" borderId="25" xfId="0" applyFont="1" applyFill="1" applyBorder="1" applyAlignment="1" applyProtection="1">
      <alignment horizontal="center" vertical="center"/>
      <protection locked="0"/>
    </xf>
    <xf numFmtId="0" fontId="2" fillId="18" borderId="26" xfId="0" applyFont="1" applyFill="1" applyBorder="1" applyAlignment="1" applyProtection="1">
      <alignment horizontal="center" vertical="center"/>
      <protection locked="0"/>
    </xf>
    <xf numFmtId="2" fontId="6" fillId="8" borderId="24" xfId="0" applyNumberFormat="1" applyFont="1" applyFill="1" applyBorder="1" applyAlignment="1" applyProtection="1">
      <alignment horizontal="center" vertical="center"/>
      <protection locked="0"/>
    </xf>
    <xf numFmtId="2" fontId="6" fillId="8" borderId="25" xfId="0" applyNumberFormat="1" applyFont="1" applyFill="1" applyBorder="1" applyAlignment="1" applyProtection="1">
      <alignment horizontal="center" vertical="center"/>
      <protection locked="0"/>
    </xf>
    <xf numFmtId="2" fontId="6" fillId="8" borderId="26" xfId="0" applyNumberFormat="1" applyFont="1" applyFill="1" applyBorder="1" applyAlignment="1" applyProtection="1">
      <alignment horizontal="center" vertical="center"/>
      <protection locked="0"/>
    </xf>
    <xf numFmtId="0" fontId="5" fillId="3" borderId="27" xfId="0" applyFont="1" applyFill="1" applyBorder="1" applyAlignment="1" applyProtection="1">
      <alignment horizontal="center" vertical="center"/>
      <protection locked="0"/>
    </xf>
    <xf numFmtId="0" fontId="5" fillId="4" borderId="27" xfId="0" applyFont="1" applyFill="1" applyBorder="1" applyAlignment="1" applyProtection="1">
      <alignment horizontal="center" vertical="center"/>
      <protection locked="0"/>
    </xf>
    <xf numFmtId="164" fontId="5" fillId="3" borderId="27" xfId="0" applyNumberFormat="1" applyFont="1" applyFill="1" applyBorder="1" applyAlignment="1" applyProtection="1">
      <alignment horizontal="center" vertical="center"/>
      <protection locked="0"/>
    </xf>
    <xf numFmtId="0" fontId="3" fillId="17" borderId="24" xfId="0" applyFont="1" applyFill="1" applyBorder="1" applyAlignment="1" applyProtection="1">
      <alignment horizontal="center" vertical="center"/>
      <protection locked="0"/>
    </xf>
    <xf numFmtId="0" fontId="3" fillId="17" borderId="25" xfId="0" applyFont="1" applyFill="1" applyBorder="1" applyAlignment="1" applyProtection="1">
      <alignment horizontal="center" vertical="center"/>
      <protection locked="0"/>
    </xf>
    <xf numFmtId="0" fontId="3" fillId="17" borderId="26" xfId="0" applyFont="1" applyFill="1" applyBorder="1" applyAlignment="1" applyProtection="1">
      <alignment horizontal="center" vertical="center"/>
      <protection locked="0"/>
    </xf>
    <xf numFmtId="0" fontId="5" fillId="4" borderId="33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3" fillId="3" borderId="30" xfId="0" applyFont="1" applyFill="1" applyBorder="1" applyAlignment="1" applyProtection="1">
      <alignment horizontal="center" vertical="center" wrapText="1"/>
      <protection locked="0"/>
    </xf>
    <xf numFmtId="0" fontId="3" fillId="3" borderId="31" xfId="0" applyFont="1" applyFill="1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/>
      <protection locked="0"/>
    </xf>
    <xf numFmtId="0" fontId="5" fillId="3" borderId="33" xfId="0" applyFont="1" applyFill="1" applyBorder="1" applyAlignment="1" applyProtection="1">
      <alignment horizontal="center" vertical="center"/>
      <protection locked="0"/>
    </xf>
    <xf numFmtId="164" fontId="5" fillId="4" borderId="3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52</xdr:col>
      <xdr:colOff>396522</xdr:colOff>
      <xdr:row>23</xdr:row>
      <xdr:rowOff>184856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055371-BBA6-052C-41F1-FB49715E5C9B}"/>
            </a:ext>
          </a:extLst>
        </xdr:cNvPr>
        <xdr:cNvSpPr txBox="1"/>
      </xdr:nvSpPr>
      <xdr:spPr>
        <a:xfrm>
          <a:off x="41544522" y="494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71CB-4ED6-264B-AE14-A4D5F4E51A97}">
  <sheetPr codeName="Sheet1"/>
  <dimension ref="A1:BA211"/>
  <sheetViews>
    <sheetView showGridLines="0" tabSelected="1" topLeftCell="B1" zoomScaleNormal="100" workbookViewId="0">
      <pane ySplit="11" topLeftCell="A12" activePane="bottomLeft" state="frozen"/>
      <selection pane="bottomLeft" activeCell="C13" sqref="C13"/>
    </sheetView>
  </sheetViews>
  <sheetFormatPr defaultColWidth="10.796875" defaultRowHeight="15.6" x14ac:dyDescent="0.3"/>
  <cols>
    <col min="1" max="1" width="9" style="9" bestFit="1" customWidth="1"/>
    <col min="2" max="2" width="29.19921875" style="9" customWidth="1"/>
    <col min="3" max="3" width="6.3984375" style="9" customWidth="1"/>
    <col min="4" max="4" width="6.5" style="9" customWidth="1"/>
    <col min="5" max="5" width="6.3984375" style="9" customWidth="1"/>
    <col min="6" max="6" width="6.5" style="9" customWidth="1"/>
    <col min="7" max="7" width="6.59765625" style="9" customWidth="1"/>
    <col min="8" max="23" width="10.5" style="9" customWidth="1"/>
    <col min="24" max="25" width="4.5" style="9" bestFit="1" customWidth="1"/>
    <col min="26" max="26" width="11.296875" style="9" customWidth="1"/>
    <col min="27" max="28" width="13.796875" style="9" bestFit="1" customWidth="1"/>
    <col min="29" max="29" width="14.296875" style="9" bestFit="1" customWidth="1"/>
    <col min="30" max="33" width="14.296875" style="9" customWidth="1"/>
    <col min="34" max="34" width="13.796875" style="9" bestFit="1" customWidth="1"/>
    <col min="35" max="35" width="19.69921875" style="9" bestFit="1" customWidth="1"/>
    <col min="36" max="37" width="6" style="9" bestFit="1" customWidth="1"/>
    <col min="38" max="41" width="6" style="9" customWidth="1"/>
    <col min="42" max="42" width="6" style="9" bestFit="1" customWidth="1"/>
    <col min="43" max="43" width="10.796875" style="9"/>
    <col min="44" max="45" width="5.796875" style="9" bestFit="1" customWidth="1"/>
    <col min="46" max="46" width="7.296875" style="9" bestFit="1" customWidth="1"/>
    <col min="47" max="47" width="5.796875" style="9" bestFit="1" customWidth="1"/>
    <col min="48" max="48" width="10.69921875" style="9" bestFit="1" customWidth="1"/>
    <col min="49" max="49" width="5.5" style="9" bestFit="1" customWidth="1"/>
    <col min="50" max="50" width="12.5" style="9" bestFit="1" customWidth="1"/>
    <col min="51" max="51" width="18.796875" style="9" bestFit="1" customWidth="1"/>
    <col min="52" max="52" width="18.296875" style="9" bestFit="1" customWidth="1"/>
    <col min="53" max="53" width="13.796875" style="9" bestFit="1" customWidth="1"/>
    <col min="54" max="54" width="4.796875" style="9" bestFit="1" customWidth="1"/>
    <col min="55" max="55" width="9.796875" style="9" bestFit="1" customWidth="1"/>
    <col min="56" max="16384" width="10.796875" style="9"/>
  </cols>
  <sheetData>
    <row r="1" spans="1:53" ht="21" customHeight="1" thickBot="1" x14ac:dyDescent="0.35">
      <c r="C1" s="109" t="s">
        <v>0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53" ht="22.95" customHeight="1" thickTop="1" thickBot="1" x14ac:dyDescent="0.35">
      <c r="B2" s="11" t="s">
        <v>1</v>
      </c>
      <c r="C2" s="113" t="s">
        <v>189</v>
      </c>
      <c r="D2" s="114"/>
      <c r="E2" s="114"/>
      <c r="F2" s="114"/>
      <c r="G2" s="114"/>
      <c r="H2" s="114"/>
      <c r="I2" s="114"/>
      <c r="J2" s="114"/>
      <c r="K2" s="114"/>
      <c r="L2" s="115"/>
      <c r="M2" s="115"/>
      <c r="N2" s="115"/>
      <c r="O2" s="116"/>
      <c r="P2" s="116"/>
      <c r="Q2" s="116"/>
      <c r="R2" s="116"/>
      <c r="S2" s="116"/>
      <c r="T2" s="116"/>
      <c r="U2" s="53"/>
      <c r="V2" s="53"/>
      <c r="W2" s="53"/>
      <c r="X2" s="117"/>
      <c r="Y2" s="117"/>
      <c r="Z2" s="117"/>
      <c r="AA2" s="117"/>
      <c r="AB2" s="117"/>
      <c r="AC2" s="117"/>
      <c r="AD2" s="117"/>
      <c r="AE2" s="117"/>
      <c r="AF2" s="117"/>
      <c r="AG2" s="118"/>
    </row>
    <row r="3" spans="1:53" ht="16.95" customHeight="1" thickBot="1" x14ac:dyDescent="0.35">
      <c r="B3" s="12" t="s">
        <v>2</v>
      </c>
      <c r="C3" s="119" t="s">
        <v>3</v>
      </c>
      <c r="D3" s="120"/>
      <c r="E3" s="120"/>
      <c r="F3" s="120"/>
      <c r="G3" s="120"/>
      <c r="H3" s="120"/>
      <c r="I3" s="120"/>
      <c r="J3" s="120"/>
      <c r="K3" s="120"/>
      <c r="L3" s="121"/>
      <c r="M3" s="121"/>
      <c r="N3" s="122"/>
      <c r="O3" s="123"/>
      <c r="P3" s="123"/>
      <c r="Q3" s="123"/>
      <c r="R3" s="123"/>
      <c r="S3" s="123"/>
      <c r="T3" s="123"/>
      <c r="U3" s="54"/>
      <c r="V3" s="54"/>
      <c r="W3" s="54"/>
      <c r="X3" s="110"/>
      <c r="Y3" s="110"/>
      <c r="Z3" s="110"/>
      <c r="AA3" s="111"/>
      <c r="AB3" s="111"/>
      <c r="AC3" s="111"/>
      <c r="AD3" s="111"/>
      <c r="AE3" s="111"/>
      <c r="AF3" s="111"/>
      <c r="AG3" s="112"/>
    </row>
    <row r="4" spans="1:53" ht="18" customHeight="1" x14ac:dyDescent="0.3">
      <c r="A4" s="127" t="s">
        <v>4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</row>
    <row r="6" spans="1:53" x14ac:dyDescent="0.3">
      <c r="B6" s="14"/>
      <c r="C6" s="128" t="s">
        <v>183</v>
      </c>
      <c r="D6" s="128"/>
      <c r="E6" s="128"/>
      <c r="F6" s="128"/>
      <c r="G6" s="128"/>
      <c r="H6" s="129" t="s">
        <v>5</v>
      </c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spans="1:53" x14ac:dyDescent="0.3">
      <c r="B7" s="15" t="s">
        <v>6</v>
      </c>
      <c r="C7" s="16" t="s">
        <v>184</v>
      </c>
      <c r="D7" s="16" t="s">
        <v>185</v>
      </c>
      <c r="E7" s="16" t="s">
        <v>186</v>
      </c>
      <c r="F7" s="16" t="s">
        <v>187</v>
      </c>
      <c r="G7" s="16" t="s">
        <v>188</v>
      </c>
      <c r="H7" s="130" t="s">
        <v>7</v>
      </c>
      <c r="I7" s="131"/>
      <c r="J7" s="131"/>
      <c r="K7" s="131"/>
      <c r="L7" s="130" t="s">
        <v>8</v>
      </c>
      <c r="M7" s="131"/>
      <c r="N7" s="131"/>
      <c r="O7" s="130" t="s">
        <v>9</v>
      </c>
      <c r="P7" s="131"/>
      <c r="Q7" s="131"/>
      <c r="R7" s="130" t="s">
        <v>10</v>
      </c>
      <c r="S7" s="131"/>
      <c r="T7" s="131"/>
      <c r="U7" s="130" t="s">
        <v>106</v>
      </c>
      <c r="V7" s="131"/>
      <c r="W7" s="131"/>
      <c r="X7" s="130" t="s">
        <v>105</v>
      </c>
      <c r="Y7" s="131"/>
      <c r="Z7" s="132"/>
      <c r="AX7" s="133" t="s">
        <v>11</v>
      </c>
      <c r="AY7" s="134"/>
      <c r="AZ7" s="16"/>
    </row>
    <row r="8" spans="1:53" x14ac:dyDescent="0.3">
      <c r="B8" s="17" t="s">
        <v>12</v>
      </c>
      <c r="C8" s="14"/>
      <c r="D8" s="14"/>
      <c r="E8" s="14"/>
      <c r="F8" s="14"/>
      <c r="G8" s="14"/>
      <c r="H8" s="14" t="s">
        <v>14</v>
      </c>
      <c r="I8" s="14" t="s">
        <v>13</v>
      </c>
      <c r="J8" s="14" t="s">
        <v>15</v>
      </c>
      <c r="K8" s="14" t="s">
        <v>181</v>
      </c>
      <c r="L8" s="14" t="s">
        <v>107</v>
      </c>
      <c r="M8" s="14" t="s">
        <v>108</v>
      </c>
      <c r="N8" s="14" t="s">
        <v>13</v>
      </c>
      <c r="O8" s="14" t="s">
        <v>107</v>
      </c>
      <c r="P8" s="14" t="s">
        <v>182</v>
      </c>
      <c r="Q8" s="14" t="s">
        <v>13</v>
      </c>
      <c r="R8" s="14" t="s">
        <v>107</v>
      </c>
      <c r="S8" s="14" t="s">
        <v>108</v>
      </c>
      <c r="T8" s="14" t="s">
        <v>13</v>
      </c>
      <c r="U8" s="14" t="s">
        <v>107</v>
      </c>
      <c r="V8" s="14" t="s">
        <v>108</v>
      </c>
      <c r="W8" s="14" t="s">
        <v>13</v>
      </c>
      <c r="X8" s="14" t="s">
        <v>14</v>
      </c>
      <c r="Y8" s="14" t="s">
        <v>13</v>
      </c>
      <c r="Z8" s="14" t="s">
        <v>15</v>
      </c>
      <c r="AX8" s="16">
        <v>1</v>
      </c>
      <c r="AY8" s="18" t="s">
        <v>17</v>
      </c>
      <c r="AZ8" s="18" t="s">
        <v>104</v>
      </c>
    </row>
    <row r="9" spans="1:53" x14ac:dyDescent="0.3">
      <c r="B9" s="17" t="s">
        <v>18</v>
      </c>
      <c r="C9" s="14" t="s">
        <v>22</v>
      </c>
      <c r="D9" s="14" t="s">
        <v>20</v>
      </c>
      <c r="E9" s="14" t="s">
        <v>20</v>
      </c>
      <c r="F9" s="14" t="s">
        <v>21</v>
      </c>
      <c r="G9" s="14" t="s">
        <v>19</v>
      </c>
      <c r="H9" s="14" t="s">
        <v>22</v>
      </c>
      <c r="I9" s="14" t="s">
        <v>22</v>
      </c>
      <c r="J9" s="14" t="s">
        <v>22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20</v>
      </c>
      <c r="P9" s="14" t="s">
        <v>20</v>
      </c>
      <c r="Q9" s="14" t="s">
        <v>21</v>
      </c>
      <c r="R9" s="14" t="s">
        <v>20</v>
      </c>
      <c r="S9" s="14" t="s">
        <v>20</v>
      </c>
      <c r="T9" s="14" t="s">
        <v>21</v>
      </c>
      <c r="U9" s="14" t="s">
        <v>19</v>
      </c>
      <c r="V9" s="14" t="s">
        <v>19</v>
      </c>
      <c r="W9" s="14" t="s">
        <v>19</v>
      </c>
      <c r="X9" s="14" t="s">
        <v>21</v>
      </c>
      <c r="Y9" s="14" t="s">
        <v>20</v>
      </c>
      <c r="Z9" s="14" t="s">
        <v>22</v>
      </c>
      <c r="AX9" s="16">
        <v>2</v>
      </c>
      <c r="AY9" s="19" t="s">
        <v>23</v>
      </c>
      <c r="AZ9" s="19" t="s">
        <v>24</v>
      </c>
    </row>
    <row r="10" spans="1:53" x14ac:dyDescent="0.3">
      <c r="B10" s="17" t="s">
        <v>25</v>
      </c>
      <c r="C10" s="20">
        <v>5</v>
      </c>
      <c r="D10" s="20">
        <v>5</v>
      </c>
      <c r="E10" s="20">
        <v>5</v>
      </c>
      <c r="F10" s="20">
        <v>5</v>
      </c>
      <c r="G10" s="20">
        <v>5</v>
      </c>
      <c r="H10" s="20">
        <v>1</v>
      </c>
      <c r="I10" s="20">
        <v>1</v>
      </c>
      <c r="J10" s="20">
        <v>1</v>
      </c>
      <c r="K10" s="20">
        <v>1</v>
      </c>
      <c r="L10" s="20">
        <v>2</v>
      </c>
      <c r="M10" s="20">
        <v>2</v>
      </c>
      <c r="N10" s="20">
        <v>2</v>
      </c>
      <c r="O10" s="20">
        <v>2</v>
      </c>
      <c r="P10" s="20">
        <v>2</v>
      </c>
      <c r="Q10" s="20">
        <v>2</v>
      </c>
      <c r="R10" s="20">
        <v>2</v>
      </c>
      <c r="S10" s="20">
        <v>2</v>
      </c>
      <c r="T10" s="20">
        <v>2</v>
      </c>
      <c r="U10" s="20">
        <v>2</v>
      </c>
      <c r="V10" s="20">
        <v>2</v>
      </c>
      <c r="W10" s="20">
        <v>2</v>
      </c>
      <c r="X10" s="20">
        <v>24</v>
      </c>
      <c r="Y10" s="20">
        <v>8</v>
      </c>
      <c r="Z10" s="20">
        <v>8</v>
      </c>
      <c r="AA10" s="135" t="s">
        <v>26</v>
      </c>
      <c r="AB10" s="136"/>
      <c r="AC10" s="136"/>
      <c r="AD10" s="136"/>
      <c r="AE10" s="136"/>
      <c r="AF10" s="136"/>
      <c r="AG10" s="136"/>
      <c r="AH10" s="137"/>
      <c r="AI10" s="138" t="s">
        <v>27</v>
      </c>
      <c r="AJ10" s="138"/>
      <c r="AK10" s="138"/>
      <c r="AL10" s="138"/>
      <c r="AM10" s="138"/>
      <c r="AN10" s="138"/>
      <c r="AO10" s="138"/>
      <c r="AP10" s="138"/>
      <c r="AR10" s="16" t="s">
        <v>16</v>
      </c>
      <c r="AS10" s="16" t="s">
        <v>28</v>
      </c>
      <c r="AT10" s="16" t="s">
        <v>29</v>
      </c>
      <c r="AU10" s="16" t="s">
        <v>30</v>
      </c>
      <c r="AV10" s="16" t="s">
        <v>31</v>
      </c>
      <c r="AW10" s="139"/>
      <c r="AX10" s="16">
        <v>3</v>
      </c>
      <c r="AY10" s="20" t="s">
        <v>32</v>
      </c>
      <c r="AZ10" s="20" t="s">
        <v>33</v>
      </c>
    </row>
    <row r="11" spans="1:53" s="22" customFormat="1" ht="16.2" thickBot="1" x14ac:dyDescent="0.35">
      <c r="A11" s="16" t="s">
        <v>34</v>
      </c>
      <c r="B11" s="15" t="s">
        <v>35</v>
      </c>
      <c r="C11" s="130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2"/>
      <c r="AA11" s="21" t="s">
        <v>36</v>
      </c>
      <c r="AB11" s="16" t="s">
        <v>37</v>
      </c>
      <c r="AC11" s="16" t="s">
        <v>38</v>
      </c>
      <c r="AD11" s="16" t="s">
        <v>39</v>
      </c>
      <c r="AE11" s="16" t="s">
        <v>40</v>
      </c>
      <c r="AF11" s="16" t="s">
        <v>41</v>
      </c>
      <c r="AG11" s="16" t="s">
        <v>42</v>
      </c>
      <c r="AH11" s="16" t="s">
        <v>43</v>
      </c>
      <c r="AI11" s="16" t="s">
        <v>44</v>
      </c>
      <c r="AJ11" s="16" t="s">
        <v>45</v>
      </c>
      <c r="AK11" s="16" t="s">
        <v>46</v>
      </c>
      <c r="AL11" s="16" t="s">
        <v>47</v>
      </c>
      <c r="AM11" s="16" t="s">
        <v>48</v>
      </c>
      <c r="AN11" s="16" t="s">
        <v>49</v>
      </c>
      <c r="AO11" s="16" t="s">
        <v>50</v>
      </c>
      <c r="AP11" s="16" t="s">
        <v>51</v>
      </c>
      <c r="AR11" s="16" t="s">
        <v>52</v>
      </c>
      <c r="AS11" s="16" t="s">
        <v>53</v>
      </c>
      <c r="AT11" s="16" t="s">
        <v>54</v>
      </c>
      <c r="AU11" s="16" t="s">
        <v>55</v>
      </c>
      <c r="AV11" s="16" t="s">
        <v>56</v>
      </c>
      <c r="AW11" s="140"/>
      <c r="AX11" s="23" t="s">
        <v>57</v>
      </c>
      <c r="AY11" s="23" t="s">
        <v>58</v>
      </c>
    </row>
    <row r="12" spans="1:53" ht="16.8" thickTop="1" thickBot="1" x14ac:dyDescent="0.35">
      <c r="A12" s="55">
        <v>2508001</v>
      </c>
      <c r="B12" s="56" t="s">
        <v>109</v>
      </c>
      <c r="C12" s="76">
        <v>1.5</v>
      </c>
      <c r="D12" s="81">
        <v>5</v>
      </c>
      <c r="E12" s="86">
        <v>5</v>
      </c>
      <c r="F12" s="87">
        <v>5</v>
      </c>
      <c r="G12" s="87">
        <v>3</v>
      </c>
      <c r="H12" s="16">
        <v>0</v>
      </c>
      <c r="I12" s="16">
        <v>1</v>
      </c>
      <c r="J12" s="16">
        <v>1</v>
      </c>
      <c r="K12" s="16">
        <v>0.5</v>
      </c>
      <c r="L12" s="16">
        <v>0</v>
      </c>
      <c r="M12" s="16">
        <v>2</v>
      </c>
      <c r="N12" s="16">
        <v>0</v>
      </c>
      <c r="O12" s="16">
        <v>0</v>
      </c>
      <c r="P12" s="16">
        <v>2</v>
      </c>
      <c r="Q12" s="16">
        <v>0.5</v>
      </c>
      <c r="R12" s="16">
        <v>2</v>
      </c>
      <c r="S12" s="16">
        <v>0</v>
      </c>
      <c r="T12" s="16">
        <v>1</v>
      </c>
      <c r="U12" s="16">
        <v>0.5</v>
      </c>
      <c r="V12" s="16">
        <v>0</v>
      </c>
      <c r="W12" s="16">
        <v>0</v>
      </c>
      <c r="X12" s="95">
        <v>23</v>
      </c>
      <c r="Y12" s="96">
        <v>8</v>
      </c>
      <c r="Z12" s="97">
        <v>6</v>
      </c>
      <c r="AA12" s="1" cm="1">
        <f t="array" ref="AA12">IF(
   SUMPRODUCT(($C$9:$G$9="CO1")*ISNUMBER($C$10:$G$10)*ISNUMBER(C12:G12)) +
   SUMPRODUCT(($H$9:$Z$9="CO1")*ISNUMBER($H$10:$Z$10)*ISNUMBER(H12:Z12)) = 0,
   "",
   IFERROR(
     (
       IF(
         SUMPRODUCT(($C$9:$G$9="CO1")*ISNUMBER($C$10:$G$10)*ISNUMBER(C12:G12)) = 0,
         0,
         SUMPRODUCT(($C$9:$G$9="CO1")*ISNUMBER($C$10:$G$10)*ISNUMBER(C12:G12)*C12:G12) /
         SUMPRODUCT(($C$9:$G$9="CO1")*ISNUMBER($C$10:$G$10)*ISNUMBER(C12:G12)*$C$10:$G$10) * 0.15
       ) +
       IF(
         SUMPRODUCT(($H$9:$Z$9="CO1")*ISNUMBER($H$10:$Z$10)*ISNUMBER(H12:Z12)) = 0,
         0,
         SUMPRODUCT(($H$9:$Z$9="CO1")*ISNUMBER($H$10:$Z$10)*ISNUMBER(H12:Z12)*H12:Z12) /
         SUMPRODUCT(($H$9:$Z$9="CO1")*ISNUMBER($H$10:$Z$10)*ISNUMBER(H12:Z12)*$H$10:$Z$10) * 0.85
       )
     ) * 100,
     ""
   )
)</f>
        <v>54.083333333333336</v>
      </c>
      <c r="AB12" s="1" cm="1">
        <f t="array" ref="AB12">IF(
   SUMPRODUCT(($C$9:$G$9="CO2")*ISNUMBER($C$10:$G$10)*ISNUMBER(C12:G12)) +
   SUMPRODUCT(($H$9:$Z$9="CO2")*ISNUMBER($H$10:$Z$10)*ISNUMBER(H12:Z12)) = 0,
   "",
   IFERROR(
     (
       IF(
         SUMPRODUCT(($C$9:$G$9="CO2")*ISNUMBER($C$10:$G$10)*ISNUMBER(C12:G12)) = 0,
         0,
         SUMPRODUCT(($C$9:$G$9="CO2")*ISNUMBER($C$10:$G$10)*ISNUMBER(C12:G12)*C12:G12) /
         SUMPRODUCT(($C$9:$G$9="CO2")*ISNUMBER($C$10:$G$10)*ISNUMBER(C12:G12)*$C$10:$G$10) * 0.15
       ) +
       IF(
         SUMPRODUCT(($H$9:$Z$9="CO2")*ISNUMBER($H$10:$Z$10)*ISNUMBER(H12:Z12)) = 0,
         0,
         SUMPRODUCT(($H$9:$Z$9="CO2")*ISNUMBER($H$10:$Z$10)*ISNUMBER(H12:Z12)*H12:Z12) /
         SUMPRODUCT(($H$9:$Z$9="CO2")*ISNUMBER($H$10:$Z$10)*ISNUMBER(H12:Z12)*$H$10:$Z$10) * 0.85
       )
     ) * 100,
     ""
   )
)</f>
        <v>78.75</v>
      </c>
      <c r="AC12" s="1" cm="1">
        <f t="array" ref="AC12">IF(
   SUMPRODUCT(($C$9:$G$9="CO3")*ISNUMBER($C$10:$G$10)*ISNUMBER(C12:G12)) +
   SUMPRODUCT(($H$9:$Z$9="CO3")*ISNUMBER($H$10:$Z$10)*ISNUMBER(H12:Z12)) = 0,
   "",
   IFERROR(
     (
       IF(
         SUMPRODUCT(($C$9:$G$9="CO3")*ISNUMBER($C$10:$G$10)*ISNUMBER(C12:G12)) = 0,
         0,
         SUMPRODUCT(($C$9:$G$9="CO3")*ISNUMBER($C$10:$G$10)*ISNUMBER(C12:G12)*C12:G12) /
         SUMPRODUCT(($C$9:$G$9="CO3")*ISNUMBER($C$10:$G$10)*ISNUMBER(C12:G12)*$C$10:$G$10) * 0.15
       ) +
       IF(
         SUMPRODUCT(($H$9:$Z$9="CO3")*ISNUMBER($H$10:$Z$10)*ISNUMBER(H12:Z12)) = 0,
         0,
         SUMPRODUCT(($H$9:$Z$9="CO3")*ISNUMBER($H$10:$Z$10)*ISNUMBER(H12:Z12)*H12:Z12) /
         SUMPRODUCT(($H$9:$Z$9="CO3")*ISNUMBER($H$10:$Z$10)*ISNUMBER(H12:Z12)*$H$10:$Z$10) * 0.85
       )
     ) * 100,
     ""
   )
)</f>
        <v>89.375</v>
      </c>
      <c r="AD12" s="1" cm="1">
        <f t="array" ref="AD12">IF(
   SUMPRODUCT(($C$9:$G$9="CO4")*ISNUMBER($C$10:$G$10)*ISNUMBER(C12:G12)) +
   SUMPRODUCT(($H$9:$Z$9="CO4")*ISNUMBER($H$10:$Z$10)*ISNUMBER(H12:Z12)) = 0,
   "",
   IFERROR(
     (
       IF(
         SUMPRODUCT(($C$9:$G$9="CO4")*ISNUMBER($C$10:$G$10)*ISNUMBER(C12:G12)) = 0,
         0,
         SUMPRODUCT(($C$9:$G$9="CO4")*ISNUMBER($C$10:$G$10)*ISNUMBER(C12:G12)*C12:G12) /
         SUMPRODUCT(($C$9:$G$9="CO4")*ISNUMBER($C$10:$G$10)*ISNUMBER(C12:G12)*$C$10:$G$10) * 0.15
       ) +
       IF(
         SUMPRODUCT(($H$9:$Z$9="CO4")*ISNUMBER($H$10:$Z$10)*ISNUMBER(H12:Z12)) = 0,
         0,
         SUMPRODUCT(($H$9:$Z$9="CO4")*ISNUMBER($H$10:$Z$10)*ISNUMBER(H12:Z12)*H12:Z12) /
         SUMPRODUCT(($H$9:$Z$9="CO4")*ISNUMBER($H$10:$Z$10)*ISNUMBER(H12:Z12)*$H$10:$Z$10) * 0.85
       )
     ) * 100,
     ""
   )
)</f>
        <v>16.083333333333332</v>
      </c>
      <c r="AE12" s="1" t="str" cm="1">
        <f t="array" ref="AE12">IF(
   SUMPRODUCT(($C$9:$G$9="CO5")*ISNUMBER($C$10:$G$10)*ISNUMBER(C12:G12)) +
   SUMPRODUCT(($H$9:$Z$9="CO5")*ISNUMBER($H$10:$Z$10)*ISNUMBER(H12:Z12)) = 0,
   "",
   IFERROR(
     (
       IF(
         SUMPRODUCT(($C$9:$G$9="CO5")*ISNUMBER($C$10:$G$10)*ISNUMBER(C12:G12)) = 0,
         0,
         SUMPRODUCT(($C$9:$G$9="CO5")*ISNUMBER($C$10:$G$10)*ISNUMBER(C12:G12)*C12:G12) /
         SUMPRODUCT(($C$9:$G$9="CO5")*ISNUMBER($C$10:$G$10)*ISNUMBER(C12:G12)*$C$10:$G$10) * 0.15
       ) +
       IF(
         SUMPRODUCT(($H$9:$Z$9="CO5")*ISNUMBER($H$10:$Z$10)*ISNUMBER(H12:Z12)) = 0,
         0,
         SUMPRODUCT(($H$9:$Z$9="CO5")*ISNUMBER($H$10:$Z$10)*ISNUMBER(H12:Z12)*H12:Z12) /
         SUMPRODUCT(($H$9:$Z$9="CO5")*ISNUMBER($H$10:$Z$10)*ISNUMBER(H12:Z12)*$H$10:$Z$10) * 0.85
       )
     ) * 100,
     ""
   )
)</f>
        <v/>
      </c>
      <c r="AF12" s="1" t="str" cm="1">
        <f t="array" ref="AF12">IF(
   SUMPRODUCT(($C$9:$G$9="CO6")*ISNUMBER($C$10:$G$10)*ISNUMBER(C12:G12)) +
   SUMPRODUCT(($H$9:$Z$9="CO6")*ISNUMBER($H$10:$Z$10)*ISNUMBER(H12:Z12)) = 0,
   "",
   IFERROR(
     (
       IF(
         SUMPRODUCT(($C$9:$G$9="CO6")*ISNUMBER($C$10:$G$10)*ISNUMBER(C12:G12)) = 0,
         0,
         SUMPRODUCT(($C$9:$G$9="CO6")*ISNUMBER($C$10:$G$10)*ISNUMBER(C12:G12)*C12:G12) /
         SUMPRODUCT(($C$9:$G$9="CO6")*ISNUMBER($C$10:$G$10)*ISNUMBER(C12:G12)*$C$10:$G$10) * 0.15
       ) +
       IF(
         SUMPRODUCT(($H$9:$Z$9="CO6")*ISNUMBER($H$10:$Z$10)*ISNUMBER(H12:Z12)) = 0,
         0,
         SUMPRODUCT(($H$9:$Z$9="CO6")*ISNUMBER($H$10:$Z$10)*ISNUMBER(H12:Z12)*H12:Z12) /
         SUMPRODUCT(($H$9:$Z$9="CO6")*ISNUMBER($H$10:$Z$10)*ISNUMBER(H12:Z12)*$H$10:$Z$10) * 0.85
       )
     ) * 100,
     ""
   )
)</f>
        <v/>
      </c>
      <c r="AG12" s="1" t="str" cm="1">
        <f t="array" ref="AG12">IF(
   SUMPRODUCT(($C$9:$G$9="CO7")*ISNUMBER($C$10:$G$10)*ISNUMBER(C12:G12)) +
   SUMPRODUCT(($H$9:$Z$9="CO7")*ISNUMBER($H$10:$Z$10)*ISNUMBER(H12:Z12)) = 0,
   "",
   IFERROR(
     (
       IF(
         SUMPRODUCT(($C$9:$G$9="CO7")*ISNUMBER($C$10:$G$10)*ISNUMBER(C12:G12)) = 0,
         0,
         SUMPRODUCT(($C$9:$G$9="CO7")*ISNUMBER($C$10:$G$10)*ISNUMBER(C12:G12)*C12:G12) /
         SUMPRODUCT(($C$9:$G$9="CO7")*ISNUMBER($C$10:$G$10)*ISNUMBER(C12:G12)*$C$10:$G$10) * 0.15
       ) +
       IF(
         SUMPRODUCT(($H$9:$Z$9="CO7")*ISNUMBER($H$10:$Z$10)*ISNUMBER(H12:Z12)) = 0,
         0,
         SUMPRODUCT(($H$9:$Z$9="CO7")*ISNUMBER($H$10:$Z$10)*ISNUMBER(H12:Z12)*H12:Z12) /
         SUMPRODUCT(($H$9:$Z$9="CO7")*ISNUMBER($H$10:$Z$10)*ISNUMBER(H12:Z12)*$H$10:$Z$10) * 0.85
       )
     ) * 100,
     ""
   )
)</f>
        <v/>
      </c>
      <c r="AH12" s="3" t="str" cm="1">
        <f t="array" ref="AH12">IF(
   SUMPRODUCT(($C$9:$G$9="CO8")*ISNUMBER($C$10:$G$10)*ISNUMBER(C12:G12)) +
   SUMPRODUCT(($H$9:$Z$9="CO8")*ISNUMBER($H$10:$Z$10)*ISNUMBER(H12:Z12)) = 0,
   "",
   IFERROR(
     (
       IF(
         SUMPRODUCT(($C$9:$G$9="CO8")*ISNUMBER($C$10:$G$10)*ISNUMBER(C12:G12)) = 0,
         0,
         SUMPRODUCT(($C$9:$G$9="CO8")*ISNUMBER($C$10:$G$10)*ISNUMBER(C12:G12)*C12:G12) /
         SUMPRODUCT(($C$9:$G$9="CO8")*ISNUMBER($C$10:$G$10)*ISNUMBER(C12:G12)*$C$10:$G$10) * 0.15
       ) +
       IF(
         SUMPRODUCT(($H$9:$Z$9="CO8")*ISNUMBER($H$10:$Z$10)*ISNUMBER(H12:Z12)) = 0,
         0,
         SUMPRODUCT(($H$9:$Z$9="CO8")*ISNUMBER($H$10:$Z$10)*ISNUMBER(H12:Z12)*H12:Z12) /
         SUMPRODUCT(($H$9:$Z$9="CO8")*ISNUMBER($H$10:$Z$10)*ISNUMBER(H12:Z12)*$H$10:$Z$10) * 0.85
       )
     ) * 100,
     ""
   )
)</f>
        <v/>
      </c>
      <c r="AI12" s="1" t="str">
        <f>IF(AA12="", "", IF(AA12&lt;40, "F", IF(AA12&lt;50, "P", IF(AA12&lt;60, "S", IF(AA12&lt;70, "First", "D")))))</f>
        <v>S</v>
      </c>
      <c r="AJ12" s="1" t="str">
        <f>IF(AB12="", "", IF(AB12&lt;40, "F", IF(AB12&lt;50, "P", IF(AB12&lt;60, "S", IF(AB12&lt;70, "First", "D")))))</f>
        <v>D</v>
      </c>
      <c r="AK12" s="1" t="str">
        <f>IF(AC12="", "", IF(AC12&lt;40, "F", IF(AC12&lt;50, "P", IF(AC12&lt;60, "S", IF(AC12&lt;70, "First", "D")))))</f>
        <v>D</v>
      </c>
      <c r="AL12" s="1" t="str">
        <f>IF(AD12="", "", IF(AD12&lt;40, "F", IF(AD12&lt;50, "P", IF(AD12&lt;60, "S", IF(AD12&lt;70, "First", "D")))))</f>
        <v>F</v>
      </c>
      <c r="AM12" s="1" t="str">
        <f t="shared" ref="AM12:AP27" si="0">IF(AE12="", "", IF(AE12&lt;40, "F", IF(AE12&lt;50, "P", IF(AE12&lt;60, "S", IF(AE12&lt;70, "First", "D")))))</f>
        <v/>
      </c>
      <c r="AN12" s="1" t="str">
        <f t="shared" si="0"/>
        <v/>
      </c>
      <c r="AO12" s="1" t="str">
        <f>IF(AG12="", "", IF(AG12&lt;40, "F", IF(AG12&lt;50, "P", IF(AG12&lt;60, "S", IF(AG12&lt;70, "First", "D")))))</f>
        <v/>
      </c>
      <c r="AP12" s="1" t="str">
        <f t="shared" si="0"/>
        <v/>
      </c>
      <c r="AQ12" s="22" t="s">
        <v>18</v>
      </c>
      <c r="AR12" s="18" t="s">
        <v>16</v>
      </c>
      <c r="AS12" s="19" t="s">
        <v>59</v>
      </c>
      <c r="AT12" s="24" t="s">
        <v>60</v>
      </c>
      <c r="AU12" s="25" t="s">
        <v>61</v>
      </c>
      <c r="AV12" s="20" t="s">
        <v>62</v>
      </c>
      <c r="AW12" s="26" t="s">
        <v>63</v>
      </c>
      <c r="AX12" s="27" t="s">
        <v>64</v>
      </c>
      <c r="AY12" s="28">
        <v>50</v>
      </c>
      <c r="AZ12" s="16" t="s">
        <v>65</v>
      </c>
      <c r="BA12" s="16" t="s">
        <v>66</v>
      </c>
    </row>
    <row r="13" spans="1:53" ht="16.2" thickBot="1" x14ac:dyDescent="0.35">
      <c r="A13" s="57">
        <v>2508002</v>
      </c>
      <c r="B13" s="58" t="s">
        <v>110</v>
      </c>
      <c r="C13" s="77">
        <v>3.5</v>
      </c>
      <c r="D13" s="82">
        <v>5</v>
      </c>
      <c r="E13" s="88">
        <v>5</v>
      </c>
      <c r="F13" s="89">
        <v>5</v>
      </c>
      <c r="G13" s="89">
        <v>3</v>
      </c>
      <c r="H13" s="14">
        <v>0</v>
      </c>
      <c r="I13" s="14">
        <v>1</v>
      </c>
      <c r="J13" s="14">
        <v>1</v>
      </c>
      <c r="K13" s="14">
        <v>1</v>
      </c>
      <c r="L13" s="14">
        <v>2</v>
      </c>
      <c r="M13" s="14">
        <v>0</v>
      </c>
      <c r="N13" s="14">
        <v>2</v>
      </c>
      <c r="O13" s="14">
        <v>2</v>
      </c>
      <c r="P13" s="14">
        <v>0</v>
      </c>
      <c r="Q13" s="14">
        <v>0</v>
      </c>
      <c r="R13" s="14">
        <v>2</v>
      </c>
      <c r="S13" s="14">
        <v>0</v>
      </c>
      <c r="T13" s="14">
        <v>1</v>
      </c>
      <c r="U13" s="14">
        <v>0</v>
      </c>
      <c r="V13" s="14">
        <v>2</v>
      </c>
      <c r="W13" s="14">
        <v>2</v>
      </c>
      <c r="X13" s="98">
        <v>23</v>
      </c>
      <c r="Y13" s="99">
        <v>8</v>
      </c>
      <c r="Z13" s="89">
        <v>8</v>
      </c>
      <c r="AA13" s="1" cm="1">
        <f t="array" ref="AA13">IF(
   SUMPRODUCT(($C$9:$G$9="CO1")*ISNUMBER($C$10:$G$10)*ISNUMBER(C13:G13)) +
   SUMPRODUCT(($H$9:$Z$9="CO1")*ISNUMBER($H$10:$Z$10)*ISNUMBER(H13:Z13)) = 0,
   "",
   IFERROR(
     (
       IF(
         SUMPRODUCT(($C$9:$G$9="CO1")*ISNUMBER($C$10:$G$10)*ISNUMBER(C13:G13)) = 0,
         0,
         SUMPRODUCT(($C$9:$G$9="CO1")*ISNUMBER($C$10:$G$10)*ISNUMBER(C13:G13)*C13:G13) /
         SUMPRODUCT(($C$9:$G$9="CO1")*ISNUMBER($C$10:$G$10)*ISNUMBER(C13:G13)*$C$10:$G$10) * 0.15
       ) +
       IF(
         SUMPRODUCT(($H$9:$Z$9="CO1")*ISNUMBER($H$10:$Z$10)*ISNUMBER(H13:Z13)) = 0,
         0,
         SUMPRODUCT(($H$9:$Z$9="CO1")*ISNUMBER($H$10:$Z$10)*ISNUMBER(H13:Z13)*H13:Z13) /
         SUMPRODUCT(($H$9:$Z$9="CO1")*ISNUMBER($H$10:$Z$10)*ISNUMBER(H13:Z13)*$H$10:$Z$10) * 0.85
       )
     ) * 100,
     ""
   )
)</f>
        <v>81.333333333333329</v>
      </c>
      <c r="AB13" s="1" cm="1">
        <f t="array" ref="AB13">IF(
   SUMPRODUCT(($C$9:$G$9="CO2")*ISNUMBER($C$10:$G$10)*ISNUMBER(C13:G13)) +
   SUMPRODUCT(($H$9:$Z$9="CO2")*ISNUMBER($H$10:$Z$10)*ISNUMBER(H13:Z13)) = 0,
   "",
   IFERROR(
     (
       IF(
         SUMPRODUCT(($C$9:$G$9="CO2")*ISNUMBER($C$10:$G$10)*ISNUMBER(C13:G13)) = 0,
         0,
         SUMPRODUCT(($C$9:$G$9="CO2")*ISNUMBER($C$10:$G$10)*ISNUMBER(C13:G13)*C13:G13) /
         SUMPRODUCT(($C$9:$G$9="CO2")*ISNUMBER($C$10:$G$10)*ISNUMBER(C13:G13)*$C$10:$G$10) * 0.15
       ) +
       IF(
         SUMPRODUCT(($H$9:$Z$9="CO2")*ISNUMBER($H$10:$Z$10)*ISNUMBER(H13:Z13)) = 0,
         0,
         SUMPRODUCT(($H$9:$Z$9="CO2")*ISNUMBER($H$10:$Z$10)*ISNUMBER(H13:Z13)*H13:Z13) /
         SUMPRODUCT(($H$9:$Z$9="CO2")*ISNUMBER($H$10:$Z$10)*ISNUMBER(H13:Z13)*$H$10:$Z$10) * 0.85
       )
     ) * 100,
     ""
   )
)</f>
        <v>78.75</v>
      </c>
      <c r="AC13" s="1" cm="1">
        <f t="array" ref="AC13">IF(
   SUMPRODUCT(($C$9:$G$9="CO3")*ISNUMBER($C$10:$G$10)*ISNUMBER(C13:G13)) +
   SUMPRODUCT(($H$9:$Z$9="CO3")*ISNUMBER($H$10:$Z$10)*ISNUMBER(H13:Z13)) = 0,
   "",
   IFERROR(
     (
       IF(
         SUMPRODUCT(($C$9:$G$9="CO3")*ISNUMBER($C$10:$G$10)*ISNUMBER(C13:G13)) = 0,
         0,
         SUMPRODUCT(($C$9:$G$9="CO3")*ISNUMBER($C$10:$G$10)*ISNUMBER(C13:G13)*C13:G13) /
         SUMPRODUCT(($C$9:$G$9="CO3")*ISNUMBER($C$10:$G$10)*ISNUMBER(C13:G13)*$C$10:$G$10) * 0.15
       ) +
       IF(
         SUMPRODUCT(($H$9:$Z$9="CO3")*ISNUMBER($H$10:$Z$10)*ISNUMBER(H13:Z13)) = 0,
         0,
         SUMPRODUCT(($H$9:$Z$9="CO3")*ISNUMBER($H$10:$Z$10)*ISNUMBER(H13:Z13)*H13:Z13) /
         SUMPRODUCT(($H$9:$Z$9="CO3")*ISNUMBER($H$10:$Z$10)*ISNUMBER(H13:Z13)*$H$10:$Z$10) * 0.85
       )
     ) * 100,
     ""
   )
)</f>
        <v>87.857142857142861</v>
      </c>
      <c r="AD13" s="1" cm="1">
        <f t="array" ref="AD13">IF(
   SUMPRODUCT(($C$9:$G$9="CO4")*ISNUMBER($C$10:$G$10)*ISNUMBER(C13:G13)) +
   SUMPRODUCT(($H$9:$Z$9="CO4")*ISNUMBER($H$10:$Z$10)*ISNUMBER(H13:Z13)) = 0,
   "",
   IFERROR(
     (
       IF(
         SUMPRODUCT(($C$9:$G$9="CO4")*ISNUMBER($C$10:$G$10)*ISNUMBER(C13:G13)) = 0,
         0,
         SUMPRODUCT(($C$9:$G$9="CO4")*ISNUMBER($C$10:$G$10)*ISNUMBER(C13:G13)*C13:G13) /
         SUMPRODUCT(($C$9:$G$9="CO4")*ISNUMBER($C$10:$G$10)*ISNUMBER(C13:G13)*$C$10:$G$10) * 0.15
       ) +
       IF(
         SUMPRODUCT(($H$9:$Z$9="CO4")*ISNUMBER($H$10:$Z$10)*ISNUMBER(H13:Z13)) = 0,
         0,
         SUMPRODUCT(($H$9:$Z$9="CO4")*ISNUMBER($H$10:$Z$10)*ISNUMBER(H13:Z13)*H13:Z13) /
         SUMPRODUCT(($H$9:$Z$9="CO4")*ISNUMBER($H$10:$Z$10)*ISNUMBER(H13:Z13)*$H$10:$Z$10) * 0.85
       )
     ) * 100,
     ""
   )
)</f>
        <v>65.666666666666657</v>
      </c>
      <c r="AE13" s="1" t="str" cm="1">
        <f t="array" ref="AE13">IF(
   SUMPRODUCT(($C$9:$G$9="CO5")*ISNUMBER($C$10:$G$10)*ISNUMBER(C13:G13)) +
   SUMPRODUCT(($H$9:$Z$9="CO5")*ISNUMBER($H$10:$Z$10)*ISNUMBER(H13:Z13)) = 0,
   "",
   IFERROR(
     (
       IF(
         SUMPRODUCT(($C$9:$G$9="CO5")*ISNUMBER($C$10:$G$10)*ISNUMBER(C13:G13)) = 0,
         0,
         SUMPRODUCT(($C$9:$G$9="CO5")*ISNUMBER($C$10:$G$10)*ISNUMBER(C13:G13)*C13:G13) /
         SUMPRODUCT(($C$9:$G$9="CO5")*ISNUMBER($C$10:$G$10)*ISNUMBER(C13:G13)*$C$10:$G$10) * 0.15
       ) +
       IF(
         SUMPRODUCT(($H$9:$Z$9="CO5")*ISNUMBER($H$10:$Z$10)*ISNUMBER(H13:Z13)) = 0,
         0,
         SUMPRODUCT(($H$9:$Z$9="CO5")*ISNUMBER($H$10:$Z$10)*ISNUMBER(H13:Z13)*H13:Z13) /
         SUMPRODUCT(($H$9:$Z$9="CO5")*ISNUMBER($H$10:$Z$10)*ISNUMBER(H13:Z13)*$H$10:$Z$10) * 0.85
       )
     ) * 100,
     ""
   )
)</f>
        <v/>
      </c>
      <c r="AF13" s="1" t="str" cm="1">
        <f t="array" ref="AF13">IF(
   SUMPRODUCT(($C$9:$G$9="CO6")*ISNUMBER($C$10:$G$10)*ISNUMBER(C13:G13)) +
   SUMPRODUCT(($H$9:$Z$9="CO6")*ISNUMBER($H$10:$Z$10)*ISNUMBER(H13:Z13)) = 0,
   "",
   IFERROR(
     (
       IF(
         SUMPRODUCT(($C$9:$G$9="CO6")*ISNUMBER($C$10:$G$10)*ISNUMBER(C13:G13)) = 0,
         0,
         SUMPRODUCT(($C$9:$G$9="CO6")*ISNUMBER($C$10:$G$10)*ISNUMBER(C13:G13)*C13:G13) /
         SUMPRODUCT(($C$9:$G$9="CO6")*ISNUMBER($C$10:$G$10)*ISNUMBER(C13:G13)*$C$10:$G$10) * 0.15
       ) +
       IF(
         SUMPRODUCT(($H$9:$Z$9="CO6")*ISNUMBER($H$10:$Z$10)*ISNUMBER(H13:Z13)) = 0,
         0,
         SUMPRODUCT(($H$9:$Z$9="CO6")*ISNUMBER($H$10:$Z$10)*ISNUMBER(H13:Z13)*H13:Z13) /
         SUMPRODUCT(($H$9:$Z$9="CO6")*ISNUMBER($H$10:$Z$10)*ISNUMBER(H13:Z13)*$H$10:$Z$10) * 0.85
       )
     ) * 100,
     ""
   )
)</f>
        <v/>
      </c>
      <c r="AG13" s="1" t="str" cm="1">
        <f t="array" ref="AG13">IF(
   SUMPRODUCT(($C$9:$G$9="CO7")*ISNUMBER($C$10:$G$10)*ISNUMBER(C13:G13)) +
   SUMPRODUCT(($H$9:$Z$9="CO7")*ISNUMBER($H$10:$Z$10)*ISNUMBER(H13:Z13)) = 0,
   "",
   IFERROR(
     (
       IF(
         SUMPRODUCT(($C$9:$G$9="CO7")*ISNUMBER($C$10:$G$10)*ISNUMBER(C13:G13)) = 0,
         0,
         SUMPRODUCT(($C$9:$G$9="CO7")*ISNUMBER($C$10:$G$10)*ISNUMBER(C13:G13)*C13:G13) /
         SUMPRODUCT(($C$9:$G$9="CO7")*ISNUMBER($C$10:$G$10)*ISNUMBER(C13:G13)*$C$10:$G$10) * 0.15
       ) +
       IF(
         SUMPRODUCT(($H$9:$Z$9="CO7")*ISNUMBER($H$10:$Z$10)*ISNUMBER(H13:Z13)) = 0,
         0,
         SUMPRODUCT(($H$9:$Z$9="CO7")*ISNUMBER($H$10:$Z$10)*ISNUMBER(H13:Z13)*H13:Z13) /
         SUMPRODUCT(($H$9:$Z$9="CO7")*ISNUMBER($H$10:$Z$10)*ISNUMBER(H13:Z13)*$H$10:$Z$10) * 0.85
       )
     ) * 100,
     ""
   )
)</f>
        <v/>
      </c>
      <c r="AH13" s="3" t="str" cm="1">
        <f t="array" ref="AH13">IF(
   SUMPRODUCT(($C$9:$G$9="CO8")*ISNUMBER($C$10:$G$10)*ISNUMBER(C13:G13)) +
   SUMPRODUCT(($H$9:$Z$9="CO8")*ISNUMBER($H$10:$Z$10)*ISNUMBER(H13:Z13)) = 0,
   "",
   IFERROR(
     (
       IF(
         SUMPRODUCT(($C$9:$G$9="CO8")*ISNUMBER($C$10:$G$10)*ISNUMBER(C13:G13)) = 0,
         0,
         SUMPRODUCT(($C$9:$G$9="CO8")*ISNUMBER($C$10:$G$10)*ISNUMBER(C13:G13)*C13:G13) /
         SUMPRODUCT(($C$9:$G$9="CO8")*ISNUMBER($C$10:$G$10)*ISNUMBER(C13:G13)*$C$10:$G$10) * 0.15
       ) +
       IF(
         SUMPRODUCT(($H$9:$Z$9="CO8")*ISNUMBER($H$10:$Z$10)*ISNUMBER(H13:Z13)) = 0,
         0,
         SUMPRODUCT(($H$9:$Z$9="CO8")*ISNUMBER($H$10:$Z$10)*ISNUMBER(H13:Z13)*H13:Z13) /
         SUMPRODUCT(($H$9:$Z$9="CO8")*ISNUMBER($H$10:$Z$10)*ISNUMBER(H13:Z13)*$H$10:$Z$10) * 0.85
       )
     ) * 100,
     ""
   )
)</f>
        <v/>
      </c>
      <c r="AI13" s="1" t="str">
        <f t="shared" ref="AI13:AI44" si="1">IF(AA13="", "", IF(AA13&lt;40, "F", IF(AA13&lt;50, "P", IF(AA13&lt;60, "S", IF(AA13&lt;70, "First", "D")))))</f>
        <v>D</v>
      </c>
      <c r="AJ13" s="1" t="str">
        <f t="shared" ref="AJ13:AJ44" si="2">IF(AB13="", "", IF(AB13&lt;40, "F", IF(AB13&lt;50, "P", IF(AB13&lt;60, "S", IF(AB13&lt;70, "First", "D")))))</f>
        <v>D</v>
      </c>
      <c r="AK13" s="1" t="str">
        <f t="shared" ref="AK13:AK44" si="3">IF(AC13="", "", IF(AC13&lt;40, "F", IF(AC13&lt;50, "P", IF(AC13&lt;60, "S", IF(AC13&lt;70, "First", "D")))))</f>
        <v>D</v>
      </c>
      <c r="AL13" s="1" t="str">
        <f t="shared" ref="AL13:AP75" si="4">IF(AD13="", "", IF(AD13&lt;40, "F", IF(AD13&lt;50, "P", IF(AD13&lt;60, "S", IF(AD13&lt;70, "First", "D")))))</f>
        <v>First</v>
      </c>
      <c r="AM13" s="1" t="str">
        <f t="shared" si="0"/>
        <v/>
      </c>
      <c r="AN13" s="1" t="str">
        <f t="shared" si="0"/>
        <v/>
      </c>
      <c r="AO13" s="1" t="str">
        <f t="shared" si="0"/>
        <v/>
      </c>
      <c r="AP13" s="1" t="str">
        <f t="shared" si="0"/>
        <v/>
      </c>
      <c r="AQ13" s="29" t="s">
        <v>22</v>
      </c>
      <c r="AR13" s="1">
        <f>COUNTIF($AI$12:$AI$202,"F")</f>
        <v>5</v>
      </c>
      <c r="AS13" s="1">
        <f>COUNTIF($AI$12:$AI$202,"P")</f>
        <v>1</v>
      </c>
      <c r="AT13" s="1">
        <f>COUNTIF($AI$12:$AI$202,"S")</f>
        <v>10</v>
      </c>
      <c r="AU13" s="1">
        <f>COUNTIF($AI$12:$AI$202,"First")</f>
        <v>10</v>
      </c>
      <c r="AV13" s="1">
        <f>COUNTIF($AI$12:$AI$202,"D")</f>
        <v>25</v>
      </c>
      <c r="AW13" s="1">
        <f>SUM(AR13:AV13)</f>
        <v>51</v>
      </c>
      <c r="AX13" s="2">
        <f>COUNTIF(AA12:AA202,"&gt;40")</f>
        <v>46</v>
      </c>
      <c r="AY13" s="3">
        <f>IF(AW13=0, 0, (AX13*100)/AW13)</f>
        <v>90.196078431372555</v>
      </c>
      <c r="AZ13" s="4">
        <f>IF(AY13&gt;70,3,IF(AY13&gt;60,2,IF(AY13&gt;=50,1,0)))</f>
        <v>3</v>
      </c>
      <c r="BA13" s="3" t="str">
        <f>IF($AY$12&gt;AY13," NOT ATTAINED","ATTAINED")</f>
        <v>ATTAINED</v>
      </c>
    </row>
    <row r="14" spans="1:53" ht="16.2" thickBot="1" x14ac:dyDescent="0.35">
      <c r="A14" s="57">
        <v>2508003</v>
      </c>
      <c r="B14" s="58" t="s">
        <v>111</v>
      </c>
      <c r="C14" s="77">
        <v>2.5</v>
      </c>
      <c r="D14" s="82">
        <v>5</v>
      </c>
      <c r="E14" s="88">
        <v>5</v>
      </c>
      <c r="F14" s="89">
        <v>5</v>
      </c>
      <c r="G14" s="89">
        <v>3</v>
      </c>
      <c r="H14" s="14">
        <v>0</v>
      </c>
      <c r="I14" s="14">
        <v>1</v>
      </c>
      <c r="J14" s="14">
        <v>1</v>
      </c>
      <c r="K14" s="14">
        <v>0</v>
      </c>
      <c r="L14" s="14">
        <v>0</v>
      </c>
      <c r="M14" s="14">
        <v>2</v>
      </c>
      <c r="N14" s="14">
        <v>2</v>
      </c>
      <c r="O14" s="14">
        <v>2</v>
      </c>
      <c r="P14" s="14">
        <v>0</v>
      </c>
      <c r="Q14" s="14">
        <v>0</v>
      </c>
      <c r="R14" s="14">
        <v>2</v>
      </c>
      <c r="S14" s="14">
        <v>0</v>
      </c>
      <c r="T14" s="14">
        <v>1</v>
      </c>
      <c r="U14" s="14">
        <v>2</v>
      </c>
      <c r="V14" s="14">
        <v>0</v>
      </c>
      <c r="W14" s="14">
        <v>1</v>
      </c>
      <c r="X14" s="98">
        <v>23</v>
      </c>
      <c r="Y14" s="99">
        <v>8</v>
      </c>
      <c r="Z14" s="89">
        <v>8</v>
      </c>
      <c r="AA14" s="1" cm="1">
        <f t="array" ref="AA14">IF(
   SUMPRODUCT(($C$9:$G$9="CO1")*ISNUMBER($C$10:$G$10)*ISNUMBER(C14:G14)) +
   SUMPRODUCT(($H$9:$Z$9="CO1")*ISNUMBER($H$10:$Z$10)*ISNUMBER(H14:Z14)) = 0,
   "",
   IFERROR(
     (
       IF(
         SUMPRODUCT(($C$9:$G$9="CO1")*ISNUMBER($C$10:$G$10)*ISNUMBER(C14:G14)) = 0,
         0,
         SUMPRODUCT(($C$9:$G$9="CO1")*ISNUMBER($C$10:$G$10)*ISNUMBER(C14:G14)*C14:G14) /
         SUMPRODUCT(($C$9:$G$9="CO1")*ISNUMBER($C$10:$G$10)*ISNUMBER(C14:G14)*$C$10:$G$10) * 0.15
       ) +
       IF(
         SUMPRODUCT(($H$9:$Z$9="CO1")*ISNUMBER($H$10:$Z$10)*ISNUMBER(H14:Z14)) = 0,
         0,
         SUMPRODUCT(($H$9:$Z$9="CO1")*ISNUMBER($H$10:$Z$10)*ISNUMBER(H14:Z14)*H14:Z14) /
         SUMPRODUCT(($H$9:$Z$9="CO1")*ISNUMBER($H$10:$Z$10)*ISNUMBER(H14:Z14)*$H$10:$Z$10) * 0.85
       )
     ) * 100,
     ""
   )
)</f>
        <v>73.6111111111111</v>
      </c>
      <c r="AB14" s="1" cm="1">
        <f t="array" ref="AB14">IF(
   SUMPRODUCT(($C$9:$G$9="CO2")*ISNUMBER($C$10:$G$10)*ISNUMBER(C14:G14)) +
   SUMPRODUCT(($H$9:$Z$9="CO2")*ISNUMBER($H$10:$Z$10)*ISNUMBER(H14:Z14)) = 0,
   "",
   IFERROR(
     (
       IF(
         SUMPRODUCT(($C$9:$G$9="CO2")*ISNUMBER($C$10:$G$10)*ISNUMBER(C14:G14)) = 0,
         0,
         SUMPRODUCT(($C$9:$G$9="CO2")*ISNUMBER($C$10:$G$10)*ISNUMBER(C14:G14)*C14:G14) /
         SUMPRODUCT(($C$9:$G$9="CO2")*ISNUMBER($C$10:$G$10)*ISNUMBER(C14:G14)*$C$10:$G$10) * 0.15
       ) +
       IF(
         SUMPRODUCT(($H$9:$Z$9="CO2")*ISNUMBER($H$10:$Z$10)*ISNUMBER(H14:Z14)) = 0,
         0,
         SUMPRODUCT(($H$9:$Z$9="CO2")*ISNUMBER($H$10:$Z$10)*ISNUMBER(H14:Z14)*H14:Z14) /
         SUMPRODUCT(($H$9:$Z$9="CO2")*ISNUMBER($H$10:$Z$10)*ISNUMBER(H14:Z14)*$H$10:$Z$10) * 0.85
       )
     ) * 100,
     ""
   )
)</f>
        <v>78.75</v>
      </c>
      <c r="AC14" s="1" cm="1">
        <f t="array" ref="AC14">IF(
   SUMPRODUCT(($C$9:$G$9="CO3")*ISNUMBER($C$10:$G$10)*ISNUMBER(C14:G14)) +
   SUMPRODUCT(($H$9:$Z$9="CO3")*ISNUMBER($H$10:$Z$10)*ISNUMBER(H14:Z14)) = 0,
   "",
   IFERROR(
     (
       IF(
         SUMPRODUCT(($C$9:$G$9="CO3")*ISNUMBER($C$10:$G$10)*ISNUMBER(C14:G14)) = 0,
         0,
         SUMPRODUCT(($C$9:$G$9="CO3")*ISNUMBER($C$10:$G$10)*ISNUMBER(C14:G14)*C14:G14) /
         SUMPRODUCT(($C$9:$G$9="CO3")*ISNUMBER($C$10:$G$10)*ISNUMBER(C14:G14)*$C$10:$G$10) * 0.15
       ) +
       IF(
         SUMPRODUCT(($H$9:$Z$9="CO3")*ISNUMBER($H$10:$Z$10)*ISNUMBER(H14:Z14)) = 0,
         0,
         SUMPRODUCT(($H$9:$Z$9="CO3")*ISNUMBER($H$10:$Z$10)*ISNUMBER(H14:Z14)*H14:Z14) /
         SUMPRODUCT(($H$9:$Z$9="CO3")*ISNUMBER($H$10:$Z$10)*ISNUMBER(H14:Z14)*$H$10:$Z$10) * 0.85
       )
     ) * 100,
     ""
   )
)</f>
        <v>87.857142857142861</v>
      </c>
      <c r="AD14" s="1" cm="1">
        <f t="array" ref="AD14">IF(
   SUMPRODUCT(($C$9:$G$9="CO4")*ISNUMBER($C$10:$G$10)*ISNUMBER(C14:G14)) +
   SUMPRODUCT(($H$9:$Z$9="CO4")*ISNUMBER($H$10:$Z$10)*ISNUMBER(H14:Z14)) = 0,
   "",
   IFERROR(
     (
       IF(
         SUMPRODUCT(($C$9:$G$9="CO4")*ISNUMBER($C$10:$G$10)*ISNUMBER(C14:G14)) = 0,
         0,
         SUMPRODUCT(($C$9:$G$9="CO4")*ISNUMBER($C$10:$G$10)*ISNUMBER(C14:G14)*C14:G14) /
         SUMPRODUCT(($C$9:$G$9="CO4")*ISNUMBER($C$10:$G$10)*ISNUMBER(C14:G14)*$C$10:$G$10) * 0.15
       ) +
       IF(
         SUMPRODUCT(($H$9:$Z$9="CO4")*ISNUMBER($H$10:$Z$10)*ISNUMBER(H14:Z14)) = 0,
         0,
         SUMPRODUCT(($H$9:$Z$9="CO4")*ISNUMBER($H$10:$Z$10)*ISNUMBER(H14:Z14)*H14:Z14) /
         SUMPRODUCT(($H$9:$Z$9="CO4")*ISNUMBER($H$10:$Z$10)*ISNUMBER(H14:Z14)*$H$10:$Z$10) * 0.85
       )
     ) * 100,
     ""
   )
)</f>
        <v>51.5</v>
      </c>
      <c r="AE14" s="1" t="str" cm="1">
        <f t="array" ref="AE14">IF(
   SUMPRODUCT(($C$9:$G$9="CO5")*ISNUMBER($C$10:$G$10)*ISNUMBER(C14:G14)) +
   SUMPRODUCT(($H$9:$Z$9="CO5")*ISNUMBER($H$10:$Z$10)*ISNUMBER(H14:Z14)) = 0,
   "",
   IFERROR(
     (
       IF(
         SUMPRODUCT(($C$9:$G$9="CO5")*ISNUMBER($C$10:$G$10)*ISNUMBER(C14:G14)) = 0,
         0,
         SUMPRODUCT(($C$9:$G$9="CO5")*ISNUMBER($C$10:$G$10)*ISNUMBER(C14:G14)*C14:G14) /
         SUMPRODUCT(($C$9:$G$9="CO5")*ISNUMBER($C$10:$G$10)*ISNUMBER(C14:G14)*$C$10:$G$10) * 0.15
       ) +
       IF(
         SUMPRODUCT(($H$9:$Z$9="CO5")*ISNUMBER($H$10:$Z$10)*ISNUMBER(H14:Z14)) = 0,
         0,
         SUMPRODUCT(($H$9:$Z$9="CO5")*ISNUMBER($H$10:$Z$10)*ISNUMBER(H14:Z14)*H14:Z14) /
         SUMPRODUCT(($H$9:$Z$9="CO5")*ISNUMBER($H$10:$Z$10)*ISNUMBER(H14:Z14)*$H$10:$Z$10) * 0.85
       )
     ) * 100,
     ""
   )
)</f>
        <v/>
      </c>
      <c r="AF14" s="1" t="str" cm="1">
        <f t="array" ref="AF14">IF(
   SUMPRODUCT(($C$9:$G$9="CO6")*ISNUMBER($C$10:$G$10)*ISNUMBER(C14:G14)) +
   SUMPRODUCT(($H$9:$Z$9="CO6")*ISNUMBER($H$10:$Z$10)*ISNUMBER(H14:Z14)) = 0,
   "",
   IFERROR(
     (
       IF(
         SUMPRODUCT(($C$9:$G$9="CO6")*ISNUMBER($C$10:$G$10)*ISNUMBER(C14:G14)) = 0,
         0,
         SUMPRODUCT(($C$9:$G$9="CO6")*ISNUMBER($C$10:$G$10)*ISNUMBER(C14:G14)*C14:G14) /
         SUMPRODUCT(($C$9:$G$9="CO6")*ISNUMBER($C$10:$G$10)*ISNUMBER(C14:G14)*$C$10:$G$10) * 0.15
       ) +
       IF(
         SUMPRODUCT(($H$9:$Z$9="CO6")*ISNUMBER($H$10:$Z$10)*ISNUMBER(H14:Z14)) = 0,
         0,
         SUMPRODUCT(($H$9:$Z$9="CO6")*ISNUMBER($H$10:$Z$10)*ISNUMBER(H14:Z14)*H14:Z14) /
         SUMPRODUCT(($H$9:$Z$9="CO6")*ISNUMBER($H$10:$Z$10)*ISNUMBER(H14:Z14)*$H$10:$Z$10) * 0.85
       )
     ) * 100,
     ""
   )
)</f>
        <v/>
      </c>
      <c r="AG14" s="1" t="str" cm="1">
        <f t="array" ref="AG14">IF(
   SUMPRODUCT(($C$9:$G$9="CO7")*ISNUMBER($C$10:$G$10)*ISNUMBER(C14:G14)) +
   SUMPRODUCT(($H$9:$Z$9="CO7")*ISNUMBER($H$10:$Z$10)*ISNUMBER(H14:Z14)) = 0,
   "",
   IFERROR(
     (
       IF(
         SUMPRODUCT(($C$9:$G$9="CO7")*ISNUMBER($C$10:$G$10)*ISNUMBER(C14:G14)) = 0,
         0,
         SUMPRODUCT(($C$9:$G$9="CO7")*ISNUMBER($C$10:$G$10)*ISNUMBER(C14:G14)*C14:G14) /
         SUMPRODUCT(($C$9:$G$9="CO7")*ISNUMBER($C$10:$G$10)*ISNUMBER(C14:G14)*$C$10:$G$10) * 0.15
       ) +
       IF(
         SUMPRODUCT(($H$9:$Z$9="CO7")*ISNUMBER($H$10:$Z$10)*ISNUMBER(H14:Z14)) = 0,
         0,
         SUMPRODUCT(($H$9:$Z$9="CO7")*ISNUMBER($H$10:$Z$10)*ISNUMBER(H14:Z14)*H14:Z14) /
         SUMPRODUCT(($H$9:$Z$9="CO7")*ISNUMBER($H$10:$Z$10)*ISNUMBER(H14:Z14)*$H$10:$Z$10) * 0.85
       )
     ) * 100,
     ""
   )
)</f>
        <v/>
      </c>
      <c r="AH14" s="3" t="str" cm="1">
        <f t="array" ref="AH14">IF(
   SUMPRODUCT(($C$9:$G$9="CO8")*ISNUMBER($C$10:$G$10)*ISNUMBER(C14:G14)) +
   SUMPRODUCT(($H$9:$Z$9="CO8")*ISNUMBER($H$10:$Z$10)*ISNUMBER(H14:Z14)) = 0,
   "",
   IFERROR(
     (
       IF(
         SUMPRODUCT(($C$9:$G$9="CO8")*ISNUMBER($C$10:$G$10)*ISNUMBER(C14:G14)) = 0,
         0,
         SUMPRODUCT(($C$9:$G$9="CO8")*ISNUMBER($C$10:$G$10)*ISNUMBER(C14:G14)*C14:G14) /
         SUMPRODUCT(($C$9:$G$9="CO8")*ISNUMBER($C$10:$G$10)*ISNUMBER(C14:G14)*$C$10:$G$10) * 0.15
       ) +
       IF(
         SUMPRODUCT(($H$9:$Z$9="CO8")*ISNUMBER($H$10:$Z$10)*ISNUMBER(H14:Z14)) = 0,
         0,
         SUMPRODUCT(($H$9:$Z$9="CO8")*ISNUMBER($H$10:$Z$10)*ISNUMBER(H14:Z14)*H14:Z14) /
         SUMPRODUCT(($H$9:$Z$9="CO8")*ISNUMBER($H$10:$Z$10)*ISNUMBER(H14:Z14)*$H$10:$Z$10) * 0.85
       )
     ) * 100,
     ""
   )
)</f>
        <v/>
      </c>
      <c r="AI14" s="1" t="str">
        <f t="shared" si="1"/>
        <v>D</v>
      </c>
      <c r="AJ14" s="1" t="str">
        <f t="shared" si="2"/>
        <v>D</v>
      </c>
      <c r="AK14" s="1" t="str">
        <f t="shared" si="3"/>
        <v>D</v>
      </c>
      <c r="AL14" s="1" t="str">
        <f t="shared" si="4"/>
        <v>S</v>
      </c>
      <c r="AM14" s="1" t="str">
        <f t="shared" si="0"/>
        <v/>
      </c>
      <c r="AN14" s="1" t="str">
        <f t="shared" si="0"/>
        <v/>
      </c>
      <c r="AO14" s="1" t="str">
        <f t="shared" si="0"/>
        <v/>
      </c>
      <c r="AP14" s="1" t="str">
        <f t="shared" si="0"/>
        <v/>
      </c>
      <c r="AQ14" s="29" t="s">
        <v>20</v>
      </c>
      <c r="AR14" s="1">
        <f>COUNTIF($AJ$12:$AJ$202,"F")</f>
        <v>6</v>
      </c>
      <c r="AS14" s="1">
        <f>COUNTIF($AJ$12:$AJ$202,"P")</f>
        <v>0</v>
      </c>
      <c r="AT14" s="1">
        <f>COUNTIF($AJ$12:$AJ$202,"S")</f>
        <v>5</v>
      </c>
      <c r="AU14" s="1">
        <f>COUNTIF($AJ$12:$AJ$202,"First")</f>
        <v>11</v>
      </c>
      <c r="AV14" s="1">
        <f>COUNTIF($AJ$12:$AJ$202,"D")</f>
        <v>28</v>
      </c>
      <c r="AW14" s="1">
        <f t="shared" ref="AW14:AW15" si="5">SUM(AR14:AV14)</f>
        <v>50</v>
      </c>
      <c r="AX14" s="2">
        <f>COUNTIF(AB12:AB202,"&gt;40")</f>
        <v>44</v>
      </c>
      <c r="AY14" s="3">
        <f t="shared" ref="AY14:AY20" si="6">IF(AW14=0, 0, (AX14*100)/AW14)</f>
        <v>88</v>
      </c>
      <c r="AZ14" s="4">
        <f t="shared" ref="AZ14:AZ20" si="7">IF(AY14&gt;70,3,IF(AY14&gt;60,2,IF(AY14&gt;=50,1,0)))</f>
        <v>3</v>
      </c>
      <c r="BA14" s="3" t="str">
        <f t="shared" ref="BA14:BA20" si="8">IF($AY$12&gt;AY14," NOT ATTAINED","ATTAINED")</f>
        <v>ATTAINED</v>
      </c>
    </row>
    <row r="15" spans="1:53" ht="16.2" thickBot="1" x14ac:dyDescent="0.35">
      <c r="A15" s="57">
        <v>2508004</v>
      </c>
      <c r="B15" s="59" t="s">
        <v>112</v>
      </c>
      <c r="C15" s="77">
        <v>3.5</v>
      </c>
      <c r="D15" s="83" t="s">
        <v>180</v>
      </c>
      <c r="E15" s="88">
        <v>0</v>
      </c>
      <c r="F15" s="89">
        <v>5</v>
      </c>
      <c r="G15" s="90" t="s">
        <v>180</v>
      </c>
      <c r="H15" s="14">
        <v>0</v>
      </c>
      <c r="I15" s="14">
        <v>1</v>
      </c>
      <c r="J15" s="14">
        <v>0.5</v>
      </c>
      <c r="K15" s="14">
        <v>0</v>
      </c>
      <c r="L15" s="14">
        <v>0</v>
      </c>
      <c r="M15" s="14">
        <v>2</v>
      </c>
      <c r="N15" s="14">
        <v>0</v>
      </c>
      <c r="O15" s="14">
        <v>0</v>
      </c>
      <c r="P15" s="14">
        <v>0</v>
      </c>
      <c r="Q15" s="14">
        <v>0</v>
      </c>
      <c r="R15" s="14">
        <v>2</v>
      </c>
      <c r="S15" s="14">
        <v>0</v>
      </c>
      <c r="T15" s="14">
        <v>2</v>
      </c>
      <c r="U15" s="14">
        <v>0</v>
      </c>
      <c r="V15" s="14">
        <v>0</v>
      </c>
      <c r="W15" s="14">
        <v>0</v>
      </c>
      <c r="X15" s="98">
        <v>18</v>
      </c>
      <c r="Y15" s="100"/>
      <c r="Z15" s="89">
        <v>3</v>
      </c>
      <c r="AA15" s="1" t="str" cm="1">
        <f t="array" ref="AA15">IF(
   SUMPRODUCT(($C$9:$G$9="CO1")*ISNUMBER($C$10:$G$10)*ISNUMBER(C15:G15)) +
   SUMPRODUCT(($H$9:$Z$9="CO1")*ISNUMBER($H$10:$Z$10)*ISNUMBER(H15:Z15)) = 0,
   "",
   IFERROR(
     (
       IF(
         SUMPRODUCT(($C$9:$G$9="CO1")*ISNUMBER($C$10:$G$10)*ISNUMBER(C15:G15)) = 0,
         0,
         SUMPRODUCT(($C$9:$G$9="CO1")*ISNUMBER($C$10:$G$10)*ISNUMBER(C15:G15)*C15:G15) /
         SUMPRODUCT(($C$9:$G$9="CO1")*ISNUMBER($C$10:$G$10)*ISNUMBER(C15:G15)*$C$10:$G$10) * 0.15
       ) +
       IF(
         SUMPRODUCT(($H$9:$Z$9="CO1")*ISNUMBER($H$10:$Z$10)*ISNUMBER(H15:Z15)) = 0,
         0,
         SUMPRODUCT(($H$9:$Z$9="CO1")*ISNUMBER($H$10:$Z$10)*ISNUMBER(H15:Z15)*H15:Z15) /
         SUMPRODUCT(($H$9:$Z$9="CO1")*ISNUMBER($H$10:$Z$10)*ISNUMBER(H15:Z15)*$H$10:$Z$10) * 0.85
       )
     ) * 100,
     ""
   )
)</f>
        <v/>
      </c>
      <c r="AB15" s="1" t="str" cm="1">
        <f t="array" ref="AB15">IF(
   SUMPRODUCT(($C$9:$G$9="CO2")*ISNUMBER($C$10:$G$10)*ISNUMBER(C15:G15)) +
   SUMPRODUCT(($H$9:$Z$9="CO2")*ISNUMBER($H$10:$Z$10)*ISNUMBER(H15:Z15)) = 0,
   "",
   IFERROR(
     (
       IF(
         SUMPRODUCT(($C$9:$G$9="CO2")*ISNUMBER($C$10:$G$10)*ISNUMBER(C15:G15)) = 0,
         0,
         SUMPRODUCT(($C$9:$G$9="CO2")*ISNUMBER($C$10:$G$10)*ISNUMBER(C15:G15)*C15:G15) /
         SUMPRODUCT(($C$9:$G$9="CO2")*ISNUMBER($C$10:$G$10)*ISNUMBER(C15:G15)*$C$10:$G$10) * 0.15
       ) +
       IF(
         SUMPRODUCT(($H$9:$Z$9="CO2")*ISNUMBER($H$10:$Z$10)*ISNUMBER(H15:Z15)) = 0,
         0,
         SUMPRODUCT(($H$9:$Z$9="CO2")*ISNUMBER($H$10:$Z$10)*ISNUMBER(H15:Z15)*H15:Z15) /
         SUMPRODUCT(($H$9:$Z$9="CO2")*ISNUMBER($H$10:$Z$10)*ISNUMBER(H15:Z15)*$H$10:$Z$10) * 0.85
       )
     ) * 100,
     ""
   )
)</f>
        <v/>
      </c>
      <c r="AC15" s="1" t="str" cm="1">
        <f t="array" ref="AC15">IF(
   SUMPRODUCT(($C$9:$G$9="CO3")*ISNUMBER($C$10:$G$10)*ISNUMBER(C15:G15)) +
   SUMPRODUCT(($H$9:$Z$9="CO3")*ISNUMBER($H$10:$Z$10)*ISNUMBER(H15:Z15)) = 0,
   "",
   IFERROR(
     (
       IF(
         SUMPRODUCT(($C$9:$G$9="CO3")*ISNUMBER($C$10:$G$10)*ISNUMBER(C15:G15)) = 0,
         0,
         SUMPRODUCT(($C$9:$G$9="CO3")*ISNUMBER($C$10:$G$10)*ISNUMBER(C15:G15)*C15:G15) /
         SUMPRODUCT(($C$9:$G$9="CO3")*ISNUMBER($C$10:$G$10)*ISNUMBER(C15:G15)*$C$10:$G$10) * 0.15
       ) +
       IF(
         SUMPRODUCT(($H$9:$Z$9="CO3")*ISNUMBER($H$10:$Z$10)*ISNUMBER(H15:Z15)) = 0,
         0,
         SUMPRODUCT(($H$9:$Z$9="CO3")*ISNUMBER($H$10:$Z$10)*ISNUMBER(H15:Z15)*H15:Z15) /
         SUMPRODUCT(($H$9:$Z$9="CO3")*ISNUMBER($H$10:$Z$10)*ISNUMBER(H15:Z15)*$H$10:$Z$10) * 0.85
       )
     ) * 100,
     ""
   )
)</f>
        <v/>
      </c>
      <c r="AD15" s="1" cm="1">
        <f t="array" ref="AD15">IF(
   SUMPRODUCT(($C$9:$G$9="CO4")*ISNUMBER($C$10:$G$10)*ISNUMBER(C15:G15)) +
   SUMPRODUCT(($H$9:$Z$9="CO4")*ISNUMBER($H$10:$Z$10)*ISNUMBER(H15:Z15)) = 0,
   "",
   IFERROR(
     (
       IF(
         SUMPRODUCT(($C$9:$G$9="CO4")*ISNUMBER($C$10:$G$10)*ISNUMBER(C15:G15)) = 0,
         0,
         SUMPRODUCT(($C$9:$G$9="CO4")*ISNUMBER($C$10:$G$10)*ISNUMBER(C15:G15)*C15:G15) /
         SUMPRODUCT(($C$9:$G$9="CO4")*ISNUMBER($C$10:$G$10)*ISNUMBER(C15:G15)*$C$10:$G$10) * 0.15
       ) +
       IF(
         SUMPRODUCT(($H$9:$Z$9="CO4")*ISNUMBER($H$10:$Z$10)*ISNUMBER(H15:Z15)) = 0,
         0,
         SUMPRODUCT(($H$9:$Z$9="CO4")*ISNUMBER($H$10:$Z$10)*ISNUMBER(H15:Z15)*H15:Z15) /
         SUMPRODUCT(($H$9:$Z$9="CO4")*ISNUMBER($H$10:$Z$10)*ISNUMBER(H15:Z15)*$H$10:$Z$10) * 0.85
       )
     ) * 100,
     ""
   )
)</f>
        <v>0</v>
      </c>
      <c r="AE15" s="1" t="str" cm="1">
        <f t="array" ref="AE15">IF(
   SUMPRODUCT(($C$9:$G$9="CO5")*ISNUMBER($C$10:$G$10)*ISNUMBER(C15:G15)) +
   SUMPRODUCT(($H$9:$Z$9="CO5")*ISNUMBER($H$10:$Z$10)*ISNUMBER(H15:Z15)) = 0,
   "",
   IFERROR(
     (
       IF(
         SUMPRODUCT(($C$9:$G$9="CO5")*ISNUMBER($C$10:$G$10)*ISNUMBER(C15:G15)) = 0,
         0,
         SUMPRODUCT(($C$9:$G$9="CO5")*ISNUMBER($C$10:$G$10)*ISNUMBER(C15:G15)*C15:G15) /
         SUMPRODUCT(($C$9:$G$9="CO5")*ISNUMBER($C$10:$G$10)*ISNUMBER(C15:G15)*$C$10:$G$10) * 0.15
       ) +
       IF(
         SUMPRODUCT(($H$9:$Z$9="CO5")*ISNUMBER($H$10:$Z$10)*ISNUMBER(H15:Z15)) = 0,
         0,
         SUMPRODUCT(($H$9:$Z$9="CO5")*ISNUMBER($H$10:$Z$10)*ISNUMBER(H15:Z15)*H15:Z15) /
         SUMPRODUCT(($H$9:$Z$9="CO5")*ISNUMBER($H$10:$Z$10)*ISNUMBER(H15:Z15)*$H$10:$Z$10) * 0.85
       )
     ) * 100,
     ""
   )
)</f>
        <v/>
      </c>
      <c r="AF15" s="1" t="str" cm="1">
        <f t="array" ref="AF15">IF(
   SUMPRODUCT(($C$9:$G$9="CO6")*ISNUMBER($C$10:$G$10)*ISNUMBER(C15:G15)) +
   SUMPRODUCT(($H$9:$Z$9="CO6")*ISNUMBER($H$10:$Z$10)*ISNUMBER(H15:Z15)) = 0,
   "",
   IFERROR(
     (
       IF(
         SUMPRODUCT(($C$9:$G$9="CO6")*ISNUMBER($C$10:$G$10)*ISNUMBER(C15:G15)) = 0,
         0,
         SUMPRODUCT(($C$9:$G$9="CO6")*ISNUMBER($C$10:$G$10)*ISNUMBER(C15:G15)*C15:G15) /
         SUMPRODUCT(($C$9:$G$9="CO6")*ISNUMBER($C$10:$G$10)*ISNUMBER(C15:G15)*$C$10:$G$10) * 0.15
       ) +
       IF(
         SUMPRODUCT(($H$9:$Z$9="CO6")*ISNUMBER($H$10:$Z$10)*ISNUMBER(H15:Z15)) = 0,
         0,
         SUMPRODUCT(($H$9:$Z$9="CO6")*ISNUMBER($H$10:$Z$10)*ISNUMBER(H15:Z15)*H15:Z15) /
         SUMPRODUCT(($H$9:$Z$9="CO6")*ISNUMBER($H$10:$Z$10)*ISNUMBER(H15:Z15)*$H$10:$Z$10) * 0.85
       )
     ) * 100,
     ""
   )
)</f>
        <v/>
      </c>
      <c r="AG15" s="1" t="str" cm="1">
        <f t="array" ref="AG15">IF(
   SUMPRODUCT(($C$9:$G$9="CO7")*ISNUMBER($C$10:$G$10)*ISNUMBER(C15:G15)) +
   SUMPRODUCT(($H$9:$Z$9="CO7")*ISNUMBER($H$10:$Z$10)*ISNUMBER(H15:Z15)) = 0,
   "",
   IFERROR(
     (
       IF(
         SUMPRODUCT(($C$9:$G$9="CO7")*ISNUMBER($C$10:$G$10)*ISNUMBER(C15:G15)) = 0,
         0,
         SUMPRODUCT(($C$9:$G$9="CO7")*ISNUMBER($C$10:$G$10)*ISNUMBER(C15:G15)*C15:G15) /
         SUMPRODUCT(($C$9:$G$9="CO7")*ISNUMBER($C$10:$G$10)*ISNUMBER(C15:G15)*$C$10:$G$10) * 0.15
       ) +
       IF(
         SUMPRODUCT(($H$9:$Z$9="CO7")*ISNUMBER($H$10:$Z$10)*ISNUMBER(H15:Z15)) = 0,
         0,
         SUMPRODUCT(($H$9:$Z$9="CO7")*ISNUMBER($H$10:$Z$10)*ISNUMBER(H15:Z15)*H15:Z15) /
         SUMPRODUCT(($H$9:$Z$9="CO7")*ISNUMBER($H$10:$Z$10)*ISNUMBER(H15:Z15)*$H$10:$Z$10) * 0.85
       )
     ) * 100,
     ""
   )
)</f>
        <v/>
      </c>
      <c r="AH15" s="3" t="str" cm="1">
        <f t="array" ref="AH15">IF(
   SUMPRODUCT(($C$9:$G$9="CO8")*ISNUMBER($C$10:$G$10)*ISNUMBER(C15:G15)) +
   SUMPRODUCT(($H$9:$Z$9="CO8")*ISNUMBER($H$10:$Z$10)*ISNUMBER(H15:Z15)) = 0,
   "",
   IFERROR(
     (
       IF(
         SUMPRODUCT(($C$9:$G$9="CO8")*ISNUMBER($C$10:$G$10)*ISNUMBER(C15:G15)) = 0,
         0,
         SUMPRODUCT(($C$9:$G$9="CO8")*ISNUMBER($C$10:$G$10)*ISNUMBER(C15:G15)*C15:G15) /
         SUMPRODUCT(($C$9:$G$9="CO8")*ISNUMBER($C$10:$G$10)*ISNUMBER(C15:G15)*$C$10:$G$10) * 0.15
       ) +
       IF(
         SUMPRODUCT(($H$9:$Z$9="CO8")*ISNUMBER($H$10:$Z$10)*ISNUMBER(H15:Z15)) = 0,
         0,
         SUMPRODUCT(($H$9:$Z$9="CO8")*ISNUMBER($H$10:$Z$10)*ISNUMBER(H15:Z15)*H15:Z15) /
         SUMPRODUCT(($H$9:$Z$9="CO8")*ISNUMBER($H$10:$Z$10)*ISNUMBER(H15:Z15)*$H$10:$Z$10) * 0.85
       )
     ) * 100,
     ""
   )
)</f>
        <v/>
      </c>
      <c r="AI15" s="1" t="str">
        <f t="shared" si="1"/>
        <v/>
      </c>
      <c r="AJ15" s="1" t="str">
        <f t="shared" si="2"/>
        <v/>
      </c>
      <c r="AK15" s="1" t="str">
        <f t="shared" si="3"/>
        <v/>
      </c>
      <c r="AL15" s="1" t="str">
        <f t="shared" si="4"/>
        <v>F</v>
      </c>
      <c r="AM15" s="1" t="str">
        <f t="shared" si="0"/>
        <v/>
      </c>
      <c r="AN15" s="1" t="str">
        <f t="shared" si="0"/>
        <v/>
      </c>
      <c r="AO15" s="1" t="str">
        <f t="shared" si="0"/>
        <v/>
      </c>
      <c r="AP15" s="1" t="str">
        <f t="shared" si="0"/>
        <v/>
      </c>
      <c r="AQ15" s="29" t="s">
        <v>21</v>
      </c>
      <c r="AR15" s="1">
        <f>COUNTIF($AK$12:$AK$202,"F")</f>
        <v>0</v>
      </c>
      <c r="AS15" s="1">
        <f>COUNTIF($AK$12:$AK$202,"P")</f>
        <v>1</v>
      </c>
      <c r="AT15" s="1">
        <f>COUNTIF($AK$12:$AK$202,"S")</f>
        <v>8</v>
      </c>
      <c r="AU15" s="1">
        <f>COUNTIF($AK$12:$AK$202,"First")</f>
        <v>8</v>
      </c>
      <c r="AV15" s="1">
        <f>COUNTIF($AK$12:$AK$202,"D")</f>
        <v>36</v>
      </c>
      <c r="AW15" s="1">
        <f t="shared" si="5"/>
        <v>53</v>
      </c>
      <c r="AX15" s="2">
        <f>COUNTIF(AC12:AC202,"&gt;40")</f>
        <v>53</v>
      </c>
      <c r="AY15" s="3">
        <f t="shared" si="6"/>
        <v>100</v>
      </c>
      <c r="AZ15" s="4">
        <f t="shared" si="7"/>
        <v>3</v>
      </c>
      <c r="BA15" s="3" t="str">
        <f t="shared" si="8"/>
        <v>ATTAINED</v>
      </c>
    </row>
    <row r="16" spans="1:53" ht="16.2" thickBot="1" x14ac:dyDescent="0.35">
      <c r="A16" s="57">
        <v>2508005</v>
      </c>
      <c r="B16" s="58" t="s">
        <v>113</v>
      </c>
      <c r="C16" s="77">
        <v>1</v>
      </c>
      <c r="D16" s="82">
        <v>4</v>
      </c>
      <c r="E16" s="88">
        <v>5</v>
      </c>
      <c r="F16" s="91">
        <v>5</v>
      </c>
      <c r="G16" s="89">
        <v>5</v>
      </c>
      <c r="H16" s="14">
        <v>0</v>
      </c>
      <c r="I16" s="14">
        <v>1</v>
      </c>
      <c r="J16" s="14">
        <v>1</v>
      </c>
      <c r="K16" s="14">
        <v>0</v>
      </c>
      <c r="L16" s="14">
        <v>0</v>
      </c>
      <c r="M16" s="14">
        <v>2</v>
      </c>
      <c r="N16" s="14">
        <v>1</v>
      </c>
      <c r="O16" s="14">
        <v>1</v>
      </c>
      <c r="P16" s="14">
        <v>0</v>
      </c>
      <c r="Q16" s="14">
        <v>0</v>
      </c>
      <c r="R16" s="14">
        <v>1</v>
      </c>
      <c r="S16" s="14">
        <v>0</v>
      </c>
      <c r="T16" s="14">
        <v>1</v>
      </c>
      <c r="U16" s="14">
        <v>0</v>
      </c>
      <c r="V16" s="14">
        <v>0</v>
      </c>
      <c r="W16" s="14">
        <v>0</v>
      </c>
      <c r="X16" s="98">
        <v>11</v>
      </c>
      <c r="Y16" s="99">
        <v>5</v>
      </c>
      <c r="Z16" s="89">
        <v>5</v>
      </c>
      <c r="AA16" s="1" cm="1">
        <f t="array" ref="AA16">IF(
   SUMPRODUCT(($C$9:$G$9="CO1")*ISNUMBER($C$10:$G$10)*ISNUMBER(C16:G16)) +
   SUMPRODUCT(($H$9:$Z$9="CO1")*ISNUMBER($H$10:$Z$10)*ISNUMBER(H16:Z16)) = 0,
   "",
   IFERROR(
     (
       IF(
         SUMPRODUCT(($C$9:$G$9="CO1")*ISNUMBER($C$10:$G$10)*ISNUMBER(C16:G16)) = 0,
         0,
         SUMPRODUCT(($C$9:$G$9="CO1")*ISNUMBER($C$10:$G$10)*ISNUMBER(C16:G16)*C16:G16) /
         SUMPRODUCT(($C$9:$G$9="CO1")*ISNUMBER($C$10:$G$10)*ISNUMBER(C16:G16)*$C$10:$G$10) * 0.15
       ) +
       IF(
         SUMPRODUCT(($H$9:$Z$9="CO1")*ISNUMBER($H$10:$Z$10)*ISNUMBER(H16:Z16)) = 0,
         0,
         SUMPRODUCT(($H$9:$Z$9="CO1")*ISNUMBER($H$10:$Z$10)*ISNUMBER(H16:Z16)*H16:Z16) /
         SUMPRODUCT(($H$9:$Z$9="CO1")*ISNUMBER($H$10:$Z$10)*ISNUMBER(H16:Z16)*$H$10:$Z$10) * 0.85
       )
     ) * 100,
     ""
   )
)</f>
        <v>50.222222222222221</v>
      </c>
      <c r="AB16" s="1" cm="1">
        <f t="array" ref="AB16">IF(
   SUMPRODUCT(($C$9:$G$9="CO2")*ISNUMBER($C$10:$G$10)*ISNUMBER(C16:G16)) +
   SUMPRODUCT(($H$9:$Z$9="CO2")*ISNUMBER($H$10:$Z$10)*ISNUMBER(H16:Z16)) = 0,
   "",
   IFERROR(
     (
       IF(
         SUMPRODUCT(($C$9:$G$9="CO2")*ISNUMBER($C$10:$G$10)*ISNUMBER(C16:G16)) = 0,
         0,
         SUMPRODUCT(($C$9:$G$9="CO2")*ISNUMBER($C$10:$G$10)*ISNUMBER(C16:G16)*C16:G16) /
         SUMPRODUCT(($C$9:$G$9="CO2")*ISNUMBER($C$10:$G$10)*ISNUMBER(C16:G16)*$C$10:$G$10) * 0.15
       ) +
       IF(
         SUMPRODUCT(($H$9:$Z$9="CO2")*ISNUMBER($H$10:$Z$10)*ISNUMBER(H16:Z16)) = 0,
         0,
         SUMPRODUCT(($H$9:$Z$9="CO2")*ISNUMBER($H$10:$Z$10)*ISNUMBER(H16:Z16)*H16:Z16) /
         SUMPRODUCT(($H$9:$Z$9="CO2")*ISNUMBER($H$10:$Z$10)*ISNUMBER(H16:Z16)*$H$10:$Z$10) * 0.85
       )
     ) * 100,
     ""
   )
)</f>
        <v>50.6875</v>
      </c>
      <c r="AC16" s="1" cm="1">
        <f t="array" ref="AC16">IF(
   SUMPRODUCT(($C$9:$G$9="CO3")*ISNUMBER($C$10:$G$10)*ISNUMBER(C16:G16)) +
   SUMPRODUCT(($H$9:$Z$9="CO3")*ISNUMBER($H$10:$Z$10)*ISNUMBER(H16:Z16)) = 0,
   "",
   IFERROR(
     (
       IF(
         SUMPRODUCT(($C$9:$G$9="CO3")*ISNUMBER($C$10:$G$10)*ISNUMBER(C16:G16)) = 0,
         0,
         SUMPRODUCT(($C$9:$G$9="CO3")*ISNUMBER($C$10:$G$10)*ISNUMBER(C16:G16)*C16:G16) /
         SUMPRODUCT(($C$9:$G$9="CO3")*ISNUMBER($C$10:$G$10)*ISNUMBER(C16:G16)*$C$10:$G$10) * 0.15
       ) +
       IF(
         SUMPRODUCT(($H$9:$Z$9="CO3")*ISNUMBER($H$10:$Z$10)*ISNUMBER(H16:Z16)) = 0,
         0,
         SUMPRODUCT(($H$9:$Z$9="CO3")*ISNUMBER($H$10:$Z$10)*ISNUMBER(H16:Z16)*H16:Z16) /
         SUMPRODUCT(($H$9:$Z$9="CO3")*ISNUMBER($H$10:$Z$10)*ISNUMBER(H16:Z16)*$H$10:$Z$10) * 0.85
       )
     ) * 100,
     ""
   )
)</f>
        <v>51.428571428571423</v>
      </c>
      <c r="AD16" s="1" cm="1">
        <f t="array" ref="AD16">IF(
   SUMPRODUCT(($C$9:$G$9="CO4")*ISNUMBER($C$10:$G$10)*ISNUMBER(C16:G16)) +
   SUMPRODUCT(($H$9:$Z$9="CO4")*ISNUMBER($H$10:$Z$10)*ISNUMBER(H16:Z16)) = 0,
   "",
   IFERROR(
     (
       IF(
         SUMPRODUCT(($C$9:$G$9="CO4")*ISNUMBER($C$10:$G$10)*ISNUMBER(C16:G16)) = 0,
         0,
         SUMPRODUCT(($C$9:$G$9="CO4")*ISNUMBER($C$10:$G$10)*ISNUMBER(C16:G16)*C16:G16) /
         SUMPRODUCT(($C$9:$G$9="CO4")*ISNUMBER($C$10:$G$10)*ISNUMBER(C16:G16)*$C$10:$G$10) * 0.15
       ) +
       IF(
         SUMPRODUCT(($H$9:$Z$9="CO4")*ISNUMBER($H$10:$Z$10)*ISNUMBER(H16:Z16)) = 0,
         0,
         SUMPRODUCT(($H$9:$Z$9="CO4")*ISNUMBER($H$10:$Z$10)*ISNUMBER(H16:Z16)*H16:Z16) /
         SUMPRODUCT(($H$9:$Z$9="CO4")*ISNUMBER($H$10:$Z$10)*ISNUMBER(H16:Z16)*$H$10:$Z$10) * 0.85
       )
     ) * 100,
     ""
   )
)</f>
        <v>15</v>
      </c>
      <c r="AE16" s="1" t="str" cm="1">
        <f t="array" ref="AE16">IF(
   SUMPRODUCT(($C$9:$G$9="CO5")*ISNUMBER($C$10:$G$10)*ISNUMBER(C16:G16)) +
   SUMPRODUCT(($H$9:$Z$9="CO5")*ISNUMBER($H$10:$Z$10)*ISNUMBER(H16:Z16)) = 0,
   "",
   IFERROR(
     (
       IF(
         SUMPRODUCT(($C$9:$G$9="CO5")*ISNUMBER($C$10:$G$10)*ISNUMBER(C16:G16)) = 0,
         0,
         SUMPRODUCT(($C$9:$G$9="CO5")*ISNUMBER($C$10:$G$10)*ISNUMBER(C16:G16)*C16:G16) /
         SUMPRODUCT(($C$9:$G$9="CO5")*ISNUMBER($C$10:$G$10)*ISNUMBER(C16:G16)*$C$10:$G$10) * 0.15
       ) +
       IF(
         SUMPRODUCT(($H$9:$Z$9="CO5")*ISNUMBER($H$10:$Z$10)*ISNUMBER(H16:Z16)) = 0,
         0,
         SUMPRODUCT(($H$9:$Z$9="CO5")*ISNUMBER($H$10:$Z$10)*ISNUMBER(H16:Z16)*H16:Z16) /
         SUMPRODUCT(($H$9:$Z$9="CO5")*ISNUMBER($H$10:$Z$10)*ISNUMBER(H16:Z16)*$H$10:$Z$10) * 0.85
       )
     ) * 100,
     ""
   )
)</f>
        <v/>
      </c>
      <c r="AF16" s="1" t="str" cm="1">
        <f t="array" ref="AF16">IF(
   SUMPRODUCT(($C$9:$G$9="CO6")*ISNUMBER($C$10:$G$10)*ISNUMBER(C16:G16)) +
   SUMPRODUCT(($H$9:$Z$9="CO6")*ISNUMBER($H$10:$Z$10)*ISNUMBER(H16:Z16)) = 0,
   "",
   IFERROR(
     (
       IF(
         SUMPRODUCT(($C$9:$G$9="CO6")*ISNUMBER($C$10:$G$10)*ISNUMBER(C16:G16)) = 0,
         0,
         SUMPRODUCT(($C$9:$G$9="CO6")*ISNUMBER($C$10:$G$10)*ISNUMBER(C16:G16)*C16:G16) /
         SUMPRODUCT(($C$9:$G$9="CO6")*ISNUMBER($C$10:$G$10)*ISNUMBER(C16:G16)*$C$10:$G$10) * 0.15
       ) +
       IF(
         SUMPRODUCT(($H$9:$Z$9="CO6")*ISNUMBER($H$10:$Z$10)*ISNUMBER(H16:Z16)) = 0,
         0,
         SUMPRODUCT(($H$9:$Z$9="CO6")*ISNUMBER($H$10:$Z$10)*ISNUMBER(H16:Z16)*H16:Z16) /
         SUMPRODUCT(($H$9:$Z$9="CO6")*ISNUMBER($H$10:$Z$10)*ISNUMBER(H16:Z16)*$H$10:$Z$10) * 0.85
       )
     ) * 100,
     ""
   )
)</f>
        <v/>
      </c>
      <c r="AG16" s="1" t="str" cm="1">
        <f t="array" ref="AG16">IF(
   SUMPRODUCT(($C$9:$G$9="CO7")*ISNUMBER($C$10:$G$10)*ISNUMBER(C16:G16)) +
   SUMPRODUCT(($H$9:$Z$9="CO7")*ISNUMBER($H$10:$Z$10)*ISNUMBER(H16:Z16)) = 0,
   "",
   IFERROR(
     (
       IF(
         SUMPRODUCT(($C$9:$G$9="CO7")*ISNUMBER($C$10:$G$10)*ISNUMBER(C16:G16)) = 0,
         0,
         SUMPRODUCT(($C$9:$G$9="CO7")*ISNUMBER($C$10:$G$10)*ISNUMBER(C16:G16)*C16:G16) /
         SUMPRODUCT(($C$9:$G$9="CO7")*ISNUMBER($C$10:$G$10)*ISNUMBER(C16:G16)*$C$10:$G$10) * 0.15
       ) +
       IF(
         SUMPRODUCT(($H$9:$Z$9="CO7")*ISNUMBER($H$10:$Z$10)*ISNUMBER(H16:Z16)) = 0,
         0,
         SUMPRODUCT(($H$9:$Z$9="CO7")*ISNUMBER($H$10:$Z$10)*ISNUMBER(H16:Z16)*H16:Z16) /
         SUMPRODUCT(($H$9:$Z$9="CO7")*ISNUMBER($H$10:$Z$10)*ISNUMBER(H16:Z16)*$H$10:$Z$10) * 0.85
       )
     ) * 100,
     ""
   )
)</f>
        <v/>
      </c>
      <c r="AH16" s="3" t="str" cm="1">
        <f t="array" ref="AH16">IF(
   SUMPRODUCT(($C$9:$G$9="CO8")*ISNUMBER($C$10:$G$10)*ISNUMBER(C16:G16)) +
   SUMPRODUCT(($H$9:$Z$9="CO8")*ISNUMBER($H$10:$Z$10)*ISNUMBER(H16:Z16)) = 0,
   "",
   IFERROR(
     (
       IF(
         SUMPRODUCT(($C$9:$G$9="CO8")*ISNUMBER($C$10:$G$10)*ISNUMBER(C16:G16)) = 0,
         0,
         SUMPRODUCT(($C$9:$G$9="CO8")*ISNUMBER($C$10:$G$10)*ISNUMBER(C16:G16)*C16:G16) /
         SUMPRODUCT(($C$9:$G$9="CO8")*ISNUMBER($C$10:$G$10)*ISNUMBER(C16:G16)*$C$10:$G$10) * 0.15
       ) +
       IF(
         SUMPRODUCT(($H$9:$Z$9="CO8")*ISNUMBER($H$10:$Z$10)*ISNUMBER(H16:Z16)) = 0,
         0,
         SUMPRODUCT(($H$9:$Z$9="CO8")*ISNUMBER($H$10:$Z$10)*ISNUMBER(H16:Z16)*H16:Z16) /
         SUMPRODUCT(($H$9:$Z$9="CO8")*ISNUMBER($H$10:$Z$10)*ISNUMBER(H16:Z16)*$H$10:$Z$10) * 0.85
       )
     ) * 100,
     ""
   )
)</f>
        <v/>
      </c>
      <c r="AI16" s="1" t="str">
        <f t="shared" si="1"/>
        <v>S</v>
      </c>
      <c r="AJ16" s="1" t="str">
        <f t="shared" si="2"/>
        <v>S</v>
      </c>
      <c r="AK16" s="1" t="str">
        <f t="shared" si="3"/>
        <v>S</v>
      </c>
      <c r="AL16" s="1" t="str">
        <f t="shared" si="4"/>
        <v>F</v>
      </c>
      <c r="AM16" s="1" t="str">
        <f t="shared" si="0"/>
        <v/>
      </c>
      <c r="AN16" s="1" t="str">
        <f t="shared" si="0"/>
        <v/>
      </c>
      <c r="AO16" s="1" t="str">
        <f t="shared" si="0"/>
        <v/>
      </c>
      <c r="AP16" s="1" t="str">
        <f t="shared" si="0"/>
        <v/>
      </c>
      <c r="AQ16" s="29" t="s">
        <v>19</v>
      </c>
      <c r="AR16" s="1">
        <f>COUNTIF($AL$12:$AL$202,"F")</f>
        <v>43</v>
      </c>
      <c r="AS16" s="1">
        <f>COUNTIF($AL$12:$AL$202,"P")</f>
        <v>9</v>
      </c>
      <c r="AT16" s="1">
        <f>COUNTIF($AL$12:$AL$202,"S")</f>
        <v>5</v>
      </c>
      <c r="AU16" s="1">
        <f>COUNTIF($AL$12:$AL$202,"First")</f>
        <v>3</v>
      </c>
      <c r="AV16" s="1">
        <f>COUNTIF($AL$12:$AL$202,"D")</f>
        <v>4</v>
      </c>
      <c r="AW16" s="1">
        <f>SUM(AR16:AV16)</f>
        <v>64</v>
      </c>
      <c r="AX16" s="2">
        <f>COUNTIF(AD12:AD202,"&gt;40")</f>
        <v>21</v>
      </c>
      <c r="AY16" s="3">
        <f>IF(AW16=0, 0, (AX16*100)/AW16)</f>
        <v>32.8125</v>
      </c>
      <c r="AZ16" s="4">
        <f>IF(AY16&gt;70,3,IF(AY16&gt;60,2,IF(AY16&gt;=50,1,0)))</f>
        <v>0</v>
      </c>
      <c r="BA16" s="3" t="str">
        <f t="shared" si="8"/>
        <v xml:space="preserve"> NOT ATTAINED</v>
      </c>
    </row>
    <row r="17" spans="1:53" ht="16.2" thickBot="1" x14ac:dyDescent="0.35">
      <c r="A17" s="57">
        <v>2508006</v>
      </c>
      <c r="B17" s="58" t="s">
        <v>114</v>
      </c>
      <c r="C17" s="77">
        <v>3.5</v>
      </c>
      <c r="D17" s="82">
        <v>1</v>
      </c>
      <c r="E17" s="88">
        <v>5</v>
      </c>
      <c r="F17" s="89">
        <v>5</v>
      </c>
      <c r="G17" s="89">
        <v>3</v>
      </c>
      <c r="H17" s="14">
        <v>0</v>
      </c>
      <c r="I17" s="14">
        <v>1</v>
      </c>
      <c r="J17" s="14">
        <v>1</v>
      </c>
      <c r="K17" s="14">
        <v>1</v>
      </c>
      <c r="L17" s="14">
        <v>1</v>
      </c>
      <c r="M17" s="14">
        <v>0</v>
      </c>
      <c r="N17" s="14">
        <v>2</v>
      </c>
      <c r="O17" s="14">
        <v>0</v>
      </c>
      <c r="P17" s="14">
        <v>2</v>
      </c>
      <c r="Q17" s="14">
        <v>0</v>
      </c>
      <c r="R17" s="14">
        <v>1</v>
      </c>
      <c r="S17" s="14">
        <v>0</v>
      </c>
      <c r="T17" s="14">
        <v>1</v>
      </c>
      <c r="U17" s="14">
        <v>2</v>
      </c>
      <c r="V17" s="14">
        <v>0</v>
      </c>
      <c r="W17" s="14">
        <v>0</v>
      </c>
      <c r="X17" s="98">
        <v>21</v>
      </c>
      <c r="Y17" s="99">
        <v>7</v>
      </c>
      <c r="Z17" s="89">
        <v>3</v>
      </c>
      <c r="AA17" s="1" cm="1">
        <f t="array" ref="AA17">IF(
   SUMPRODUCT(($C$9:$G$9="CO1")*ISNUMBER($C$10:$G$10)*ISNUMBER(C17:G17)) +
   SUMPRODUCT(($H$9:$Z$9="CO1")*ISNUMBER($H$10:$Z$10)*ISNUMBER(H17:Z17)) = 0,
   "",
   IFERROR(
     (
       IF(
         SUMPRODUCT(($C$9:$G$9="CO1")*ISNUMBER($C$10:$G$10)*ISNUMBER(C17:G17)) = 0,
         0,
         SUMPRODUCT(($C$9:$G$9="CO1")*ISNUMBER($C$10:$G$10)*ISNUMBER(C17:G17)*C17:G17) /
         SUMPRODUCT(($C$9:$G$9="CO1")*ISNUMBER($C$10:$G$10)*ISNUMBER(C17:G17)*$C$10:$G$10) * 0.15
       ) +
       IF(
         SUMPRODUCT(($H$9:$Z$9="CO1")*ISNUMBER($H$10:$Z$10)*ISNUMBER(H17:Z17)) = 0,
         0,
         SUMPRODUCT(($H$9:$Z$9="CO1")*ISNUMBER($H$10:$Z$10)*ISNUMBER(H17:Z17)*H17:Z17) /
         SUMPRODUCT(($H$9:$Z$9="CO1")*ISNUMBER($H$10:$Z$10)*ISNUMBER(H17:Z17)*$H$10:$Z$10) * 0.85
       )
     ) * 100,
     ""
   )
)</f>
        <v>53</v>
      </c>
      <c r="AB17" s="1" cm="1">
        <f t="array" ref="AB17">IF(
   SUMPRODUCT(($C$9:$G$9="CO2")*ISNUMBER($C$10:$G$10)*ISNUMBER(C17:G17)) +
   SUMPRODUCT(($H$9:$Z$9="CO2")*ISNUMBER($H$10:$Z$10)*ISNUMBER(H17:Z17)) = 0,
   "",
   IFERROR(
     (
       IF(
         SUMPRODUCT(($C$9:$G$9="CO2")*ISNUMBER($C$10:$G$10)*ISNUMBER(C17:G17)) = 0,
         0,
         SUMPRODUCT(($C$9:$G$9="CO2")*ISNUMBER($C$10:$G$10)*ISNUMBER(C17:G17)*C17:G17) /
         SUMPRODUCT(($C$9:$G$9="CO2")*ISNUMBER($C$10:$G$10)*ISNUMBER(C17:G17)*$C$10:$G$10) * 0.15
       ) +
       IF(
         SUMPRODUCT(($H$9:$Z$9="CO2")*ISNUMBER($H$10:$Z$10)*ISNUMBER(H17:Z17)) = 0,
         0,
         SUMPRODUCT(($H$9:$Z$9="CO2")*ISNUMBER($H$10:$Z$10)*ISNUMBER(H17:Z17)*H17:Z17) /
         SUMPRODUCT(($H$9:$Z$9="CO2")*ISNUMBER($H$10:$Z$10)*ISNUMBER(H17:Z17)*$H$10:$Z$10) * 0.85
       )
     ) * 100,
     ""
   )
)</f>
        <v>62.125</v>
      </c>
      <c r="AC17" s="1" cm="1">
        <f t="array" ref="AC17">IF(
   SUMPRODUCT(($C$9:$G$9="CO3")*ISNUMBER($C$10:$G$10)*ISNUMBER(C17:G17)) +
   SUMPRODUCT(($H$9:$Z$9="CO3")*ISNUMBER($H$10:$Z$10)*ISNUMBER(H17:Z17)) = 0,
   "",
   IFERROR(
     (
       IF(
         SUMPRODUCT(($C$9:$G$9="CO3")*ISNUMBER($C$10:$G$10)*ISNUMBER(C17:G17)) = 0,
         0,
         SUMPRODUCT(($C$9:$G$9="CO3")*ISNUMBER($C$10:$G$10)*ISNUMBER(C17:G17)*C17:G17) /
         SUMPRODUCT(($C$9:$G$9="CO3")*ISNUMBER($C$10:$G$10)*ISNUMBER(C17:G17)*$C$10:$G$10) * 0.15
       ) +
       IF(
         SUMPRODUCT(($H$9:$Z$9="CO3")*ISNUMBER($H$10:$Z$10)*ISNUMBER(H17:Z17)) = 0,
         0,
         SUMPRODUCT(($H$9:$Z$9="CO3")*ISNUMBER($H$10:$Z$10)*ISNUMBER(H17:Z17)*H17:Z17) /
         SUMPRODUCT(($H$9:$Z$9="CO3")*ISNUMBER($H$10:$Z$10)*ISNUMBER(H17:Z17)*$H$10:$Z$10) * 0.85
       )
     ) * 100,
     ""
   )
)</f>
        <v>81.785714285714278</v>
      </c>
      <c r="AD17" s="1" cm="1">
        <f t="array" ref="AD17">IF(
   SUMPRODUCT(($C$9:$G$9="CO4")*ISNUMBER($C$10:$G$10)*ISNUMBER(C17:G17)) +
   SUMPRODUCT(($H$9:$Z$9="CO4")*ISNUMBER($H$10:$Z$10)*ISNUMBER(H17:Z17)) = 0,
   "",
   IFERROR(
     (
       IF(
         SUMPRODUCT(($C$9:$G$9="CO4")*ISNUMBER($C$10:$G$10)*ISNUMBER(C17:G17)) = 0,
         0,
         SUMPRODUCT(($C$9:$G$9="CO4")*ISNUMBER($C$10:$G$10)*ISNUMBER(C17:G17)*C17:G17) /
         SUMPRODUCT(($C$9:$G$9="CO4")*ISNUMBER($C$10:$G$10)*ISNUMBER(C17:G17)*$C$10:$G$10) * 0.15
       ) +
       IF(
         SUMPRODUCT(($H$9:$Z$9="CO4")*ISNUMBER($H$10:$Z$10)*ISNUMBER(H17:Z17)) = 0,
         0,
         SUMPRODUCT(($H$9:$Z$9="CO4")*ISNUMBER($H$10:$Z$10)*ISNUMBER(H17:Z17)*H17:Z17) /
         SUMPRODUCT(($H$9:$Z$9="CO4")*ISNUMBER($H$10:$Z$10)*ISNUMBER(H17:Z17)*$H$10:$Z$10) * 0.85
       )
     ) * 100,
     ""
   )
)</f>
        <v>37.333333333333329</v>
      </c>
      <c r="AE17" s="1" t="str" cm="1">
        <f t="array" ref="AE17">IF(
   SUMPRODUCT(($C$9:$G$9="CO5")*ISNUMBER($C$10:$G$10)*ISNUMBER(C17:G17)) +
   SUMPRODUCT(($H$9:$Z$9="CO5")*ISNUMBER($H$10:$Z$10)*ISNUMBER(H17:Z17)) = 0,
   "",
   IFERROR(
     (
       IF(
         SUMPRODUCT(($C$9:$G$9="CO5")*ISNUMBER($C$10:$G$10)*ISNUMBER(C17:G17)) = 0,
         0,
         SUMPRODUCT(($C$9:$G$9="CO5")*ISNUMBER($C$10:$G$10)*ISNUMBER(C17:G17)*C17:G17) /
         SUMPRODUCT(($C$9:$G$9="CO5")*ISNUMBER($C$10:$G$10)*ISNUMBER(C17:G17)*$C$10:$G$10) * 0.15
       ) +
       IF(
         SUMPRODUCT(($H$9:$Z$9="CO5")*ISNUMBER($H$10:$Z$10)*ISNUMBER(H17:Z17)) = 0,
         0,
         SUMPRODUCT(($H$9:$Z$9="CO5")*ISNUMBER($H$10:$Z$10)*ISNUMBER(H17:Z17)*H17:Z17) /
         SUMPRODUCT(($H$9:$Z$9="CO5")*ISNUMBER($H$10:$Z$10)*ISNUMBER(H17:Z17)*$H$10:$Z$10) * 0.85
       )
     ) * 100,
     ""
   )
)</f>
        <v/>
      </c>
      <c r="AF17" s="1" t="str" cm="1">
        <f t="array" ref="AF17">IF(
   SUMPRODUCT(($C$9:$G$9="CO6")*ISNUMBER($C$10:$G$10)*ISNUMBER(C17:G17)) +
   SUMPRODUCT(($H$9:$Z$9="CO6")*ISNUMBER($H$10:$Z$10)*ISNUMBER(H17:Z17)) = 0,
   "",
   IFERROR(
     (
       IF(
         SUMPRODUCT(($C$9:$G$9="CO6")*ISNUMBER($C$10:$G$10)*ISNUMBER(C17:G17)) = 0,
         0,
         SUMPRODUCT(($C$9:$G$9="CO6")*ISNUMBER($C$10:$G$10)*ISNUMBER(C17:G17)*C17:G17) /
         SUMPRODUCT(($C$9:$G$9="CO6")*ISNUMBER($C$10:$G$10)*ISNUMBER(C17:G17)*$C$10:$G$10) * 0.15
       ) +
       IF(
         SUMPRODUCT(($H$9:$Z$9="CO6")*ISNUMBER($H$10:$Z$10)*ISNUMBER(H17:Z17)) = 0,
         0,
         SUMPRODUCT(($H$9:$Z$9="CO6")*ISNUMBER($H$10:$Z$10)*ISNUMBER(H17:Z17)*H17:Z17) /
         SUMPRODUCT(($H$9:$Z$9="CO6")*ISNUMBER($H$10:$Z$10)*ISNUMBER(H17:Z17)*$H$10:$Z$10) * 0.85
       )
     ) * 100,
     ""
   )
)</f>
        <v/>
      </c>
      <c r="AG17" s="1" t="str" cm="1">
        <f t="array" ref="AG17">IF(
   SUMPRODUCT(($C$9:$G$9="CO7")*ISNUMBER($C$10:$G$10)*ISNUMBER(C17:G17)) +
   SUMPRODUCT(($H$9:$Z$9="CO7")*ISNUMBER($H$10:$Z$10)*ISNUMBER(H17:Z17)) = 0,
   "",
   IFERROR(
     (
       IF(
         SUMPRODUCT(($C$9:$G$9="CO7")*ISNUMBER($C$10:$G$10)*ISNUMBER(C17:G17)) = 0,
         0,
         SUMPRODUCT(($C$9:$G$9="CO7")*ISNUMBER($C$10:$G$10)*ISNUMBER(C17:G17)*C17:G17) /
         SUMPRODUCT(($C$9:$G$9="CO7")*ISNUMBER($C$10:$G$10)*ISNUMBER(C17:G17)*$C$10:$G$10) * 0.15
       ) +
       IF(
         SUMPRODUCT(($H$9:$Z$9="CO7")*ISNUMBER($H$10:$Z$10)*ISNUMBER(H17:Z17)) = 0,
         0,
         SUMPRODUCT(($H$9:$Z$9="CO7")*ISNUMBER($H$10:$Z$10)*ISNUMBER(H17:Z17)*H17:Z17) /
         SUMPRODUCT(($H$9:$Z$9="CO7")*ISNUMBER($H$10:$Z$10)*ISNUMBER(H17:Z17)*$H$10:$Z$10) * 0.85
       )
     ) * 100,
     ""
   )
)</f>
        <v/>
      </c>
      <c r="AH17" s="3" t="str" cm="1">
        <f t="array" ref="AH17">IF(
   SUMPRODUCT(($C$9:$G$9="CO8")*ISNUMBER($C$10:$G$10)*ISNUMBER(C17:G17)) +
   SUMPRODUCT(($H$9:$Z$9="CO8")*ISNUMBER($H$10:$Z$10)*ISNUMBER(H17:Z17)) = 0,
   "",
   IFERROR(
     (
       IF(
         SUMPRODUCT(($C$9:$G$9="CO8")*ISNUMBER($C$10:$G$10)*ISNUMBER(C17:G17)) = 0,
         0,
         SUMPRODUCT(($C$9:$G$9="CO8")*ISNUMBER($C$10:$G$10)*ISNUMBER(C17:G17)*C17:G17) /
         SUMPRODUCT(($C$9:$G$9="CO8")*ISNUMBER($C$10:$G$10)*ISNUMBER(C17:G17)*$C$10:$G$10) * 0.15
       ) +
       IF(
         SUMPRODUCT(($H$9:$Z$9="CO8")*ISNUMBER($H$10:$Z$10)*ISNUMBER(H17:Z17)) = 0,
         0,
         SUMPRODUCT(($H$9:$Z$9="CO8")*ISNUMBER($H$10:$Z$10)*ISNUMBER(H17:Z17)*H17:Z17) /
         SUMPRODUCT(($H$9:$Z$9="CO8")*ISNUMBER($H$10:$Z$10)*ISNUMBER(H17:Z17)*$H$10:$Z$10) * 0.85
       )
     ) * 100,
     ""
   )
)</f>
        <v/>
      </c>
      <c r="AI17" s="1" t="str">
        <f t="shared" si="1"/>
        <v>S</v>
      </c>
      <c r="AJ17" s="1" t="str">
        <f t="shared" si="2"/>
        <v>First</v>
      </c>
      <c r="AK17" s="1" t="str">
        <f t="shared" si="3"/>
        <v>D</v>
      </c>
      <c r="AL17" s="1" t="str">
        <f t="shared" si="4"/>
        <v>F</v>
      </c>
      <c r="AM17" s="1" t="str">
        <f t="shared" si="0"/>
        <v/>
      </c>
      <c r="AN17" s="1" t="str">
        <f t="shared" si="0"/>
        <v/>
      </c>
      <c r="AO17" s="1" t="str">
        <f t="shared" si="0"/>
        <v/>
      </c>
      <c r="AP17" s="1" t="str">
        <f t="shared" si="0"/>
        <v/>
      </c>
      <c r="AQ17" s="21" t="s">
        <v>67</v>
      </c>
      <c r="AR17" s="1">
        <f>COUNTIF($AM$12:$AM$202,"F")</f>
        <v>0</v>
      </c>
      <c r="AS17" s="1">
        <f>COUNTIF($AM$12:$AM$202,"P")</f>
        <v>0</v>
      </c>
      <c r="AT17" s="1">
        <f>COUNTIF($AM$12:$AM$202,"S")</f>
        <v>0</v>
      </c>
      <c r="AU17" s="1">
        <f>COUNTIF($AM$12:$AM$202,"First")</f>
        <v>0</v>
      </c>
      <c r="AV17" s="1">
        <f>COUNTIF($AM$12:$AM$202,"D")</f>
        <v>0</v>
      </c>
      <c r="AW17" s="1">
        <f t="shared" ref="AW17:AW20" si="9">SUM(AR17:AV17)</f>
        <v>0</v>
      </c>
      <c r="AX17" s="2">
        <f>COUNTIF(AE12:AE202,"&gt;40")</f>
        <v>0</v>
      </c>
      <c r="AY17" s="3">
        <f t="shared" si="6"/>
        <v>0</v>
      </c>
      <c r="AZ17" s="4">
        <f t="shared" si="7"/>
        <v>0</v>
      </c>
      <c r="BA17" s="3" t="str">
        <f t="shared" si="8"/>
        <v xml:space="preserve"> NOT ATTAINED</v>
      </c>
    </row>
    <row r="18" spans="1:53" ht="16.2" thickBot="1" x14ac:dyDescent="0.35">
      <c r="A18" s="57">
        <v>2508007</v>
      </c>
      <c r="B18" s="58" t="s">
        <v>115</v>
      </c>
      <c r="C18" s="77">
        <v>2.5</v>
      </c>
      <c r="D18" s="82">
        <v>5</v>
      </c>
      <c r="E18" s="88">
        <v>2.5</v>
      </c>
      <c r="F18" s="89">
        <v>5</v>
      </c>
      <c r="G18" s="89">
        <v>5</v>
      </c>
      <c r="H18" s="14">
        <v>0</v>
      </c>
      <c r="I18" s="14">
        <v>1</v>
      </c>
      <c r="J18" s="14">
        <v>0</v>
      </c>
      <c r="K18" s="14">
        <v>0</v>
      </c>
      <c r="L18" s="14">
        <v>1</v>
      </c>
      <c r="M18" s="14">
        <v>0</v>
      </c>
      <c r="N18" s="14">
        <v>2</v>
      </c>
      <c r="O18" s="14">
        <v>0</v>
      </c>
      <c r="P18" s="14">
        <v>1</v>
      </c>
      <c r="Q18" s="14">
        <v>0</v>
      </c>
      <c r="R18" s="14">
        <v>1</v>
      </c>
      <c r="S18" s="14">
        <v>0</v>
      </c>
      <c r="T18" s="14">
        <v>1</v>
      </c>
      <c r="U18" s="14">
        <v>2</v>
      </c>
      <c r="V18" s="14">
        <v>0</v>
      </c>
      <c r="W18" s="14">
        <v>0</v>
      </c>
      <c r="X18" s="98">
        <v>16</v>
      </c>
      <c r="Y18" s="99">
        <v>2</v>
      </c>
      <c r="Z18" s="89">
        <v>2</v>
      </c>
      <c r="AA18" s="1" cm="1">
        <f t="array" ref="AA18">IF(
   SUMPRODUCT(($C$9:$G$9="CO1")*ISNUMBER($C$10:$G$10)*ISNUMBER(C18:G18)) +
   SUMPRODUCT(($H$9:$Z$9="CO1")*ISNUMBER($H$10:$Z$10)*ISNUMBER(H18:Z18)) = 0,
   "",
   IFERROR(
     (
       IF(
         SUMPRODUCT(($C$9:$G$9="CO1")*ISNUMBER($C$10:$G$10)*ISNUMBER(C18:G18)) = 0,
         0,
         SUMPRODUCT(($C$9:$G$9="CO1")*ISNUMBER($C$10:$G$10)*ISNUMBER(C18:G18)*C18:G18) /
         SUMPRODUCT(($C$9:$G$9="CO1")*ISNUMBER($C$10:$G$10)*ISNUMBER(C18:G18)*$C$10:$G$10) * 0.15
       ) +
       IF(
         SUMPRODUCT(($H$9:$Z$9="CO1")*ISNUMBER($H$10:$Z$10)*ISNUMBER(H18:Z18)) = 0,
         0,
         SUMPRODUCT(($H$9:$Z$9="CO1")*ISNUMBER($H$10:$Z$10)*ISNUMBER(H18:Z18)*H18:Z18) /
         SUMPRODUCT(($H$9:$Z$9="CO1")*ISNUMBER($H$10:$Z$10)*ISNUMBER(H18:Z18)*$H$10:$Z$10) * 0.85
       )
     ) * 100,
     ""
   )
)</f>
        <v>35.833333333333336</v>
      </c>
      <c r="AB18" s="1" cm="1">
        <f t="array" ref="AB18">IF(
   SUMPRODUCT(($C$9:$G$9="CO2")*ISNUMBER($C$10:$G$10)*ISNUMBER(C18:G18)) +
   SUMPRODUCT(($H$9:$Z$9="CO2")*ISNUMBER($H$10:$Z$10)*ISNUMBER(H18:Z18)) = 0,
   "",
   IFERROR(
     (
       IF(
         SUMPRODUCT(($C$9:$G$9="CO2")*ISNUMBER($C$10:$G$10)*ISNUMBER(C18:G18)) = 0,
         0,
         SUMPRODUCT(($C$9:$G$9="CO2")*ISNUMBER($C$10:$G$10)*ISNUMBER(C18:G18)*C18:G18) /
         SUMPRODUCT(($C$9:$G$9="CO2")*ISNUMBER($C$10:$G$10)*ISNUMBER(C18:G18)*$C$10:$G$10) * 0.15
       ) +
       IF(
         SUMPRODUCT(($H$9:$Z$9="CO2")*ISNUMBER($H$10:$Z$10)*ISNUMBER(H18:Z18)) = 0,
         0,
         SUMPRODUCT(($H$9:$Z$9="CO2")*ISNUMBER($H$10:$Z$10)*ISNUMBER(H18:Z18)*H18:Z18) /
         SUMPRODUCT(($H$9:$Z$9="CO2")*ISNUMBER($H$10:$Z$10)*ISNUMBER(H18:Z18)*$H$10:$Z$10) * 0.85
       )
     ) * 100,
     ""
   )
)</f>
        <v>32.499999999999993</v>
      </c>
      <c r="AC18" s="1" cm="1">
        <f t="array" ref="AC18">IF(
   SUMPRODUCT(($C$9:$G$9="CO3")*ISNUMBER($C$10:$G$10)*ISNUMBER(C18:G18)) +
   SUMPRODUCT(($H$9:$Z$9="CO3")*ISNUMBER($H$10:$Z$10)*ISNUMBER(H18:Z18)) = 0,
   "",
   IFERROR(
     (
       IF(
         SUMPRODUCT(($C$9:$G$9="CO3")*ISNUMBER($C$10:$G$10)*ISNUMBER(C18:G18)) = 0,
         0,
         SUMPRODUCT(($C$9:$G$9="CO3")*ISNUMBER($C$10:$G$10)*ISNUMBER(C18:G18)*C18:G18) /
         SUMPRODUCT(($C$9:$G$9="CO3")*ISNUMBER($C$10:$G$10)*ISNUMBER(C18:G18)*$C$10:$G$10) * 0.15
       ) +
       IF(
         SUMPRODUCT(($H$9:$Z$9="CO3")*ISNUMBER($H$10:$Z$10)*ISNUMBER(H18:Z18)) = 0,
         0,
         SUMPRODUCT(($H$9:$Z$9="CO3")*ISNUMBER($H$10:$Z$10)*ISNUMBER(H18:Z18)*H18:Z18) /
         SUMPRODUCT(($H$9:$Z$9="CO3")*ISNUMBER($H$10:$Z$10)*ISNUMBER(H18:Z18)*$H$10:$Z$10) * 0.85
       )
     ) * 100,
     ""
   )
)</f>
        <v>66.607142857142847</v>
      </c>
      <c r="AD18" s="1" cm="1">
        <f t="array" ref="AD18">IF(
   SUMPRODUCT(($C$9:$G$9="CO4")*ISNUMBER($C$10:$G$10)*ISNUMBER(C18:G18)) +
   SUMPRODUCT(($H$9:$Z$9="CO4")*ISNUMBER($H$10:$Z$10)*ISNUMBER(H18:Z18)) = 0,
   "",
   IFERROR(
     (
       IF(
         SUMPRODUCT(($C$9:$G$9="CO4")*ISNUMBER($C$10:$G$10)*ISNUMBER(C18:G18)) = 0,
         0,
         SUMPRODUCT(($C$9:$G$9="CO4")*ISNUMBER($C$10:$G$10)*ISNUMBER(C18:G18)*C18:G18) /
         SUMPRODUCT(($C$9:$G$9="CO4")*ISNUMBER($C$10:$G$10)*ISNUMBER(C18:G18)*$C$10:$G$10) * 0.15
       ) +
       IF(
         SUMPRODUCT(($H$9:$Z$9="CO4")*ISNUMBER($H$10:$Z$10)*ISNUMBER(H18:Z18)) = 0,
         0,
         SUMPRODUCT(($H$9:$Z$9="CO4")*ISNUMBER($H$10:$Z$10)*ISNUMBER(H18:Z18)*H18:Z18) /
         SUMPRODUCT(($H$9:$Z$9="CO4")*ISNUMBER($H$10:$Z$10)*ISNUMBER(H18:Z18)*$H$10:$Z$10) * 0.85
       )
     ) * 100,
     ""
   )
)</f>
        <v>43.333333333333336</v>
      </c>
      <c r="AE18" s="1" t="str" cm="1">
        <f t="array" ref="AE18">IF(
   SUMPRODUCT(($C$9:$G$9="CO5")*ISNUMBER($C$10:$G$10)*ISNUMBER(C18:G18)) +
   SUMPRODUCT(($H$9:$Z$9="CO5")*ISNUMBER($H$10:$Z$10)*ISNUMBER(H18:Z18)) = 0,
   "",
   IFERROR(
     (
       IF(
         SUMPRODUCT(($C$9:$G$9="CO5")*ISNUMBER($C$10:$G$10)*ISNUMBER(C18:G18)) = 0,
         0,
         SUMPRODUCT(($C$9:$G$9="CO5")*ISNUMBER($C$10:$G$10)*ISNUMBER(C18:G18)*C18:G18) /
         SUMPRODUCT(($C$9:$G$9="CO5")*ISNUMBER($C$10:$G$10)*ISNUMBER(C18:G18)*$C$10:$G$10) * 0.15
       ) +
       IF(
         SUMPRODUCT(($H$9:$Z$9="CO5")*ISNUMBER($H$10:$Z$10)*ISNUMBER(H18:Z18)) = 0,
         0,
         SUMPRODUCT(($H$9:$Z$9="CO5")*ISNUMBER($H$10:$Z$10)*ISNUMBER(H18:Z18)*H18:Z18) /
         SUMPRODUCT(($H$9:$Z$9="CO5")*ISNUMBER($H$10:$Z$10)*ISNUMBER(H18:Z18)*$H$10:$Z$10) * 0.85
       )
     ) * 100,
     ""
   )
)</f>
        <v/>
      </c>
      <c r="AF18" s="1" t="str" cm="1">
        <f t="array" ref="AF18">IF(
   SUMPRODUCT(($C$9:$G$9="CO6")*ISNUMBER($C$10:$G$10)*ISNUMBER(C18:G18)) +
   SUMPRODUCT(($H$9:$Z$9="CO6")*ISNUMBER($H$10:$Z$10)*ISNUMBER(H18:Z18)) = 0,
   "",
   IFERROR(
     (
       IF(
         SUMPRODUCT(($C$9:$G$9="CO6")*ISNUMBER($C$10:$G$10)*ISNUMBER(C18:G18)) = 0,
         0,
         SUMPRODUCT(($C$9:$G$9="CO6")*ISNUMBER($C$10:$G$10)*ISNUMBER(C18:G18)*C18:G18) /
         SUMPRODUCT(($C$9:$G$9="CO6")*ISNUMBER($C$10:$G$10)*ISNUMBER(C18:G18)*$C$10:$G$10) * 0.15
       ) +
       IF(
         SUMPRODUCT(($H$9:$Z$9="CO6")*ISNUMBER($H$10:$Z$10)*ISNUMBER(H18:Z18)) = 0,
         0,
         SUMPRODUCT(($H$9:$Z$9="CO6")*ISNUMBER($H$10:$Z$10)*ISNUMBER(H18:Z18)*H18:Z18) /
         SUMPRODUCT(($H$9:$Z$9="CO6")*ISNUMBER($H$10:$Z$10)*ISNUMBER(H18:Z18)*$H$10:$Z$10) * 0.85
       )
     ) * 100,
     ""
   )
)</f>
        <v/>
      </c>
      <c r="AG18" s="1" t="str" cm="1">
        <f t="array" ref="AG18">IF(
   SUMPRODUCT(($C$9:$G$9="CO7")*ISNUMBER($C$10:$G$10)*ISNUMBER(C18:G18)) +
   SUMPRODUCT(($H$9:$Z$9="CO7")*ISNUMBER($H$10:$Z$10)*ISNUMBER(H18:Z18)) = 0,
   "",
   IFERROR(
     (
       IF(
         SUMPRODUCT(($C$9:$G$9="CO7")*ISNUMBER($C$10:$G$10)*ISNUMBER(C18:G18)) = 0,
         0,
         SUMPRODUCT(($C$9:$G$9="CO7")*ISNUMBER($C$10:$G$10)*ISNUMBER(C18:G18)*C18:G18) /
         SUMPRODUCT(($C$9:$G$9="CO7")*ISNUMBER($C$10:$G$10)*ISNUMBER(C18:G18)*$C$10:$G$10) * 0.15
       ) +
       IF(
         SUMPRODUCT(($H$9:$Z$9="CO7")*ISNUMBER($H$10:$Z$10)*ISNUMBER(H18:Z18)) = 0,
         0,
         SUMPRODUCT(($H$9:$Z$9="CO7")*ISNUMBER($H$10:$Z$10)*ISNUMBER(H18:Z18)*H18:Z18) /
         SUMPRODUCT(($H$9:$Z$9="CO7")*ISNUMBER($H$10:$Z$10)*ISNUMBER(H18:Z18)*$H$10:$Z$10) * 0.85
       )
     ) * 100,
     ""
   )
)</f>
        <v/>
      </c>
      <c r="AH18" s="3" t="str" cm="1">
        <f t="array" ref="AH18">IF(
   SUMPRODUCT(($C$9:$G$9="CO8")*ISNUMBER($C$10:$G$10)*ISNUMBER(C18:G18)) +
   SUMPRODUCT(($H$9:$Z$9="CO8")*ISNUMBER($H$10:$Z$10)*ISNUMBER(H18:Z18)) = 0,
   "",
   IFERROR(
     (
       IF(
         SUMPRODUCT(($C$9:$G$9="CO8")*ISNUMBER($C$10:$G$10)*ISNUMBER(C18:G18)) = 0,
         0,
         SUMPRODUCT(($C$9:$G$9="CO8")*ISNUMBER($C$10:$G$10)*ISNUMBER(C18:G18)*C18:G18) /
         SUMPRODUCT(($C$9:$G$9="CO8")*ISNUMBER($C$10:$G$10)*ISNUMBER(C18:G18)*$C$10:$G$10) * 0.15
       ) +
       IF(
         SUMPRODUCT(($H$9:$Z$9="CO8")*ISNUMBER($H$10:$Z$10)*ISNUMBER(H18:Z18)) = 0,
         0,
         SUMPRODUCT(($H$9:$Z$9="CO8")*ISNUMBER($H$10:$Z$10)*ISNUMBER(H18:Z18)*H18:Z18) /
         SUMPRODUCT(($H$9:$Z$9="CO8")*ISNUMBER($H$10:$Z$10)*ISNUMBER(H18:Z18)*$H$10:$Z$10) * 0.85
       )
     ) * 100,
     ""
   )
)</f>
        <v/>
      </c>
      <c r="AI18" s="1" t="str">
        <f t="shared" si="1"/>
        <v>F</v>
      </c>
      <c r="AJ18" s="1" t="str">
        <f t="shared" si="2"/>
        <v>F</v>
      </c>
      <c r="AK18" s="1" t="str">
        <f t="shared" si="3"/>
        <v>First</v>
      </c>
      <c r="AL18" s="1" t="str">
        <f t="shared" si="4"/>
        <v>P</v>
      </c>
      <c r="AM18" s="1" t="str">
        <f t="shared" si="0"/>
        <v/>
      </c>
      <c r="AN18" s="1" t="str">
        <f t="shared" si="0"/>
        <v/>
      </c>
      <c r="AO18" s="1" t="str">
        <f t="shared" si="0"/>
        <v/>
      </c>
      <c r="AP18" s="1" t="str">
        <f t="shared" si="0"/>
        <v/>
      </c>
      <c r="AQ18" s="21" t="s">
        <v>68</v>
      </c>
      <c r="AR18" s="1">
        <f>COUNTIF($AN$12:$AN$202,"F")</f>
        <v>0</v>
      </c>
      <c r="AS18" s="1">
        <f>COUNTIF($AN$12:$AN$202,"P")</f>
        <v>0</v>
      </c>
      <c r="AT18" s="1">
        <f>COUNTIF($AN$12:$AN$202,"S")</f>
        <v>0</v>
      </c>
      <c r="AU18" s="1">
        <f>COUNTIF($AN$12:$AN$202,"First")</f>
        <v>0</v>
      </c>
      <c r="AV18" s="1">
        <f>COUNTIF($AN$12:$AN$202,"D")</f>
        <v>0</v>
      </c>
      <c r="AW18" s="1">
        <f t="shared" si="9"/>
        <v>0</v>
      </c>
      <c r="AX18" s="2">
        <f>COUNTIF(AF12:AF202,"&gt;40")</f>
        <v>0</v>
      </c>
      <c r="AY18" s="3">
        <f t="shared" si="6"/>
        <v>0</v>
      </c>
      <c r="AZ18" s="4">
        <f t="shared" si="7"/>
        <v>0</v>
      </c>
      <c r="BA18" s="3" t="str">
        <f t="shared" si="8"/>
        <v xml:space="preserve"> NOT ATTAINED</v>
      </c>
    </row>
    <row r="19" spans="1:53" ht="16.2" thickBot="1" x14ac:dyDescent="0.35">
      <c r="A19" s="57">
        <v>2508008</v>
      </c>
      <c r="B19" s="58" t="s">
        <v>116</v>
      </c>
      <c r="C19" s="77">
        <v>2.5</v>
      </c>
      <c r="D19" s="82">
        <v>5</v>
      </c>
      <c r="E19" s="88">
        <v>5</v>
      </c>
      <c r="F19" s="89">
        <v>5</v>
      </c>
      <c r="G19" s="89">
        <v>3</v>
      </c>
      <c r="H19" s="14">
        <v>0</v>
      </c>
      <c r="I19" s="14">
        <v>1</v>
      </c>
      <c r="J19" s="14">
        <v>1</v>
      </c>
      <c r="K19" s="14">
        <v>1</v>
      </c>
      <c r="L19" s="14">
        <v>0</v>
      </c>
      <c r="M19" s="14">
        <v>2</v>
      </c>
      <c r="N19" s="14">
        <v>2</v>
      </c>
      <c r="O19" s="14">
        <v>1</v>
      </c>
      <c r="P19" s="14">
        <v>0</v>
      </c>
      <c r="Q19" s="14">
        <v>0</v>
      </c>
      <c r="R19" s="14">
        <v>2</v>
      </c>
      <c r="S19" s="14">
        <v>0</v>
      </c>
      <c r="T19" s="14">
        <v>1</v>
      </c>
      <c r="U19" s="14">
        <v>1</v>
      </c>
      <c r="V19" s="14">
        <v>0</v>
      </c>
      <c r="W19" s="14">
        <v>2</v>
      </c>
      <c r="X19" s="98">
        <v>23</v>
      </c>
      <c r="Y19" s="99">
        <v>8</v>
      </c>
      <c r="Z19" s="89">
        <v>8</v>
      </c>
      <c r="AA19" s="1" cm="1">
        <f t="array" ref="AA19">IF(
   SUMPRODUCT(($C$9:$G$9="CO1")*ISNUMBER($C$10:$G$10)*ISNUMBER(C19:G19)) +
   SUMPRODUCT(($H$9:$Z$9="CO1")*ISNUMBER($H$10:$Z$10)*ISNUMBER(H19:Z19)) = 0,
   "",
   IFERROR(
     (
       IF(
         SUMPRODUCT(($C$9:$G$9="CO1")*ISNUMBER($C$10:$G$10)*ISNUMBER(C19:G19)) = 0,
         0,
         SUMPRODUCT(($C$9:$G$9="CO1")*ISNUMBER($C$10:$G$10)*ISNUMBER(C19:G19)*C19:G19) /
         SUMPRODUCT(($C$9:$G$9="CO1")*ISNUMBER($C$10:$G$10)*ISNUMBER(C19:G19)*$C$10:$G$10) * 0.15
       ) +
       IF(
         SUMPRODUCT(($H$9:$Z$9="CO1")*ISNUMBER($H$10:$Z$10)*ISNUMBER(H19:Z19)) = 0,
         0,
         SUMPRODUCT(($H$9:$Z$9="CO1")*ISNUMBER($H$10:$Z$10)*ISNUMBER(H19:Z19)*H19:Z19) /
         SUMPRODUCT(($H$9:$Z$9="CO1")*ISNUMBER($H$10:$Z$10)*ISNUMBER(H19:Z19)*$H$10:$Z$10) * 0.85
       )
     ) * 100,
     ""
   )
)</f>
        <v>78.333333333333329</v>
      </c>
      <c r="AB19" s="1" cm="1">
        <f t="array" ref="AB19">IF(
   SUMPRODUCT(($C$9:$G$9="CO2")*ISNUMBER($C$10:$G$10)*ISNUMBER(C19:G19)) +
   SUMPRODUCT(($H$9:$Z$9="CO2")*ISNUMBER($H$10:$Z$10)*ISNUMBER(H19:Z19)) = 0,
   "",
   IFERROR(
     (
       IF(
         SUMPRODUCT(($C$9:$G$9="CO2")*ISNUMBER($C$10:$G$10)*ISNUMBER(C19:G19)) = 0,
         0,
         SUMPRODUCT(($C$9:$G$9="CO2")*ISNUMBER($C$10:$G$10)*ISNUMBER(C19:G19)*C19:G19) /
         SUMPRODUCT(($C$9:$G$9="CO2")*ISNUMBER($C$10:$G$10)*ISNUMBER(C19:G19)*$C$10:$G$10) * 0.15
       ) +
       IF(
         SUMPRODUCT(($H$9:$Z$9="CO2")*ISNUMBER($H$10:$Z$10)*ISNUMBER(H19:Z19)) = 0,
         0,
         SUMPRODUCT(($H$9:$Z$9="CO2")*ISNUMBER($H$10:$Z$10)*ISNUMBER(H19:Z19)*H19:Z19) /
         SUMPRODUCT(($H$9:$Z$9="CO2")*ISNUMBER($H$10:$Z$10)*ISNUMBER(H19:Z19)*$H$10:$Z$10) * 0.85
       )
     ) * 100,
     ""
   )
)</f>
        <v>73.4375</v>
      </c>
      <c r="AC19" s="1" cm="1">
        <f t="array" ref="AC19">IF(
   SUMPRODUCT(($C$9:$G$9="CO3")*ISNUMBER($C$10:$G$10)*ISNUMBER(C19:G19)) +
   SUMPRODUCT(($H$9:$Z$9="CO3")*ISNUMBER($H$10:$Z$10)*ISNUMBER(H19:Z19)) = 0,
   "",
   IFERROR(
     (
       IF(
         SUMPRODUCT(($C$9:$G$9="CO3")*ISNUMBER($C$10:$G$10)*ISNUMBER(C19:G19)) = 0,
         0,
         SUMPRODUCT(($C$9:$G$9="CO3")*ISNUMBER($C$10:$G$10)*ISNUMBER(C19:G19)*C19:G19) /
         SUMPRODUCT(($C$9:$G$9="CO3")*ISNUMBER($C$10:$G$10)*ISNUMBER(C19:G19)*$C$10:$G$10) * 0.15
       ) +
       IF(
         SUMPRODUCT(($H$9:$Z$9="CO3")*ISNUMBER($H$10:$Z$10)*ISNUMBER(H19:Z19)) = 0,
         0,
         SUMPRODUCT(($H$9:$Z$9="CO3")*ISNUMBER($H$10:$Z$10)*ISNUMBER(H19:Z19)*H19:Z19) /
         SUMPRODUCT(($H$9:$Z$9="CO3")*ISNUMBER($H$10:$Z$10)*ISNUMBER(H19:Z19)*$H$10:$Z$10) * 0.85
       )
     ) * 100,
     ""
   )
)</f>
        <v>87.857142857142861</v>
      </c>
      <c r="AD19" s="1" cm="1">
        <f t="array" ref="AD19">IF(
   SUMPRODUCT(($C$9:$G$9="CO4")*ISNUMBER($C$10:$G$10)*ISNUMBER(C19:G19)) +
   SUMPRODUCT(($H$9:$Z$9="CO4")*ISNUMBER($H$10:$Z$10)*ISNUMBER(H19:Z19)) = 0,
   "",
   IFERROR(
     (
       IF(
         SUMPRODUCT(($C$9:$G$9="CO4")*ISNUMBER($C$10:$G$10)*ISNUMBER(C19:G19)) = 0,
         0,
         SUMPRODUCT(($C$9:$G$9="CO4")*ISNUMBER($C$10:$G$10)*ISNUMBER(C19:G19)*C19:G19) /
         SUMPRODUCT(($C$9:$G$9="CO4")*ISNUMBER($C$10:$G$10)*ISNUMBER(C19:G19)*$C$10:$G$10) * 0.15
       ) +
       IF(
         SUMPRODUCT(($H$9:$Z$9="CO4")*ISNUMBER($H$10:$Z$10)*ISNUMBER(H19:Z19)) = 0,
         0,
         SUMPRODUCT(($H$9:$Z$9="CO4")*ISNUMBER($H$10:$Z$10)*ISNUMBER(H19:Z19)*H19:Z19) /
         SUMPRODUCT(($H$9:$Z$9="CO4")*ISNUMBER($H$10:$Z$10)*ISNUMBER(H19:Z19)*$H$10:$Z$10) * 0.85
       )
     ) * 100,
     ""
   )
)</f>
        <v>51.5</v>
      </c>
      <c r="AE19" s="1" t="str" cm="1">
        <f t="array" ref="AE19">IF(
   SUMPRODUCT(($C$9:$G$9="CO5")*ISNUMBER($C$10:$G$10)*ISNUMBER(C19:G19)) +
   SUMPRODUCT(($H$9:$Z$9="CO5")*ISNUMBER($H$10:$Z$10)*ISNUMBER(H19:Z19)) = 0,
   "",
   IFERROR(
     (
       IF(
         SUMPRODUCT(($C$9:$G$9="CO5")*ISNUMBER($C$10:$G$10)*ISNUMBER(C19:G19)) = 0,
         0,
         SUMPRODUCT(($C$9:$G$9="CO5")*ISNUMBER($C$10:$G$10)*ISNUMBER(C19:G19)*C19:G19) /
         SUMPRODUCT(($C$9:$G$9="CO5")*ISNUMBER($C$10:$G$10)*ISNUMBER(C19:G19)*$C$10:$G$10) * 0.15
       ) +
       IF(
         SUMPRODUCT(($H$9:$Z$9="CO5")*ISNUMBER($H$10:$Z$10)*ISNUMBER(H19:Z19)) = 0,
         0,
         SUMPRODUCT(($H$9:$Z$9="CO5")*ISNUMBER($H$10:$Z$10)*ISNUMBER(H19:Z19)*H19:Z19) /
         SUMPRODUCT(($H$9:$Z$9="CO5")*ISNUMBER($H$10:$Z$10)*ISNUMBER(H19:Z19)*$H$10:$Z$10) * 0.85
       )
     ) * 100,
     ""
   )
)</f>
        <v/>
      </c>
      <c r="AF19" s="1" t="str" cm="1">
        <f t="array" ref="AF19">IF(
   SUMPRODUCT(($C$9:$G$9="CO6")*ISNUMBER($C$10:$G$10)*ISNUMBER(C19:G19)) +
   SUMPRODUCT(($H$9:$Z$9="CO6")*ISNUMBER($H$10:$Z$10)*ISNUMBER(H19:Z19)) = 0,
   "",
   IFERROR(
     (
       IF(
         SUMPRODUCT(($C$9:$G$9="CO6")*ISNUMBER($C$10:$G$10)*ISNUMBER(C19:G19)) = 0,
         0,
         SUMPRODUCT(($C$9:$G$9="CO6")*ISNUMBER($C$10:$G$10)*ISNUMBER(C19:G19)*C19:G19) /
         SUMPRODUCT(($C$9:$G$9="CO6")*ISNUMBER($C$10:$G$10)*ISNUMBER(C19:G19)*$C$10:$G$10) * 0.15
       ) +
       IF(
         SUMPRODUCT(($H$9:$Z$9="CO6")*ISNUMBER($H$10:$Z$10)*ISNUMBER(H19:Z19)) = 0,
         0,
         SUMPRODUCT(($H$9:$Z$9="CO6")*ISNUMBER($H$10:$Z$10)*ISNUMBER(H19:Z19)*H19:Z19) /
         SUMPRODUCT(($H$9:$Z$9="CO6")*ISNUMBER($H$10:$Z$10)*ISNUMBER(H19:Z19)*$H$10:$Z$10) * 0.85
       )
     ) * 100,
     ""
   )
)</f>
        <v/>
      </c>
      <c r="AG19" s="1" t="str" cm="1">
        <f t="array" ref="AG19">IF(
   SUMPRODUCT(($C$9:$G$9="CO7")*ISNUMBER($C$10:$G$10)*ISNUMBER(C19:G19)) +
   SUMPRODUCT(($H$9:$Z$9="CO7")*ISNUMBER($H$10:$Z$10)*ISNUMBER(H19:Z19)) = 0,
   "",
   IFERROR(
     (
       IF(
         SUMPRODUCT(($C$9:$G$9="CO7")*ISNUMBER($C$10:$G$10)*ISNUMBER(C19:G19)) = 0,
         0,
         SUMPRODUCT(($C$9:$G$9="CO7")*ISNUMBER($C$10:$G$10)*ISNUMBER(C19:G19)*C19:G19) /
         SUMPRODUCT(($C$9:$G$9="CO7")*ISNUMBER($C$10:$G$10)*ISNUMBER(C19:G19)*$C$10:$G$10) * 0.15
       ) +
       IF(
         SUMPRODUCT(($H$9:$Z$9="CO7")*ISNUMBER($H$10:$Z$10)*ISNUMBER(H19:Z19)) = 0,
         0,
         SUMPRODUCT(($H$9:$Z$9="CO7")*ISNUMBER($H$10:$Z$10)*ISNUMBER(H19:Z19)*H19:Z19) /
         SUMPRODUCT(($H$9:$Z$9="CO7")*ISNUMBER($H$10:$Z$10)*ISNUMBER(H19:Z19)*$H$10:$Z$10) * 0.85
       )
     ) * 100,
     ""
   )
)</f>
        <v/>
      </c>
      <c r="AH19" s="3" t="str" cm="1">
        <f t="array" ref="AH19">IF(
   SUMPRODUCT(($C$9:$G$9="CO8")*ISNUMBER($C$10:$G$10)*ISNUMBER(C19:G19)) +
   SUMPRODUCT(($H$9:$Z$9="CO8")*ISNUMBER($H$10:$Z$10)*ISNUMBER(H19:Z19)) = 0,
   "",
   IFERROR(
     (
       IF(
         SUMPRODUCT(($C$9:$G$9="CO8")*ISNUMBER($C$10:$G$10)*ISNUMBER(C19:G19)) = 0,
         0,
         SUMPRODUCT(($C$9:$G$9="CO8")*ISNUMBER($C$10:$G$10)*ISNUMBER(C19:G19)*C19:G19) /
         SUMPRODUCT(($C$9:$G$9="CO8")*ISNUMBER($C$10:$G$10)*ISNUMBER(C19:G19)*$C$10:$G$10) * 0.15
       ) +
       IF(
         SUMPRODUCT(($H$9:$Z$9="CO8")*ISNUMBER($H$10:$Z$10)*ISNUMBER(H19:Z19)) = 0,
         0,
         SUMPRODUCT(($H$9:$Z$9="CO8")*ISNUMBER($H$10:$Z$10)*ISNUMBER(H19:Z19)*H19:Z19) /
         SUMPRODUCT(($H$9:$Z$9="CO8")*ISNUMBER($H$10:$Z$10)*ISNUMBER(H19:Z19)*$H$10:$Z$10) * 0.85
       )
     ) * 100,
     ""
   )
)</f>
        <v/>
      </c>
      <c r="AI19" s="1" t="str">
        <f t="shared" si="1"/>
        <v>D</v>
      </c>
      <c r="AJ19" s="1" t="str">
        <f t="shared" si="2"/>
        <v>D</v>
      </c>
      <c r="AK19" s="1" t="str">
        <f t="shared" si="3"/>
        <v>D</v>
      </c>
      <c r="AL19" s="1" t="str">
        <f t="shared" si="4"/>
        <v>S</v>
      </c>
      <c r="AM19" s="1" t="str">
        <f t="shared" si="0"/>
        <v/>
      </c>
      <c r="AN19" s="1" t="str">
        <f t="shared" si="0"/>
        <v/>
      </c>
      <c r="AO19" s="1" t="str">
        <f t="shared" si="0"/>
        <v/>
      </c>
      <c r="AP19" s="1" t="str">
        <f t="shared" si="0"/>
        <v/>
      </c>
      <c r="AQ19" s="21" t="s">
        <v>69</v>
      </c>
      <c r="AR19" s="1">
        <f>COUNTIF($AO$12:$AO$202,"F")</f>
        <v>0</v>
      </c>
      <c r="AS19" s="1">
        <f>COUNTIF($AO$12:$AO$202,"P")</f>
        <v>0</v>
      </c>
      <c r="AT19" s="1">
        <f>COUNTIF($AO$12:$AO$202,"S")</f>
        <v>0</v>
      </c>
      <c r="AU19" s="1">
        <f>COUNTIF($AO$12:$AO$202,"First")</f>
        <v>0</v>
      </c>
      <c r="AV19" s="1">
        <f>COUNTIF($AO$12:$AO$202,"D")</f>
        <v>0</v>
      </c>
      <c r="AW19" s="1">
        <f t="shared" si="9"/>
        <v>0</v>
      </c>
      <c r="AX19" s="2">
        <f>COUNTIF(AG12:AG202,"&gt;40")</f>
        <v>0</v>
      </c>
      <c r="AY19" s="3">
        <f t="shared" si="6"/>
        <v>0</v>
      </c>
      <c r="AZ19" s="4">
        <f t="shared" si="7"/>
        <v>0</v>
      </c>
      <c r="BA19" s="3" t="str">
        <f t="shared" si="8"/>
        <v xml:space="preserve"> NOT ATTAINED</v>
      </c>
    </row>
    <row r="20" spans="1:53" ht="16.2" thickBot="1" x14ac:dyDescent="0.35">
      <c r="A20" s="57">
        <v>2508009</v>
      </c>
      <c r="B20" s="58" t="s">
        <v>117</v>
      </c>
      <c r="C20" s="77">
        <v>1.5</v>
      </c>
      <c r="D20" s="82">
        <v>5</v>
      </c>
      <c r="E20" s="88">
        <v>3.5</v>
      </c>
      <c r="F20" s="89">
        <v>5</v>
      </c>
      <c r="G20" s="89">
        <v>3</v>
      </c>
      <c r="H20" s="14">
        <v>0</v>
      </c>
      <c r="I20" s="14">
        <v>1</v>
      </c>
      <c r="J20" s="14">
        <v>1</v>
      </c>
      <c r="K20" s="14">
        <v>1</v>
      </c>
      <c r="L20" s="14">
        <v>0</v>
      </c>
      <c r="M20" s="14">
        <v>2</v>
      </c>
      <c r="N20" s="14">
        <v>1</v>
      </c>
      <c r="O20" s="14">
        <v>2</v>
      </c>
      <c r="P20" s="14">
        <v>0</v>
      </c>
      <c r="Q20" s="14">
        <v>1</v>
      </c>
      <c r="R20" s="14">
        <v>1</v>
      </c>
      <c r="S20" s="14">
        <v>0</v>
      </c>
      <c r="T20" s="14">
        <v>1</v>
      </c>
      <c r="U20" s="14">
        <v>0</v>
      </c>
      <c r="V20" s="14">
        <v>1</v>
      </c>
      <c r="W20" s="14">
        <v>0</v>
      </c>
      <c r="X20" s="98">
        <v>20</v>
      </c>
      <c r="Y20" s="99">
        <v>8</v>
      </c>
      <c r="Z20" s="89">
        <v>6</v>
      </c>
      <c r="AA20" s="1" cm="1">
        <f t="array" ref="AA20">IF(
   SUMPRODUCT(($C$9:$G$9="CO1")*ISNUMBER($C$10:$G$10)*ISNUMBER(C20:G20)) +
   SUMPRODUCT(($H$9:$Z$9="CO1")*ISNUMBER($H$10:$Z$10)*ISNUMBER(H20:Z20)) = 0,
   "",
   IFERROR(
     (
       IF(
         SUMPRODUCT(($C$9:$G$9="CO1")*ISNUMBER($C$10:$G$10)*ISNUMBER(C20:G20)) = 0,
         0,
         SUMPRODUCT(($C$9:$G$9="CO1")*ISNUMBER($C$10:$G$10)*ISNUMBER(C20:G20)*C20:G20) /
         SUMPRODUCT(($C$9:$G$9="CO1")*ISNUMBER($C$10:$G$10)*ISNUMBER(C20:G20)*$C$10:$G$10) * 0.15
       ) +
       IF(
         SUMPRODUCT(($H$9:$Z$9="CO1")*ISNUMBER($H$10:$Z$10)*ISNUMBER(H20:Z20)) = 0,
         0,
         SUMPRODUCT(($H$9:$Z$9="CO1")*ISNUMBER($H$10:$Z$10)*ISNUMBER(H20:Z20)*H20:Z20) /
         SUMPRODUCT(($H$9:$Z$9="CO1")*ISNUMBER($H$10:$Z$10)*ISNUMBER(H20:Z20)*$H$10:$Z$10) * 0.85
       )
     ) * 100,
     ""
   )
)</f>
        <v>61.166666666666671</v>
      </c>
      <c r="AB20" s="1" cm="1">
        <f t="array" ref="AB20">IF(
   SUMPRODUCT(($C$9:$G$9="CO2")*ISNUMBER($C$10:$G$10)*ISNUMBER(C20:G20)) +
   SUMPRODUCT(($H$9:$Z$9="CO2")*ISNUMBER($H$10:$Z$10)*ISNUMBER(H20:Z20)) = 0,
   "",
   IFERROR(
     (
       IF(
         SUMPRODUCT(($C$9:$G$9="CO2")*ISNUMBER($C$10:$G$10)*ISNUMBER(C20:G20)) = 0,
         0,
         SUMPRODUCT(($C$9:$G$9="CO2")*ISNUMBER($C$10:$G$10)*ISNUMBER(C20:G20)*C20:G20) /
         SUMPRODUCT(($C$9:$G$9="CO2")*ISNUMBER($C$10:$G$10)*ISNUMBER(C20:G20)*$C$10:$G$10) * 0.15
       ) +
       IF(
         SUMPRODUCT(($H$9:$Z$9="CO2")*ISNUMBER($H$10:$Z$10)*ISNUMBER(H20:Z20)) = 0,
         0,
         SUMPRODUCT(($H$9:$Z$9="CO2")*ISNUMBER($H$10:$Z$10)*ISNUMBER(H20:Z20)*H20:Z20) /
         SUMPRODUCT(($H$9:$Z$9="CO2")*ISNUMBER($H$10:$Z$10)*ISNUMBER(H20:Z20)*$H$10:$Z$10) * 0.85
       )
     ) * 100,
     ""
   )
)</f>
        <v>71.1875</v>
      </c>
      <c r="AC20" s="1" cm="1">
        <f t="array" ref="AC20">IF(
   SUMPRODUCT(($C$9:$G$9="CO3")*ISNUMBER($C$10:$G$10)*ISNUMBER(C20:G20)) +
   SUMPRODUCT(($H$9:$Z$9="CO3")*ISNUMBER($H$10:$Z$10)*ISNUMBER(H20:Z20)) = 0,
   "",
   IFERROR(
     (
       IF(
         SUMPRODUCT(($C$9:$G$9="CO3")*ISNUMBER($C$10:$G$10)*ISNUMBER(C20:G20)) = 0,
         0,
         SUMPRODUCT(($C$9:$G$9="CO3")*ISNUMBER($C$10:$G$10)*ISNUMBER(C20:G20)*C20:G20) /
         SUMPRODUCT(($C$9:$G$9="CO3")*ISNUMBER($C$10:$G$10)*ISNUMBER(C20:G20)*$C$10:$G$10) * 0.15
       ) +
       IF(
         SUMPRODUCT(($H$9:$Z$9="CO3")*ISNUMBER($H$10:$Z$10)*ISNUMBER(H20:Z20)) = 0,
         0,
         SUMPRODUCT(($H$9:$Z$9="CO3")*ISNUMBER($H$10:$Z$10)*ISNUMBER(H20:Z20)*H20:Z20) /
         SUMPRODUCT(($H$9:$Z$9="CO3")*ISNUMBER($H$10:$Z$10)*ISNUMBER(H20:Z20)*$H$10:$Z$10) * 0.85
       )
     ) * 100,
     ""
   )
)</f>
        <v>81.785714285714278</v>
      </c>
      <c r="AD20" s="1" cm="1">
        <f t="array" ref="AD20">IF(
   SUMPRODUCT(($C$9:$G$9="CO4")*ISNUMBER($C$10:$G$10)*ISNUMBER(C20:G20)) +
   SUMPRODUCT(($H$9:$Z$9="CO4")*ISNUMBER($H$10:$Z$10)*ISNUMBER(H20:Z20)) = 0,
   "",
   IFERROR(
     (
       IF(
         SUMPRODUCT(($C$9:$G$9="CO4")*ISNUMBER($C$10:$G$10)*ISNUMBER(C20:G20)) = 0,
         0,
         SUMPRODUCT(($C$9:$G$9="CO4")*ISNUMBER($C$10:$G$10)*ISNUMBER(C20:G20)*C20:G20) /
         SUMPRODUCT(($C$9:$G$9="CO4")*ISNUMBER($C$10:$G$10)*ISNUMBER(C20:G20)*$C$10:$G$10) * 0.15
       ) +
       IF(
         SUMPRODUCT(($H$9:$Z$9="CO4")*ISNUMBER($H$10:$Z$10)*ISNUMBER(H20:Z20)) = 0,
         0,
         SUMPRODUCT(($H$9:$Z$9="CO4")*ISNUMBER($H$10:$Z$10)*ISNUMBER(H20:Z20)*H20:Z20) /
         SUMPRODUCT(($H$9:$Z$9="CO4")*ISNUMBER($H$10:$Z$10)*ISNUMBER(H20:Z20)*$H$10:$Z$10) * 0.85
       )
     ) * 100,
     ""
   )
)</f>
        <v>23.166666666666664</v>
      </c>
      <c r="AE20" s="1" t="str" cm="1">
        <f t="array" ref="AE20">IF(
   SUMPRODUCT(($C$9:$G$9="CO5")*ISNUMBER($C$10:$G$10)*ISNUMBER(C20:G20)) +
   SUMPRODUCT(($H$9:$Z$9="CO5")*ISNUMBER($H$10:$Z$10)*ISNUMBER(H20:Z20)) = 0,
   "",
   IFERROR(
     (
       IF(
         SUMPRODUCT(($C$9:$G$9="CO5")*ISNUMBER($C$10:$G$10)*ISNUMBER(C20:G20)) = 0,
         0,
         SUMPRODUCT(($C$9:$G$9="CO5")*ISNUMBER($C$10:$G$10)*ISNUMBER(C20:G20)*C20:G20) /
         SUMPRODUCT(($C$9:$G$9="CO5")*ISNUMBER($C$10:$G$10)*ISNUMBER(C20:G20)*$C$10:$G$10) * 0.15
       ) +
       IF(
         SUMPRODUCT(($H$9:$Z$9="CO5")*ISNUMBER($H$10:$Z$10)*ISNUMBER(H20:Z20)) = 0,
         0,
         SUMPRODUCT(($H$9:$Z$9="CO5")*ISNUMBER($H$10:$Z$10)*ISNUMBER(H20:Z20)*H20:Z20) /
         SUMPRODUCT(($H$9:$Z$9="CO5")*ISNUMBER($H$10:$Z$10)*ISNUMBER(H20:Z20)*$H$10:$Z$10) * 0.85
       )
     ) * 100,
     ""
   )
)</f>
        <v/>
      </c>
      <c r="AF20" s="1" t="str" cm="1">
        <f t="array" ref="AF20">IF(
   SUMPRODUCT(($C$9:$G$9="CO6")*ISNUMBER($C$10:$G$10)*ISNUMBER(C20:G20)) +
   SUMPRODUCT(($H$9:$Z$9="CO6")*ISNUMBER($H$10:$Z$10)*ISNUMBER(H20:Z20)) = 0,
   "",
   IFERROR(
     (
       IF(
         SUMPRODUCT(($C$9:$G$9="CO6")*ISNUMBER($C$10:$G$10)*ISNUMBER(C20:G20)) = 0,
         0,
         SUMPRODUCT(($C$9:$G$9="CO6")*ISNUMBER($C$10:$G$10)*ISNUMBER(C20:G20)*C20:G20) /
         SUMPRODUCT(($C$9:$G$9="CO6")*ISNUMBER($C$10:$G$10)*ISNUMBER(C20:G20)*$C$10:$G$10) * 0.15
       ) +
       IF(
         SUMPRODUCT(($H$9:$Z$9="CO6")*ISNUMBER($H$10:$Z$10)*ISNUMBER(H20:Z20)) = 0,
         0,
         SUMPRODUCT(($H$9:$Z$9="CO6")*ISNUMBER($H$10:$Z$10)*ISNUMBER(H20:Z20)*H20:Z20) /
         SUMPRODUCT(($H$9:$Z$9="CO6")*ISNUMBER($H$10:$Z$10)*ISNUMBER(H20:Z20)*$H$10:$Z$10) * 0.85
       )
     ) * 100,
     ""
   )
)</f>
        <v/>
      </c>
      <c r="AG20" s="1" t="str" cm="1">
        <f t="array" ref="AG20">IF(
   SUMPRODUCT(($C$9:$G$9="CO7")*ISNUMBER($C$10:$G$10)*ISNUMBER(C20:G20)) +
   SUMPRODUCT(($H$9:$Z$9="CO7")*ISNUMBER($H$10:$Z$10)*ISNUMBER(H20:Z20)) = 0,
   "",
   IFERROR(
     (
       IF(
         SUMPRODUCT(($C$9:$G$9="CO7")*ISNUMBER($C$10:$G$10)*ISNUMBER(C20:G20)) = 0,
         0,
         SUMPRODUCT(($C$9:$G$9="CO7")*ISNUMBER($C$10:$G$10)*ISNUMBER(C20:G20)*C20:G20) /
         SUMPRODUCT(($C$9:$G$9="CO7")*ISNUMBER($C$10:$G$10)*ISNUMBER(C20:G20)*$C$10:$G$10) * 0.15
       ) +
       IF(
         SUMPRODUCT(($H$9:$Z$9="CO7")*ISNUMBER($H$10:$Z$10)*ISNUMBER(H20:Z20)) = 0,
         0,
         SUMPRODUCT(($H$9:$Z$9="CO7")*ISNUMBER($H$10:$Z$10)*ISNUMBER(H20:Z20)*H20:Z20) /
         SUMPRODUCT(($H$9:$Z$9="CO7")*ISNUMBER($H$10:$Z$10)*ISNUMBER(H20:Z20)*$H$10:$Z$10) * 0.85
       )
     ) * 100,
     ""
   )
)</f>
        <v/>
      </c>
      <c r="AH20" s="3" t="str" cm="1">
        <f t="array" ref="AH20">IF(
   SUMPRODUCT(($C$9:$G$9="CO8")*ISNUMBER($C$10:$G$10)*ISNUMBER(C20:G20)) +
   SUMPRODUCT(($H$9:$Z$9="CO8")*ISNUMBER($H$10:$Z$10)*ISNUMBER(H20:Z20)) = 0,
   "",
   IFERROR(
     (
       IF(
         SUMPRODUCT(($C$9:$G$9="CO8")*ISNUMBER($C$10:$G$10)*ISNUMBER(C20:G20)) = 0,
         0,
         SUMPRODUCT(($C$9:$G$9="CO8")*ISNUMBER($C$10:$G$10)*ISNUMBER(C20:G20)*C20:G20) /
         SUMPRODUCT(($C$9:$G$9="CO8")*ISNUMBER($C$10:$G$10)*ISNUMBER(C20:G20)*$C$10:$G$10) * 0.15
       ) +
       IF(
         SUMPRODUCT(($H$9:$Z$9="CO8")*ISNUMBER($H$10:$Z$10)*ISNUMBER(H20:Z20)) = 0,
         0,
         SUMPRODUCT(($H$9:$Z$9="CO8")*ISNUMBER($H$10:$Z$10)*ISNUMBER(H20:Z20)*H20:Z20) /
         SUMPRODUCT(($H$9:$Z$9="CO8")*ISNUMBER($H$10:$Z$10)*ISNUMBER(H20:Z20)*$H$10:$Z$10) * 0.85
       )
     ) * 100,
     ""
   )
)</f>
        <v/>
      </c>
      <c r="AI20" s="1" t="str">
        <f t="shared" si="1"/>
        <v>First</v>
      </c>
      <c r="AJ20" s="1" t="str">
        <f t="shared" si="2"/>
        <v>D</v>
      </c>
      <c r="AK20" s="1" t="str">
        <f t="shared" si="3"/>
        <v>D</v>
      </c>
      <c r="AL20" s="1" t="str">
        <f t="shared" si="4"/>
        <v>F</v>
      </c>
      <c r="AM20" s="1" t="str">
        <f t="shared" si="0"/>
        <v/>
      </c>
      <c r="AN20" s="1" t="str">
        <f t="shared" si="0"/>
        <v/>
      </c>
      <c r="AO20" s="1" t="str">
        <f t="shared" si="0"/>
        <v/>
      </c>
      <c r="AP20" s="1" t="str">
        <f t="shared" si="0"/>
        <v/>
      </c>
      <c r="AQ20" s="21" t="s">
        <v>70</v>
      </c>
      <c r="AR20" s="1">
        <f>COUNTIF($AP$12:$AP$202,"F")</f>
        <v>0</v>
      </c>
      <c r="AS20" s="1">
        <f>COUNTIF($AP$12:$AP$202,"P")</f>
        <v>0</v>
      </c>
      <c r="AT20" s="1">
        <f>COUNTIF($AP$12:$AP$202,"S")</f>
        <v>0</v>
      </c>
      <c r="AU20" s="1">
        <f>COUNTIF($AP$12:$AP$202,"First")</f>
        <v>0</v>
      </c>
      <c r="AV20" s="1">
        <f>COUNTIF($AP$12:$AP$202,"D")</f>
        <v>0</v>
      </c>
      <c r="AW20" s="1">
        <f t="shared" si="9"/>
        <v>0</v>
      </c>
      <c r="AX20" s="2">
        <f>COUNTIF(AH12:AH202,"&gt;40")</f>
        <v>0</v>
      </c>
      <c r="AY20" s="3">
        <f t="shared" si="6"/>
        <v>0</v>
      </c>
      <c r="AZ20" s="4">
        <f t="shared" si="7"/>
        <v>0</v>
      </c>
      <c r="BA20" s="3" t="str">
        <f t="shared" si="8"/>
        <v xml:space="preserve"> NOT ATTAINED</v>
      </c>
    </row>
    <row r="21" spans="1:53" ht="16.2" thickBot="1" x14ac:dyDescent="0.35">
      <c r="A21" s="57">
        <v>2508010</v>
      </c>
      <c r="B21" s="58" t="s">
        <v>118</v>
      </c>
      <c r="C21" s="77">
        <v>1.5</v>
      </c>
      <c r="D21" s="82">
        <v>3</v>
      </c>
      <c r="E21" s="88">
        <v>3.5</v>
      </c>
      <c r="F21" s="89">
        <v>5</v>
      </c>
      <c r="G21" s="89">
        <v>2</v>
      </c>
      <c r="H21" s="14">
        <v>0</v>
      </c>
      <c r="I21" s="14">
        <v>1</v>
      </c>
      <c r="J21" s="14">
        <v>0</v>
      </c>
      <c r="K21" s="14">
        <v>0.5</v>
      </c>
      <c r="L21" s="14">
        <v>0</v>
      </c>
      <c r="M21" s="14">
        <v>1</v>
      </c>
      <c r="N21" s="14">
        <v>2</v>
      </c>
      <c r="O21" s="14">
        <v>0</v>
      </c>
      <c r="P21" s="14">
        <v>1</v>
      </c>
      <c r="Q21" s="14">
        <v>0</v>
      </c>
      <c r="R21" s="14">
        <v>1</v>
      </c>
      <c r="S21" s="14">
        <v>0</v>
      </c>
      <c r="T21" s="14">
        <v>1</v>
      </c>
      <c r="U21" s="14">
        <v>1</v>
      </c>
      <c r="V21" s="14">
        <v>0</v>
      </c>
      <c r="W21" s="14">
        <v>0</v>
      </c>
      <c r="X21" s="98">
        <v>15</v>
      </c>
      <c r="Y21" s="99">
        <v>0</v>
      </c>
      <c r="Z21" s="89">
        <v>2</v>
      </c>
      <c r="AA21" s="1" cm="1">
        <f t="array" ref="AA21">IF(
   SUMPRODUCT(($C$9:$G$9="CO1")*ISNUMBER($C$10:$G$10)*ISNUMBER(C21:G21)) +
   SUMPRODUCT(($H$9:$Z$9="CO1")*ISNUMBER($H$10:$Z$10)*ISNUMBER(H21:Z21)) = 0,
   "",
   IFERROR(
     (
       IF(
         SUMPRODUCT(($C$9:$G$9="CO1")*ISNUMBER($C$10:$G$10)*ISNUMBER(C21:G21)) = 0,
         0,
         SUMPRODUCT(($C$9:$G$9="CO1")*ISNUMBER($C$10:$G$10)*ISNUMBER(C21:G21)*C21:G21) /
         SUMPRODUCT(($C$9:$G$9="CO1")*ISNUMBER($C$10:$G$10)*ISNUMBER(C21:G21)*$C$10:$G$10) * 0.15
       ) +
       IF(
         SUMPRODUCT(($H$9:$Z$9="CO1")*ISNUMBER($H$10:$Z$10)*ISNUMBER(H21:Z21)) = 0,
         0,
         SUMPRODUCT(($H$9:$Z$9="CO1")*ISNUMBER($H$10:$Z$10)*ISNUMBER(H21:Z21)*H21:Z21) /
         SUMPRODUCT(($H$9:$Z$9="CO1")*ISNUMBER($H$10:$Z$10)*ISNUMBER(H21:Z21)*$H$10:$Z$10) * 0.85
       )
     ) * 100,
     ""
   )
)</f>
        <v>35.194444444444443</v>
      </c>
      <c r="AB21" s="1" cm="1">
        <f t="array" ref="AB21">IF(
   SUMPRODUCT(($C$9:$G$9="CO2")*ISNUMBER($C$10:$G$10)*ISNUMBER(C21:G21)) +
   SUMPRODUCT(($H$9:$Z$9="CO2")*ISNUMBER($H$10:$Z$10)*ISNUMBER(H21:Z21)) = 0,
   "",
   IFERROR(
     (
       IF(
         SUMPRODUCT(($C$9:$G$9="CO2")*ISNUMBER($C$10:$G$10)*ISNUMBER(C21:G21)) = 0,
         0,
         SUMPRODUCT(($C$9:$G$9="CO2")*ISNUMBER($C$10:$G$10)*ISNUMBER(C21:G21)*C21:G21) /
         SUMPRODUCT(($C$9:$G$9="CO2")*ISNUMBER($C$10:$G$10)*ISNUMBER(C21:G21)*$C$10:$G$10) * 0.15
       ) +
       IF(
         SUMPRODUCT(($H$9:$Z$9="CO2")*ISNUMBER($H$10:$Z$10)*ISNUMBER(H21:Z21)) = 0,
         0,
         SUMPRODUCT(($H$9:$Z$9="CO2")*ISNUMBER($H$10:$Z$10)*ISNUMBER(H21:Z21)*H21:Z21) /
         SUMPRODUCT(($H$9:$Z$9="CO2")*ISNUMBER($H$10:$Z$10)*ISNUMBER(H21:Z21)*$H$10:$Z$10) * 0.85
       )
     ) * 100,
     ""
   )
)</f>
        <v>20.375</v>
      </c>
      <c r="AC21" s="1" cm="1">
        <f t="array" ref="AC21">IF(
   SUMPRODUCT(($C$9:$G$9="CO3")*ISNUMBER($C$10:$G$10)*ISNUMBER(C21:G21)) +
   SUMPRODUCT(($H$9:$Z$9="CO3")*ISNUMBER($H$10:$Z$10)*ISNUMBER(H21:Z21)) = 0,
   "",
   IFERROR(
     (
       IF(
         SUMPRODUCT(($C$9:$G$9="CO3")*ISNUMBER($C$10:$G$10)*ISNUMBER(C21:G21)) = 0,
         0,
         SUMPRODUCT(($C$9:$G$9="CO3")*ISNUMBER($C$10:$G$10)*ISNUMBER(C21:G21)*C21:G21) /
         SUMPRODUCT(($C$9:$G$9="CO3")*ISNUMBER($C$10:$G$10)*ISNUMBER(C21:G21)*$C$10:$G$10) * 0.15
       ) +
       IF(
         SUMPRODUCT(($H$9:$Z$9="CO3")*ISNUMBER($H$10:$Z$10)*ISNUMBER(H21:Z21)) = 0,
         0,
         SUMPRODUCT(($H$9:$Z$9="CO3")*ISNUMBER($H$10:$Z$10)*ISNUMBER(H21:Z21)*H21:Z21) /
         SUMPRODUCT(($H$9:$Z$9="CO3")*ISNUMBER($H$10:$Z$10)*ISNUMBER(H21:Z21)*$H$10:$Z$10) * 0.85
       )
     ) * 100,
     ""
   )
)</f>
        <v>63.571428571428569</v>
      </c>
      <c r="AD21" s="1" cm="1">
        <f t="array" ref="AD21">IF(
   SUMPRODUCT(($C$9:$G$9="CO4")*ISNUMBER($C$10:$G$10)*ISNUMBER(C21:G21)) +
   SUMPRODUCT(($H$9:$Z$9="CO4")*ISNUMBER($H$10:$Z$10)*ISNUMBER(H21:Z21)) = 0,
   "",
   IFERROR(
     (
       IF(
         SUMPRODUCT(($C$9:$G$9="CO4")*ISNUMBER($C$10:$G$10)*ISNUMBER(C21:G21)) = 0,
         0,
         SUMPRODUCT(($C$9:$G$9="CO4")*ISNUMBER($C$10:$G$10)*ISNUMBER(C21:G21)*C21:G21) /
         SUMPRODUCT(($C$9:$G$9="CO4")*ISNUMBER($C$10:$G$10)*ISNUMBER(C21:G21)*$C$10:$G$10) * 0.15
       ) +
       IF(
         SUMPRODUCT(($H$9:$Z$9="CO4")*ISNUMBER($H$10:$Z$10)*ISNUMBER(H21:Z21)) = 0,
         0,
         SUMPRODUCT(($H$9:$Z$9="CO4")*ISNUMBER($H$10:$Z$10)*ISNUMBER(H21:Z21)*H21:Z21) /
         SUMPRODUCT(($H$9:$Z$9="CO4")*ISNUMBER($H$10:$Z$10)*ISNUMBER(H21:Z21)*$H$10:$Z$10) * 0.85
       )
     ) * 100,
     ""
   )
)</f>
        <v>20.166666666666664</v>
      </c>
      <c r="AE21" s="1" t="str" cm="1">
        <f t="array" ref="AE21">IF(
   SUMPRODUCT(($C$9:$G$9="CO5")*ISNUMBER($C$10:$G$10)*ISNUMBER(C21:G21)) +
   SUMPRODUCT(($H$9:$Z$9="CO5")*ISNUMBER($H$10:$Z$10)*ISNUMBER(H21:Z21)) = 0,
   "",
   IFERROR(
     (
       IF(
         SUMPRODUCT(($C$9:$G$9="CO5")*ISNUMBER($C$10:$G$10)*ISNUMBER(C21:G21)) = 0,
         0,
         SUMPRODUCT(($C$9:$G$9="CO5")*ISNUMBER($C$10:$G$10)*ISNUMBER(C21:G21)*C21:G21) /
         SUMPRODUCT(($C$9:$G$9="CO5")*ISNUMBER($C$10:$G$10)*ISNUMBER(C21:G21)*$C$10:$G$10) * 0.15
       ) +
       IF(
         SUMPRODUCT(($H$9:$Z$9="CO5")*ISNUMBER($H$10:$Z$10)*ISNUMBER(H21:Z21)) = 0,
         0,
         SUMPRODUCT(($H$9:$Z$9="CO5")*ISNUMBER($H$10:$Z$10)*ISNUMBER(H21:Z21)*H21:Z21) /
         SUMPRODUCT(($H$9:$Z$9="CO5")*ISNUMBER($H$10:$Z$10)*ISNUMBER(H21:Z21)*$H$10:$Z$10) * 0.85
       )
     ) * 100,
     ""
   )
)</f>
        <v/>
      </c>
      <c r="AF21" s="1" t="str" cm="1">
        <f t="array" ref="AF21">IF(
   SUMPRODUCT(($C$9:$G$9="CO6")*ISNUMBER($C$10:$G$10)*ISNUMBER(C21:G21)) +
   SUMPRODUCT(($H$9:$Z$9="CO6")*ISNUMBER($H$10:$Z$10)*ISNUMBER(H21:Z21)) = 0,
   "",
   IFERROR(
     (
       IF(
         SUMPRODUCT(($C$9:$G$9="CO6")*ISNUMBER($C$10:$G$10)*ISNUMBER(C21:G21)) = 0,
         0,
         SUMPRODUCT(($C$9:$G$9="CO6")*ISNUMBER($C$10:$G$10)*ISNUMBER(C21:G21)*C21:G21) /
         SUMPRODUCT(($C$9:$G$9="CO6")*ISNUMBER($C$10:$G$10)*ISNUMBER(C21:G21)*$C$10:$G$10) * 0.15
       ) +
       IF(
         SUMPRODUCT(($H$9:$Z$9="CO6")*ISNUMBER($H$10:$Z$10)*ISNUMBER(H21:Z21)) = 0,
         0,
         SUMPRODUCT(($H$9:$Z$9="CO6")*ISNUMBER($H$10:$Z$10)*ISNUMBER(H21:Z21)*H21:Z21) /
         SUMPRODUCT(($H$9:$Z$9="CO6")*ISNUMBER($H$10:$Z$10)*ISNUMBER(H21:Z21)*$H$10:$Z$10) * 0.85
       )
     ) * 100,
     ""
   )
)</f>
        <v/>
      </c>
      <c r="AG21" s="1" t="str" cm="1">
        <f t="array" ref="AG21">IF(
   SUMPRODUCT(($C$9:$G$9="CO7")*ISNUMBER($C$10:$G$10)*ISNUMBER(C21:G21)) +
   SUMPRODUCT(($H$9:$Z$9="CO7")*ISNUMBER($H$10:$Z$10)*ISNUMBER(H21:Z21)) = 0,
   "",
   IFERROR(
     (
       IF(
         SUMPRODUCT(($C$9:$G$9="CO7")*ISNUMBER($C$10:$G$10)*ISNUMBER(C21:G21)) = 0,
         0,
         SUMPRODUCT(($C$9:$G$9="CO7")*ISNUMBER($C$10:$G$10)*ISNUMBER(C21:G21)*C21:G21) /
         SUMPRODUCT(($C$9:$G$9="CO7")*ISNUMBER($C$10:$G$10)*ISNUMBER(C21:G21)*$C$10:$G$10) * 0.15
       ) +
       IF(
         SUMPRODUCT(($H$9:$Z$9="CO7")*ISNUMBER($H$10:$Z$10)*ISNUMBER(H21:Z21)) = 0,
         0,
         SUMPRODUCT(($H$9:$Z$9="CO7")*ISNUMBER($H$10:$Z$10)*ISNUMBER(H21:Z21)*H21:Z21) /
         SUMPRODUCT(($H$9:$Z$9="CO7")*ISNUMBER($H$10:$Z$10)*ISNUMBER(H21:Z21)*$H$10:$Z$10) * 0.85
       )
     ) * 100,
     ""
   )
)</f>
        <v/>
      </c>
      <c r="AH21" s="3" t="str" cm="1">
        <f t="array" ref="AH21">IF(
   SUMPRODUCT(($C$9:$G$9="CO8")*ISNUMBER($C$10:$G$10)*ISNUMBER(C21:G21)) +
   SUMPRODUCT(($H$9:$Z$9="CO8")*ISNUMBER($H$10:$Z$10)*ISNUMBER(H21:Z21)) = 0,
   "",
   IFERROR(
     (
       IF(
         SUMPRODUCT(($C$9:$G$9="CO8")*ISNUMBER($C$10:$G$10)*ISNUMBER(C21:G21)) = 0,
         0,
         SUMPRODUCT(($C$9:$G$9="CO8")*ISNUMBER($C$10:$G$10)*ISNUMBER(C21:G21)*C21:G21) /
         SUMPRODUCT(($C$9:$G$9="CO8")*ISNUMBER($C$10:$G$10)*ISNUMBER(C21:G21)*$C$10:$G$10) * 0.15
       ) +
       IF(
         SUMPRODUCT(($H$9:$Z$9="CO8")*ISNUMBER($H$10:$Z$10)*ISNUMBER(H21:Z21)) = 0,
         0,
         SUMPRODUCT(($H$9:$Z$9="CO8")*ISNUMBER($H$10:$Z$10)*ISNUMBER(H21:Z21)*H21:Z21) /
         SUMPRODUCT(($H$9:$Z$9="CO8")*ISNUMBER($H$10:$Z$10)*ISNUMBER(H21:Z21)*$H$10:$Z$10) * 0.85
       )
     ) * 100,
     ""
   )
)</f>
        <v/>
      </c>
      <c r="AI21" s="1" t="str">
        <f t="shared" si="1"/>
        <v>F</v>
      </c>
      <c r="AJ21" s="1" t="str">
        <f t="shared" si="2"/>
        <v>F</v>
      </c>
      <c r="AK21" s="1" t="str">
        <f t="shared" si="3"/>
        <v>First</v>
      </c>
      <c r="AL21" s="1" t="str">
        <f t="shared" si="4"/>
        <v>F</v>
      </c>
      <c r="AM21" s="1" t="str">
        <f t="shared" si="0"/>
        <v/>
      </c>
      <c r="AN21" s="1" t="str">
        <f t="shared" si="0"/>
        <v/>
      </c>
      <c r="AO21" s="1" t="str">
        <f t="shared" si="0"/>
        <v/>
      </c>
      <c r="AP21" s="1" t="str">
        <f t="shared" si="0"/>
        <v/>
      </c>
      <c r="AR21" s="30"/>
      <c r="AW21" s="30"/>
      <c r="AZ21" s="22"/>
    </row>
    <row r="22" spans="1:53" ht="16.2" thickBot="1" x14ac:dyDescent="0.35">
      <c r="A22" s="57">
        <v>2508011</v>
      </c>
      <c r="B22" s="59" t="s">
        <v>119</v>
      </c>
      <c r="C22" s="78">
        <v>1</v>
      </c>
      <c r="D22" s="82">
        <v>5</v>
      </c>
      <c r="E22" s="92">
        <v>2.5</v>
      </c>
      <c r="F22" s="89">
        <v>5</v>
      </c>
      <c r="G22" s="89">
        <v>2</v>
      </c>
      <c r="H22" s="14">
        <v>0</v>
      </c>
      <c r="I22" s="14">
        <v>1</v>
      </c>
      <c r="J22" s="14">
        <v>1</v>
      </c>
      <c r="K22" s="14">
        <v>0</v>
      </c>
      <c r="L22" s="14">
        <v>1</v>
      </c>
      <c r="M22" s="14">
        <v>0</v>
      </c>
      <c r="N22" s="14">
        <v>1</v>
      </c>
      <c r="O22" s="14">
        <v>1</v>
      </c>
      <c r="P22" s="14">
        <v>0</v>
      </c>
      <c r="Q22" s="14">
        <v>0</v>
      </c>
      <c r="R22" s="14">
        <v>1</v>
      </c>
      <c r="S22" s="14">
        <v>1</v>
      </c>
      <c r="T22" s="14">
        <v>0.5</v>
      </c>
      <c r="U22" s="14">
        <v>0</v>
      </c>
      <c r="V22" s="14">
        <v>0.5</v>
      </c>
      <c r="W22" s="14">
        <v>0</v>
      </c>
      <c r="X22" s="98">
        <v>14</v>
      </c>
      <c r="Y22" s="99">
        <v>0</v>
      </c>
      <c r="Z22" s="89">
        <v>2</v>
      </c>
      <c r="AA22" s="1" cm="1">
        <f t="array" ref="AA22">IF(
   SUMPRODUCT(($C$9:$G$9="CO1")*ISNUMBER($C$10:$G$10)*ISNUMBER(C22:G22)) +
   SUMPRODUCT(($H$9:$Z$9="CO1")*ISNUMBER($H$10:$Z$10)*ISNUMBER(H22:Z22)) = 0,
   "",
   IFERROR(
     (
       IF(
         SUMPRODUCT(($C$9:$G$9="CO1")*ISNUMBER($C$10:$G$10)*ISNUMBER(C22:G22)) = 0,
         0,
         SUMPRODUCT(($C$9:$G$9="CO1")*ISNUMBER($C$10:$G$10)*ISNUMBER(C22:G22)*C22:G22) /
         SUMPRODUCT(($C$9:$G$9="CO1")*ISNUMBER($C$10:$G$10)*ISNUMBER(C22:G22)*$C$10:$G$10) * 0.15
       ) +
       IF(
         SUMPRODUCT(($H$9:$Z$9="CO1")*ISNUMBER($H$10:$Z$10)*ISNUMBER(H22:Z22)) = 0,
         0,
         SUMPRODUCT(($H$9:$Z$9="CO1")*ISNUMBER($H$10:$Z$10)*ISNUMBER(H22:Z22)*H22:Z22) /
         SUMPRODUCT(($H$9:$Z$9="CO1")*ISNUMBER($H$10:$Z$10)*ISNUMBER(H22:Z22)*$H$10:$Z$10) * 0.85
       )
     ) * 100,
     ""
   )
)</f>
        <v>31.333333333333336</v>
      </c>
      <c r="AB22" s="1" cm="1">
        <f t="array" ref="AB22">IF(
   SUMPRODUCT(($C$9:$G$9="CO2")*ISNUMBER($C$10:$G$10)*ISNUMBER(C22:G22)) +
   SUMPRODUCT(($H$9:$Z$9="CO2")*ISNUMBER($H$10:$Z$10)*ISNUMBER(H22:Z22)) = 0,
   "",
   IFERROR(
     (
       IF(
         SUMPRODUCT(($C$9:$G$9="CO2")*ISNUMBER($C$10:$G$10)*ISNUMBER(C22:G22)) = 0,
         0,
         SUMPRODUCT(($C$9:$G$9="CO2")*ISNUMBER($C$10:$G$10)*ISNUMBER(C22:G22)*C22:G22) /
         SUMPRODUCT(($C$9:$G$9="CO2")*ISNUMBER($C$10:$G$10)*ISNUMBER(C22:G22)*$C$10:$G$10) * 0.15
       ) +
       IF(
         SUMPRODUCT(($H$9:$Z$9="CO2")*ISNUMBER($H$10:$Z$10)*ISNUMBER(H22:Z22)) = 0,
         0,
         SUMPRODUCT(($H$9:$Z$9="CO2")*ISNUMBER($H$10:$Z$10)*ISNUMBER(H22:Z22)*H22:Z22) /
         SUMPRODUCT(($H$9:$Z$9="CO2")*ISNUMBER($H$10:$Z$10)*ISNUMBER(H22:Z22)*$H$10:$Z$10) * 0.85
       )
     ) * 100,
     ""
   )
)</f>
        <v>27.187499999999996</v>
      </c>
      <c r="AC22" s="1" cm="1">
        <f t="array" ref="AC22">IF(
   SUMPRODUCT(($C$9:$G$9="CO3")*ISNUMBER($C$10:$G$10)*ISNUMBER(C22:G22)) +
   SUMPRODUCT(($H$9:$Z$9="CO3")*ISNUMBER($H$10:$Z$10)*ISNUMBER(H22:Z22)) = 0,
   "",
   IFERROR(
     (
       IF(
         SUMPRODUCT(($C$9:$G$9="CO3")*ISNUMBER($C$10:$G$10)*ISNUMBER(C22:G22)) = 0,
         0,
         SUMPRODUCT(($C$9:$G$9="CO3")*ISNUMBER($C$10:$G$10)*ISNUMBER(C22:G22)*C22:G22) /
         SUMPRODUCT(($C$9:$G$9="CO3")*ISNUMBER($C$10:$G$10)*ISNUMBER(C22:G22)*$C$10:$G$10) * 0.15
       ) +
       IF(
         SUMPRODUCT(($H$9:$Z$9="CO3")*ISNUMBER($H$10:$Z$10)*ISNUMBER(H22:Z22)) = 0,
         0,
         SUMPRODUCT(($H$9:$Z$9="CO3")*ISNUMBER($H$10:$Z$10)*ISNUMBER(H22:Z22)*H22:Z22) /
         SUMPRODUCT(($H$9:$Z$9="CO3")*ISNUMBER($H$10:$Z$10)*ISNUMBER(H22:Z22)*$H$10:$Z$10) * 0.85
       )
     ) * 100,
     ""
   )
)</f>
        <v>59.017857142857146</v>
      </c>
      <c r="AD22" s="1" cm="1">
        <f t="array" ref="AD22">IF(
   SUMPRODUCT(($C$9:$G$9="CO4")*ISNUMBER($C$10:$G$10)*ISNUMBER(C22:G22)) +
   SUMPRODUCT(($H$9:$Z$9="CO4")*ISNUMBER($H$10:$Z$10)*ISNUMBER(H22:Z22)) = 0,
   "",
   IFERROR(
     (
       IF(
         SUMPRODUCT(($C$9:$G$9="CO4")*ISNUMBER($C$10:$G$10)*ISNUMBER(C22:G22)) = 0,
         0,
         SUMPRODUCT(($C$9:$G$9="CO4")*ISNUMBER($C$10:$G$10)*ISNUMBER(C22:G22)*C22:G22) /
         SUMPRODUCT(($C$9:$G$9="CO4")*ISNUMBER($C$10:$G$10)*ISNUMBER(C22:G22)*$C$10:$G$10) * 0.15
       ) +
       IF(
         SUMPRODUCT(($H$9:$Z$9="CO4")*ISNUMBER($H$10:$Z$10)*ISNUMBER(H22:Z22)) = 0,
         0,
         SUMPRODUCT(($H$9:$Z$9="CO4")*ISNUMBER($H$10:$Z$10)*ISNUMBER(H22:Z22)*H22:Z22) /
         SUMPRODUCT(($H$9:$Z$9="CO4")*ISNUMBER($H$10:$Z$10)*ISNUMBER(H22:Z22)*$H$10:$Z$10) * 0.85
       )
     ) * 100,
     ""
   )
)</f>
        <v>13.083333333333332</v>
      </c>
      <c r="AE22" s="1" t="str" cm="1">
        <f t="array" ref="AE22">IF(
   SUMPRODUCT(($C$9:$G$9="CO5")*ISNUMBER($C$10:$G$10)*ISNUMBER(C22:G22)) +
   SUMPRODUCT(($H$9:$Z$9="CO5")*ISNUMBER($H$10:$Z$10)*ISNUMBER(H22:Z22)) = 0,
   "",
   IFERROR(
     (
       IF(
         SUMPRODUCT(($C$9:$G$9="CO5")*ISNUMBER($C$10:$G$10)*ISNUMBER(C22:G22)) = 0,
         0,
         SUMPRODUCT(($C$9:$G$9="CO5")*ISNUMBER($C$10:$G$10)*ISNUMBER(C22:G22)*C22:G22) /
         SUMPRODUCT(($C$9:$G$9="CO5")*ISNUMBER($C$10:$G$10)*ISNUMBER(C22:G22)*$C$10:$G$10) * 0.15
       ) +
       IF(
         SUMPRODUCT(($H$9:$Z$9="CO5")*ISNUMBER($H$10:$Z$10)*ISNUMBER(H22:Z22)) = 0,
         0,
         SUMPRODUCT(($H$9:$Z$9="CO5")*ISNUMBER($H$10:$Z$10)*ISNUMBER(H22:Z22)*H22:Z22) /
         SUMPRODUCT(($H$9:$Z$9="CO5")*ISNUMBER($H$10:$Z$10)*ISNUMBER(H22:Z22)*$H$10:$Z$10) * 0.85
       )
     ) * 100,
     ""
   )
)</f>
        <v/>
      </c>
      <c r="AF22" s="1" t="str" cm="1">
        <f t="array" ref="AF22">IF(
   SUMPRODUCT(($C$9:$G$9="CO6")*ISNUMBER($C$10:$G$10)*ISNUMBER(C22:G22)) +
   SUMPRODUCT(($H$9:$Z$9="CO6")*ISNUMBER($H$10:$Z$10)*ISNUMBER(H22:Z22)) = 0,
   "",
   IFERROR(
     (
       IF(
         SUMPRODUCT(($C$9:$G$9="CO6")*ISNUMBER($C$10:$G$10)*ISNUMBER(C22:G22)) = 0,
         0,
         SUMPRODUCT(($C$9:$G$9="CO6")*ISNUMBER($C$10:$G$10)*ISNUMBER(C22:G22)*C22:G22) /
         SUMPRODUCT(($C$9:$G$9="CO6")*ISNUMBER($C$10:$G$10)*ISNUMBER(C22:G22)*$C$10:$G$10) * 0.15
       ) +
       IF(
         SUMPRODUCT(($H$9:$Z$9="CO6")*ISNUMBER($H$10:$Z$10)*ISNUMBER(H22:Z22)) = 0,
         0,
         SUMPRODUCT(($H$9:$Z$9="CO6")*ISNUMBER($H$10:$Z$10)*ISNUMBER(H22:Z22)*H22:Z22) /
         SUMPRODUCT(($H$9:$Z$9="CO6")*ISNUMBER($H$10:$Z$10)*ISNUMBER(H22:Z22)*$H$10:$Z$10) * 0.85
       )
     ) * 100,
     ""
   )
)</f>
        <v/>
      </c>
      <c r="AG22" s="1" t="str" cm="1">
        <f t="array" ref="AG22">IF(
   SUMPRODUCT(($C$9:$G$9="CO7")*ISNUMBER($C$10:$G$10)*ISNUMBER(C22:G22)) +
   SUMPRODUCT(($H$9:$Z$9="CO7")*ISNUMBER($H$10:$Z$10)*ISNUMBER(H22:Z22)) = 0,
   "",
   IFERROR(
     (
       IF(
         SUMPRODUCT(($C$9:$G$9="CO7")*ISNUMBER($C$10:$G$10)*ISNUMBER(C22:G22)) = 0,
         0,
         SUMPRODUCT(($C$9:$G$9="CO7")*ISNUMBER($C$10:$G$10)*ISNUMBER(C22:G22)*C22:G22) /
         SUMPRODUCT(($C$9:$G$9="CO7")*ISNUMBER($C$10:$G$10)*ISNUMBER(C22:G22)*$C$10:$G$10) * 0.15
       ) +
       IF(
         SUMPRODUCT(($H$9:$Z$9="CO7")*ISNUMBER($H$10:$Z$10)*ISNUMBER(H22:Z22)) = 0,
         0,
         SUMPRODUCT(($H$9:$Z$9="CO7")*ISNUMBER($H$10:$Z$10)*ISNUMBER(H22:Z22)*H22:Z22) /
         SUMPRODUCT(($H$9:$Z$9="CO7")*ISNUMBER($H$10:$Z$10)*ISNUMBER(H22:Z22)*$H$10:$Z$10) * 0.85
       )
     ) * 100,
     ""
   )
)</f>
        <v/>
      </c>
      <c r="AH22" s="3" t="str" cm="1">
        <f t="array" ref="AH22">IF(
   SUMPRODUCT(($C$9:$G$9="CO8")*ISNUMBER($C$10:$G$10)*ISNUMBER(C22:G22)) +
   SUMPRODUCT(($H$9:$Z$9="CO8")*ISNUMBER($H$10:$Z$10)*ISNUMBER(H22:Z22)) = 0,
   "",
   IFERROR(
     (
       IF(
         SUMPRODUCT(($C$9:$G$9="CO8")*ISNUMBER($C$10:$G$10)*ISNUMBER(C22:G22)) = 0,
         0,
         SUMPRODUCT(($C$9:$G$9="CO8")*ISNUMBER($C$10:$G$10)*ISNUMBER(C22:G22)*C22:G22) /
         SUMPRODUCT(($C$9:$G$9="CO8")*ISNUMBER($C$10:$G$10)*ISNUMBER(C22:G22)*$C$10:$G$10) * 0.15
       ) +
       IF(
         SUMPRODUCT(($H$9:$Z$9="CO8")*ISNUMBER($H$10:$Z$10)*ISNUMBER(H22:Z22)) = 0,
         0,
         SUMPRODUCT(($H$9:$Z$9="CO8")*ISNUMBER($H$10:$Z$10)*ISNUMBER(H22:Z22)*H22:Z22) /
         SUMPRODUCT(($H$9:$Z$9="CO8")*ISNUMBER($H$10:$Z$10)*ISNUMBER(H22:Z22)*$H$10:$Z$10) * 0.85
       )
     ) * 100,
     ""
   )
)</f>
        <v/>
      </c>
      <c r="AI22" s="1" t="str">
        <f t="shared" si="1"/>
        <v>F</v>
      </c>
      <c r="AJ22" s="1" t="str">
        <f t="shared" si="2"/>
        <v>F</v>
      </c>
      <c r="AK22" s="1" t="str">
        <f t="shared" si="3"/>
        <v>S</v>
      </c>
      <c r="AL22" s="1" t="str">
        <f t="shared" si="4"/>
        <v>F</v>
      </c>
      <c r="AM22" s="1" t="str">
        <f t="shared" si="0"/>
        <v/>
      </c>
      <c r="AN22" s="1" t="str">
        <f t="shared" si="0"/>
        <v/>
      </c>
      <c r="AO22" s="1" t="str">
        <f t="shared" si="0"/>
        <v/>
      </c>
      <c r="AP22" s="1" t="str">
        <f t="shared" si="0"/>
        <v/>
      </c>
      <c r="AR22" s="30"/>
    </row>
    <row r="23" spans="1:53" ht="16.2" thickBot="1" x14ac:dyDescent="0.35">
      <c r="A23" s="57">
        <v>2508012</v>
      </c>
      <c r="B23" s="59" t="s">
        <v>120</v>
      </c>
      <c r="C23" s="77">
        <v>2.5</v>
      </c>
      <c r="D23" s="82">
        <v>5</v>
      </c>
      <c r="E23" s="88">
        <v>5</v>
      </c>
      <c r="F23" s="89">
        <v>5</v>
      </c>
      <c r="G23" s="89">
        <v>3</v>
      </c>
      <c r="H23" s="14">
        <v>0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14">
        <v>2</v>
      </c>
      <c r="O23" s="14">
        <v>0</v>
      </c>
      <c r="P23" s="14">
        <v>2</v>
      </c>
      <c r="Q23" s="14">
        <v>0</v>
      </c>
      <c r="R23" s="14">
        <v>2</v>
      </c>
      <c r="S23" s="14">
        <v>1</v>
      </c>
      <c r="T23" s="14">
        <v>1</v>
      </c>
      <c r="U23" s="14">
        <v>0</v>
      </c>
      <c r="V23" s="14">
        <v>0</v>
      </c>
      <c r="W23" s="14">
        <v>0</v>
      </c>
      <c r="X23" s="98">
        <v>22</v>
      </c>
      <c r="Y23" s="99">
        <v>8</v>
      </c>
      <c r="Z23" s="89">
        <v>5</v>
      </c>
      <c r="AA23" s="1" cm="1">
        <f t="array" ref="AA23">IF(
   SUMPRODUCT(($C$9:$G$9="CO1")*ISNUMBER($C$10:$G$10)*ISNUMBER(C23:G23)) +
   SUMPRODUCT(($H$9:$Z$9="CO1")*ISNUMBER($H$10:$Z$10)*ISNUMBER(H23:Z23)) = 0,
   "",
   IFERROR(
     (
       IF(
         SUMPRODUCT(($C$9:$G$9="CO1")*ISNUMBER($C$10:$G$10)*ISNUMBER(C23:G23)) = 0,
         0,
         SUMPRODUCT(($C$9:$G$9="CO1")*ISNUMBER($C$10:$G$10)*ISNUMBER(C23:G23)*C23:G23) /
         SUMPRODUCT(($C$9:$G$9="CO1")*ISNUMBER($C$10:$G$10)*ISNUMBER(C23:G23)*$C$10:$G$10) * 0.15
       ) +
       IF(
         SUMPRODUCT(($H$9:$Z$9="CO1")*ISNUMBER($H$10:$Z$10)*ISNUMBER(H23:Z23)) = 0,
         0,
         SUMPRODUCT(($H$9:$Z$9="CO1")*ISNUMBER($H$10:$Z$10)*ISNUMBER(H23:Z23)*H23:Z23) /
         SUMPRODUCT(($H$9:$Z$9="CO1")*ISNUMBER($H$10:$Z$10)*ISNUMBER(H23:Z23)*$H$10:$Z$10) * 0.85
       )
     ) * 100,
     ""
   )
)</f>
        <v>64.166666666666657</v>
      </c>
      <c r="AB23" s="1" cm="1">
        <f t="array" ref="AB23">IF(
   SUMPRODUCT(($C$9:$G$9="CO2")*ISNUMBER($C$10:$G$10)*ISNUMBER(C23:G23)) +
   SUMPRODUCT(($H$9:$Z$9="CO2")*ISNUMBER($H$10:$Z$10)*ISNUMBER(H23:Z23)) = 0,
   "",
   IFERROR(
     (
       IF(
         SUMPRODUCT(($C$9:$G$9="CO2")*ISNUMBER($C$10:$G$10)*ISNUMBER(C23:G23)) = 0,
         0,
         SUMPRODUCT(($C$9:$G$9="CO2")*ISNUMBER($C$10:$G$10)*ISNUMBER(C23:G23)*C23:G23) /
         SUMPRODUCT(($C$9:$G$9="CO2")*ISNUMBER($C$10:$G$10)*ISNUMBER(C23:G23)*$C$10:$G$10) * 0.15
       ) +
       IF(
         SUMPRODUCT(($H$9:$Z$9="CO2")*ISNUMBER($H$10:$Z$10)*ISNUMBER(H23:Z23)) = 0,
         0,
         SUMPRODUCT(($H$9:$Z$9="CO2")*ISNUMBER($H$10:$Z$10)*ISNUMBER(H23:Z23)*H23:Z23) /
         SUMPRODUCT(($H$9:$Z$9="CO2")*ISNUMBER($H$10:$Z$10)*ISNUMBER(H23:Z23)*$H$10:$Z$10) * 0.85
       )
     ) * 100,
     ""
   )
)</f>
        <v>84.0625</v>
      </c>
      <c r="AC23" s="1" cm="1">
        <f t="array" ref="AC23">IF(
   SUMPRODUCT(($C$9:$G$9="CO3")*ISNUMBER($C$10:$G$10)*ISNUMBER(C23:G23)) +
   SUMPRODUCT(($H$9:$Z$9="CO3")*ISNUMBER($H$10:$Z$10)*ISNUMBER(H23:Z23)) = 0,
   "",
   IFERROR(
     (
       IF(
         SUMPRODUCT(($C$9:$G$9="CO3")*ISNUMBER($C$10:$G$10)*ISNUMBER(C23:G23)) = 0,
         0,
         SUMPRODUCT(($C$9:$G$9="CO3")*ISNUMBER($C$10:$G$10)*ISNUMBER(C23:G23)*C23:G23) /
         SUMPRODUCT(($C$9:$G$9="CO3")*ISNUMBER($C$10:$G$10)*ISNUMBER(C23:G23)*$C$10:$G$10) * 0.15
       ) +
       IF(
         SUMPRODUCT(($H$9:$Z$9="CO3")*ISNUMBER($H$10:$Z$10)*ISNUMBER(H23:Z23)) = 0,
         0,
         SUMPRODUCT(($H$9:$Z$9="CO3")*ISNUMBER($H$10:$Z$10)*ISNUMBER(H23:Z23)*H23:Z23) /
         SUMPRODUCT(($H$9:$Z$9="CO3")*ISNUMBER($H$10:$Z$10)*ISNUMBER(H23:Z23)*$H$10:$Z$10) * 0.85
       )
     ) * 100,
     ""
   )
)</f>
        <v>84.821428571428569</v>
      </c>
      <c r="AD23" s="1" cm="1">
        <f t="array" ref="AD23">IF(
   SUMPRODUCT(($C$9:$G$9="CO4")*ISNUMBER($C$10:$G$10)*ISNUMBER(C23:G23)) +
   SUMPRODUCT(($H$9:$Z$9="CO4")*ISNUMBER($H$10:$Z$10)*ISNUMBER(H23:Z23)) = 0,
   "",
   IFERROR(
     (
       IF(
         SUMPRODUCT(($C$9:$G$9="CO4")*ISNUMBER($C$10:$G$10)*ISNUMBER(C23:G23)) = 0,
         0,
         SUMPRODUCT(($C$9:$G$9="CO4")*ISNUMBER($C$10:$G$10)*ISNUMBER(C23:G23)*C23:G23) /
         SUMPRODUCT(($C$9:$G$9="CO4")*ISNUMBER($C$10:$G$10)*ISNUMBER(C23:G23)*$C$10:$G$10) * 0.15
       ) +
       IF(
         SUMPRODUCT(($H$9:$Z$9="CO4")*ISNUMBER($H$10:$Z$10)*ISNUMBER(H23:Z23)) = 0,
         0,
         SUMPRODUCT(($H$9:$Z$9="CO4")*ISNUMBER($H$10:$Z$10)*ISNUMBER(H23:Z23)*H23:Z23) /
         SUMPRODUCT(($H$9:$Z$9="CO4")*ISNUMBER($H$10:$Z$10)*ISNUMBER(H23:Z23)*$H$10:$Z$10) * 0.85
       )
     ) * 100,
     ""
   )
)</f>
        <v>9</v>
      </c>
      <c r="AE23" s="1" t="str" cm="1">
        <f t="array" ref="AE23">IF(
   SUMPRODUCT(($C$9:$G$9="CO5")*ISNUMBER($C$10:$G$10)*ISNUMBER(C23:G23)) +
   SUMPRODUCT(($H$9:$Z$9="CO5")*ISNUMBER($H$10:$Z$10)*ISNUMBER(H23:Z23)) = 0,
   "",
   IFERROR(
     (
       IF(
         SUMPRODUCT(($C$9:$G$9="CO5")*ISNUMBER($C$10:$G$10)*ISNUMBER(C23:G23)) = 0,
         0,
         SUMPRODUCT(($C$9:$G$9="CO5")*ISNUMBER($C$10:$G$10)*ISNUMBER(C23:G23)*C23:G23) /
         SUMPRODUCT(($C$9:$G$9="CO5")*ISNUMBER($C$10:$G$10)*ISNUMBER(C23:G23)*$C$10:$G$10) * 0.15
       ) +
       IF(
         SUMPRODUCT(($H$9:$Z$9="CO5")*ISNUMBER($H$10:$Z$10)*ISNUMBER(H23:Z23)) = 0,
         0,
         SUMPRODUCT(($H$9:$Z$9="CO5")*ISNUMBER($H$10:$Z$10)*ISNUMBER(H23:Z23)*H23:Z23) /
         SUMPRODUCT(($H$9:$Z$9="CO5")*ISNUMBER($H$10:$Z$10)*ISNUMBER(H23:Z23)*$H$10:$Z$10) * 0.85
       )
     ) * 100,
     ""
   )
)</f>
        <v/>
      </c>
      <c r="AF23" s="1" t="str" cm="1">
        <f t="array" ref="AF23">IF(
   SUMPRODUCT(($C$9:$G$9="CO6")*ISNUMBER($C$10:$G$10)*ISNUMBER(C23:G23)) +
   SUMPRODUCT(($H$9:$Z$9="CO6")*ISNUMBER($H$10:$Z$10)*ISNUMBER(H23:Z23)) = 0,
   "",
   IFERROR(
     (
       IF(
         SUMPRODUCT(($C$9:$G$9="CO6")*ISNUMBER($C$10:$G$10)*ISNUMBER(C23:G23)) = 0,
         0,
         SUMPRODUCT(($C$9:$G$9="CO6")*ISNUMBER($C$10:$G$10)*ISNUMBER(C23:G23)*C23:G23) /
         SUMPRODUCT(($C$9:$G$9="CO6")*ISNUMBER($C$10:$G$10)*ISNUMBER(C23:G23)*$C$10:$G$10) * 0.15
       ) +
       IF(
         SUMPRODUCT(($H$9:$Z$9="CO6")*ISNUMBER($H$10:$Z$10)*ISNUMBER(H23:Z23)) = 0,
         0,
         SUMPRODUCT(($H$9:$Z$9="CO6")*ISNUMBER($H$10:$Z$10)*ISNUMBER(H23:Z23)*H23:Z23) /
         SUMPRODUCT(($H$9:$Z$9="CO6")*ISNUMBER($H$10:$Z$10)*ISNUMBER(H23:Z23)*$H$10:$Z$10) * 0.85
       )
     ) * 100,
     ""
   )
)</f>
        <v/>
      </c>
      <c r="AG23" s="1" t="str" cm="1">
        <f t="array" ref="AG23">IF(
   SUMPRODUCT(($C$9:$G$9="CO7")*ISNUMBER($C$10:$G$10)*ISNUMBER(C23:G23)) +
   SUMPRODUCT(($H$9:$Z$9="CO7")*ISNUMBER($H$10:$Z$10)*ISNUMBER(H23:Z23)) = 0,
   "",
   IFERROR(
     (
       IF(
         SUMPRODUCT(($C$9:$G$9="CO7")*ISNUMBER($C$10:$G$10)*ISNUMBER(C23:G23)) = 0,
         0,
         SUMPRODUCT(($C$9:$G$9="CO7")*ISNUMBER($C$10:$G$10)*ISNUMBER(C23:G23)*C23:G23) /
         SUMPRODUCT(($C$9:$G$9="CO7")*ISNUMBER($C$10:$G$10)*ISNUMBER(C23:G23)*$C$10:$G$10) * 0.15
       ) +
       IF(
         SUMPRODUCT(($H$9:$Z$9="CO7")*ISNUMBER($H$10:$Z$10)*ISNUMBER(H23:Z23)) = 0,
         0,
         SUMPRODUCT(($H$9:$Z$9="CO7")*ISNUMBER($H$10:$Z$10)*ISNUMBER(H23:Z23)*H23:Z23) /
         SUMPRODUCT(($H$9:$Z$9="CO7")*ISNUMBER($H$10:$Z$10)*ISNUMBER(H23:Z23)*$H$10:$Z$10) * 0.85
       )
     ) * 100,
     ""
   )
)</f>
        <v/>
      </c>
      <c r="AH23" s="3" t="str" cm="1">
        <f t="array" ref="AH23">IF(
   SUMPRODUCT(($C$9:$G$9="CO8")*ISNUMBER($C$10:$G$10)*ISNUMBER(C23:G23)) +
   SUMPRODUCT(($H$9:$Z$9="CO8")*ISNUMBER($H$10:$Z$10)*ISNUMBER(H23:Z23)) = 0,
   "",
   IFERROR(
     (
       IF(
         SUMPRODUCT(($C$9:$G$9="CO8")*ISNUMBER($C$10:$G$10)*ISNUMBER(C23:G23)) = 0,
         0,
         SUMPRODUCT(($C$9:$G$9="CO8")*ISNUMBER($C$10:$G$10)*ISNUMBER(C23:G23)*C23:G23) /
         SUMPRODUCT(($C$9:$G$9="CO8")*ISNUMBER($C$10:$G$10)*ISNUMBER(C23:G23)*$C$10:$G$10) * 0.15
       ) +
       IF(
         SUMPRODUCT(($H$9:$Z$9="CO8")*ISNUMBER($H$10:$Z$10)*ISNUMBER(H23:Z23)) = 0,
         0,
         SUMPRODUCT(($H$9:$Z$9="CO8")*ISNUMBER($H$10:$Z$10)*ISNUMBER(H23:Z23)*H23:Z23) /
         SUMPRODUCT(($H$9:$Z$9="CO8")*ISNUMBER($H$10:$Z$10)*ISNUMBER(H23:Z23)*$H$10:$Z$10) * 0.85
       )
     ) * 100,
     ""
   )
)</f>
        <v/>
      </c>
      <c r="AI23" s="1" t="str">
        <f t="shared" si="1"/>
        <v>First</v>
      </c>
      <c r="AJ23" s="1" t="str">
        <f t="shared" si="2"/>
        <v>D</v>
      </c>
      <c r="AK23" s="1" t="str">
        <f t="shared" si="3"/>
        <v>D</v>
      </c>
      <c r="AL23" s="1" t="str">
        <f t="shared" si="4"/>
        <v>F</v>
      </c>
      <c r="AM23" s="1" t="str">
        <f t="shared" si="0"/>
        <v/>
      </c>
      <c r="AN23" s="1" t="str">
        <f t="shared" si="0"/>
        <v/>
      </c>
      <c r="AO23" s="1" t="str">
        <f t="shared" si="0"/>
        <v/>
      </c>
      <c r="AP23" s="1" t="str">
        <f t="shared" si="0"/>
        <v/>
      </c>
      <c r="AR23" s="30"/>
    </row>
    <row r="24" spans="1:53" ht="16.2" thickBot="1" x14ac:dyDescent="0.35">
      <c r="A24" s="57">
        <v>2508013</v>
      </c>
      <c r="B24" s="58" t="s">
        <v>121</v>
      </c>
      <c r="C24" s="77">
        <v>2</v>
      </c>
      <c r="D24" s="82">
        <v>5</v>
      </c>
      <c r="E24" s="88">
        <v>5</v>
      </c>
      <c r="F24" s="89">
        <v>5</v>
      </c>
      <c r="G24" s="89">
        <v>3</v>
      </c>
      <c r="H24" s="14">
        <v>0</v>
      </c>
      <c r="I24" s="14">
        <v>1</v>
      </c>
      <c r="J24" s="14">
        <v>1</v>
      </c>
      <c r="K24" s="14">
        <v>1</v>
      </c>
      <c r="L24" s="14">
        <v>0</v>
      </c>
      <c r="M24" s="14">
        <v>2</v>
      </c>
      <c r="N24" s="14">
        <v>2</v>
      </c>
      <c r="O24" s="14">
        <v>1</v>
      </c>
      <c r="P24" s="14">
        <v>0</v>
      </c>
      <c r="Q24" s="14">
        <v>0</v>
      </c>
      <c r="R24" s="14">
        <v>2</v>
      </c>
      <c r="S24" s="14">
        <v>0</v>
      </c>
      <c r="T24" s="14">
        <v>1</v>
      </c>
      <c r="U24" s="14">
        <v>2</v>
      </c>
      <c r="V24" s="14">
        <v>0</v>
      </c>
      <c r="W24" s="14">
        <v>0</v>
      </c>
      <c r="X24" s="98">
        <v>21</v>
      </c>
      <c r="Y24" s="99">
        <v>8</v>
      </c>
      <c r="Z24" s="89">
        <v>8</v>
      </c>
      <c r="AA24" s="1" cm="1">
        <f t="array" ref="AA24">IF(
   SUMPRODUCT(($C$9:$G$9="CO1")*ISNUMBER($C$10:$G$10)*ISNUMBER(C24:G24)) +
   SUMPRODUCT(($H$9:$Z$9="CO1")*ISNUMBER($H$10:$Z$10)*ISNUMBER(H24:Z24)) = 0,
   "",
   IFERROR(
     (
       IF(
         SUMPRODUCT(($C$9:$G$9="CO1")*ISNUMBER($C$10:$G$10)*ISNUMBER(C24:G24)) = 0,
         0,
         SUMPRODUCT(($C$9:$G$9="CO1")*ISNUMBER($C$10:$G$10)*ISNUMBER(C24:G24)*C24:G24) /
         SUMPRODUCT(($C$9:$G$9="CO1")*ISNUMBER($C$10:$G$10)*ISNUMBER(C24:G24)*$C$10:$G$10) * 0.15
       ) +
       IF(
         SUMPRODUCT(($H$9:$Z$9="CO1")*ISNUMBER($H$10:$Z$10)*ISNUMBER(H24:Z24)) = 0,
         0,
         SUMPRODUCT(($H$9:$Z$9="CO1")*ISNUMBER($H$10:$Z$10)*ISNUMBER(H24:Z24)*H24:Z24) /
         SUMPRODUCT(($H$9:$Z$9="CO1")*ISNUMBER($H$10:$Z$10)*ISNUMBER(H24:Z24)*$H$10:$Z$10) * 0.85
       )
     ) * 100,
     ""
   )
)</f>
        <v>76.833333333333329</v>
      </c>
      <c r="AB24" s="1" cm="1">
        <f t="array" ref="AB24">IF(
   SUMPRODUCT(($C$9:$G$9="CO2")*ISNUMBER($C$10:$G$10)*ISNUMBER(C24:G24)) +
   SUMPRODUCT(($H$9:$Z$9="CO2")*ISNUMBER($H$10:$Z$10)*ISNUMBER(H24:Z24)) = 0,
   "",
   IFERROR(
     (
       IF(
         SUMPRODUCT(($C$9:$G$9="CO2")*ISNUMBER($C$10:$G$10)*ISNUMBER(C24:G24)) = 0,
         0,
         SUMPRODUCT(($C$9:$G$9="CO2")*ISNUMBER($C$10:$G$10)*ISNUMBER(C24:G24)*C24:G24) /
         SUMPRODUCT(($C$9:$G$9="CO2")*ISNUMBER($C$10:$G$10)*ISNUMBER(C24:G24)*$C$10:$G$10) * 0.15
       ) +
       IF(
         SUMPRODUCT(($H$9:$Z$9="CO2")*ISNUMBER($H$10:$Z$10)*ISNUMBER(H24:Z24)) = 0,
         0,
         SUMPRODUCT(($H$9:$Z$9="CO2")*ISNUMBER($H$10:$Z$10)*ISNUMBER(H24:Z24)*H24:Z24) /
         SUMPRODUCT(($H$9:$Z$9="CO2")*ISNUMBER($H$10:$Z$10)*ISNUMBER(H24:Z24)*$H$10:$Z$10) * 0.85
       )
     ) * 100,
     ""
   )
)</f>
        <v>73.4375</v>
      </c>
      <c r="AC24" s="1" cm="1">
        <f t="array" ref="AC24">IF(
   SUMPRODUCT(($C$9:$G$9="CO3")*ISNUMBER($C$10:$G$10)*ISNUMBER(C24:G24)) +
   SUMPRODUCT(($H$9:$Z$9="CO3")*ISNUMBER($H$10:$Z$10)*ISNUMBER(H24:Z24)) = 0,
   "",
   IFERROR(
     (
       IF(
         SUMPRODUCT(($C$9:$G$9="CO3")*ISNUMBER($C$10:$G$10)*ISNUMBER(C24:G24)) = 0,
         0,
         SUMPRODUCT(($C$9:$G$9="CO3")*ISNUMBER($C$10:$G$10)*ISNUMBER(C24:G24)*C24:G24) /
         SUMPRODUCT(($C$9:$G$9="CO3")*ISNUMBER($C$10:$G$10)*ISNUMBER(C24:G24)*$C$10:$G$10) * 0.15
       ) +
       IF(
         SUMPRODUCT(($H$9:$Z$9="CO3")*ISNUMBER($H$10:$Z$10)*ISNUMBER(H24:Z24)) = 0,
         0,
         SUMPRODUCT(($H$9:$Z$9="CO3")*ISNUMBER($H$10:$Z$10)*ISNUMBER(H24:Z24)*H24:Z24) /
         SUMPRODUCT(($H$9:$Z$9="CO3")*ISNUMBER($H$10:$Z$10)*ISNUMBER(H24:Z24)*$H$10:$Z$10) * 0.85
       )
     ) * 100,
     ""
   )
)</f>
        <v>81.785714285714278</v>
      </c>
      <c r="AD24" s="1" cm="1">
        <f t="array" ref="AD24">IF(
   SUMPRODUCT(($C$9:$G$9="CO4")*ISNUMBER($C$10:$G$10)*ISNUMBER(C24:G24)) +
   SUMPRODUCT(($H$9:$Z$9="CO4")*ISNUMBER($H$10:$Z$10)*ISNUMBER(H24:Z24)) = 0,
   "",
   IFERROR(
     (
       IF(
         SUMPRODUCT(($C$9:$G$9="CO4")*ISNUMBER($C$10:$G$10)*ISNUMBER(C24:G24)) = 0,
         0,
         SUMPRODUCT(($C$9:$G$9="CO4")*ISNUMBER($C$10:$G$10)*ISNUMBER(C24:G24)*C24:G24) /
         SUMPRODUCT(($C$9:$G$9="CO4")*ISNUMBER($C$10:$G$10)*ISNUMBER(C24:G24)*$C$10:$G$10) * 0.15
       ) +
       IF(
         SUMPRODUCT(($H$9:$Z$9="CO4")*ISNUMBER($H$10:$Z$10)*ISNUMBER(H24:Z24)) = 0,
         0,
         SUMPRODUCT(($H$9:$Z$9="CO4")*ISNUMBER($H$10:$Z$10)*ISNUMBER(H24:Z24)*H24:Z24) /
         SUMPRODUCT(($H$9:$Z$9="CO4")*ISNUMBER($H$10:$Z$10)*ISNUMBER(H24:Z24)*$H$10:$Z$10) * 0.85
       )
     ) * 100,
     ""
   )
)</f>
        <v>37.333333333333329</v>
      </c>
      <c r="AE24" s="1" t="str" cm="1">
        <f t="array" ref="AE24">IF(
   SUMPRODUCT(($C$9:$G$9="CO5")*ISNUMBER($C$10:$G$10)*ISNUMBER(C24:G24)) +
   SUMPRODUCT(($H$9:$Z$9="CO5")*ISNUMBER($H$10:$Z$10)*ISNUMBER(H24:Z24)) = 0,
   "",
   IFERROR(
     (
       IF(
         SUMPRODUCT(($C$9:$G$9="CO5")*ISNUMBER($C$10:$G$10)*ISNUMBER(C24:G24)) = 0,
         0,
         SUMPRODUCT(($C$9:$G$9="CO5")*ISNUMBER($C$10:$G$10)*ISNUMBER(C24:G24)*C24:G24) /
         SUMPRODUCT(($C$9:$G$9="CO5")*ISNUMBER($C$10:$G$10)*ISNUMBER(C24:G24)*$C$10:$G$10) * 0.15
       ) +
       IF(
         SUMPRODUCT(($H$9:$Z$9="CO5")*ISNUMBER($H$10:$Z$10)*ISNUMBER(H24:Z24)) = 0,
         0,
         SUMPRODUCT(($H$9:$Z$9="CO5")*ISNUMBER($H$10:$Z$10)*ISNUMBER(H24:Z24)*H24:Z24) /
         SUMPRODUCT(($H$9:$Z$9="CO5")*ISNUMBER($H$10:$Z$10)*ISNUMBER(H24:Z24)*$H$10:$Z$10) * 0.85
       )
     ) * 100,
     ""
   )
)</f>
        <v/>
      </c>
      <c r="AF24" s="1" t="str" cm="1">
        <f t="array" ref="AF24">IF(
   SUMPRODUCT(($C$9:$G$9="CO6")*ISNUMBER($C$10:$G$10)*ISNUMBER(C24:G24)) +
   SUMPRODUCT(($H$9:$Z$9="CO6")*ISNUMBER($H$10:$Z$10)*ISNUMBER(H24:Z24)) = 0,
   "",
   IFERROR(
     (
       IF(
         SUMPRODUCT(($C$9:$G$9="CO6")*ISNUMBER($C$10:$G$10)*ISNUMBER(C24:G24)) = 0,
         0,
         SUMPRODUCT(($C$9:$G$9="CO6")*ISNUMBER($C$10:$G$10)*ISNUMBER(C24:G24)*C24:G24) /
         SUMPRODUCT(($C$9:$G$9="CO6")*ISNUMBER($C$10:$G$10)*ISNUMBER(C24:G24)*$C$10:$G$10) * 0.15
       ) +
       IF(
         SUMPRODUCT(($H$9:$Z$9="CO6")*ISNUMBER($H$10:$Z$10)*ISNUMBER(H24:Z24)) = 0,
         0,
         SUMPRODUCT(($H$9:$Z$9="CO6")*ISNUMBER($H$10:$Z$10)*ISNUMBER(H24:Z24)*H24:Z24) /
         SUMPRODUCT(($H$9:$Z$9="CO6")*ISNUMBER($H$10:$Z$10)*ISNUMBER(H24:Z24)*$H$10:$Z$10) * 0.85
       )
     ) * 100,
     ""
   )
)</f>
        <v/>
      </c>
      <c r="AG24" s="1" t="str" cm="1">
        <f t="array" ref="AG24">IF(
   SUMPRODUCT(($C$9:$G$9="CO7")*ISNUMBER($C$10:$G$10)*ISNUMBER(C24:G24)) +
   SUMPRODUCT(($H$9:$Z$9="CO7")*ISNUMBER($H$10:$Z$10)*ISNUMBER(H24:Z24)) = 0,
   "",
   IFERROR(
     (
       IF(
         SUMPRODUCT(($C$9:$G$9="CO7")*ISNUMBER($C$10:$G$10)*ISNUMBER(C24:G24)) = 0,
         0,
         SUMPRODUCT(($C$9:$G$9="CO7")*ISNUMBER($C$10:$G$10)*ISNUMBER(C24:G24)*C24:G24) /
         SUMPRODUCT(($C$9:$G$9="CO7")*ISNUMBER($C$10:$G$10)*ISNUMBER(C24:G24)*$C$10:$G$10) * 0.15
       ) +
       IF(
         SUMPRODUCT(($H$9:$Z$9="CO7")*ISNUMBER($H$10:$Z$10)*ISNUMBER(H24:Z24)) = 0,
         0,
         SUMPRODUCT(($H$9:$Z$9="CO7")*ISNUMBER($H$10:$Z$10)*ISNUMBER(H24:Z24)*H24:Z24) /
         SUMPRODUCT(($H$9:$Z$9="CO7")*ISNUMBER($H$10:$Z$10)*ISNUMBER(H24:Z24)*$H$10:$Z$10) * 0.85
       )
     ) * 100,
     ""
   )
)</f>
        <v/>
      </c>
      <c r="AH24" s="3" t="str" cm="1">
        <f t="array" ref="AH24">IF(
   SUMPRODUCT(($C$9:$G$9="CO8")*ISNUMBER($C$10:$G$10)*ISNUMBER(C24:G24)) +
   SUMPRODUCT(($H$9:$Z$9="CO8")*ISNUMBER($H$10:$Z$10)*ISNUMBER(H24:Z24)) = 0,
   "",
   IFERROR(
     (
       IF(
         SUMPRODUCT(($C$9:$G$9="CO8")*ISNUMBER($C$10:$G$10)*ISNUMBER(C24:G24)) = 0,
         0,
         SUMPRODUCT(($C$9:$G$9="CO8")*ISNUMBER($C$10:$G$10)*ISNUMBER(C24:G24)*C24:G24) /
         SUMPRODUCT(($C$9:$G$9="CO8")*ISNUMBER($C$10:$G$10)*ISNUMBER(C24:G24)*$C$10:$G$10) * 0.15
       ) +
       IF(
         SUMPRODUCT(($H$9:$Z$9="CO8")*ISNUMBER($H$10:$Z$10)*ISNUMBER(H24:Z24)) = 0,
         0,
         SUMPRODUCT(($H$9:$Z$9="CO8")*ISNUMBER($H$10:$Z$10)*ISNUMBER(H24:Z24)*H24:Z24) /
         SUMPRODUCT(($H$9:$Z$9="CO8")*ISNUMBER($H$10:$Z$10)*ISNUMBER(H24:Z24)*$H$10:$Z$10) * 0.85
       )
     ) * 100,
     ""
   )
)</f>
        <v/>
      </c>
      <c r="AI24" s="1" t="str">
        <f t="shared" si="1"/>
        <v>D</v>
      </c>
      <c r="AJ24" s="1" t="str">
        <f t="shared" si="2"/>
        <v>D</v>
      </c>
      <c r="AK24" s="1" t="str">
        <f t="shared" si="3"/>
        <v>D</v>
      </c>
      <c r="AL24" s="1" t="str">
        <f t="shared" si="4"/>
        <v>F</v>
      </c>
      <c r="AM24" s="1" t="str">
        <f t="shared" si="0"/>
        <v/>
      </c>
      <c r="AN24" s="1" t="str">
        <f t="shared" si="0"/>
        <v/>
      </c>
      <c r="AO24" s="1" t="str">
        <f t="shared" si="0"/>
        <v/>
      </c>
      <c r="AP24" s="1" t="str">
        <f t="shared" si="0"/>
        <v/>
      </c>
      <c r="AR24" s="30"/>
    </row>
    <row r="25" spans="1:53" ht="16.2" thickBot="1" x14ac:dyDescent="0.35">
      <c r="A25" s="57">
        <v>2508014</v>
      </c>
      <c r="B25" s="59" t="s">
        <v>122</v>
      </c>
      <c r="C25" s="77">
        <v>2</v>
      </c>
      <c r="D25" s="82">
        <v>5</v>
      </c>
      <c r="E25" s="88">
        <v>3.5</v>
      </c>
      <c r="F25" s="89">
        <v>5</v>
      </c>
      <c r="G25" s="89">
        <v>3</v>
      </c>
      <c r="H25" s="14">
        <v>0</v>
      </c>
      <c r="I25" s="14">
        <v>0</v>
      </c>
      <c r="J25" s="14">
        <v>0</v>
      </c>
      <c r="K25" s="14">
        <v>1</v>
      </c>
      <c r="L25" s="14">
        <v>0</v>
      </c>
      <c r="M25" s="14">
        <v>2</v>
      </c>
      <c r="N25" s="14">
        <v>1</v>
      </c>
      <c r="O25" s="14">
        <v>0</v>
      </c>
      <c r="P25" s="14">
        <v>2</v>
      </c>
      <c r="Q25" s="14">
        <v>0</v>
      </c>
      <c r="R25" s="14">
        <v>1</v>
      </c>
      <c r="S25" s="14">
        <v>0</v>
      </c>
      <c r="T25" s="14">
        <v>1</v>
      </c>
      <c r="U25" s="14">
        <v>0.5</v>
      </c>
      <c r="V25" s="14">
        <v>0</v>
      </c>
      <c r="W25" s="14">
        <v>0</v>
      </c>
      <c r="X25" s="98">
        <v>23</v>
      </c>
      <c r="Y25" s="99">
        <v>8</v>
      </c>
      <c r="Z25" s="89">
        <v>7</v>
      </c>
      <c r="AA25" s="1" cm="1">
        <f t="array" ref="AA25">IF(
   SUMPRODUCT(($C$9:$G$9="CO1")*ISNUMBER($C$10:$G$10)*ISNUMBER(C25:G25)) +
   SUMPRODUCT(($H$9:$Z$9="CO1")*ISNUMBER($H$10:$Z$10)*ISNUMBER(H25:Z25)) = 0,
   "",
   IFERROR(
     (
       IF(
         SUMPRODUCT(($C$9:$G$9="CO1")*ISNUMBER($C$10:$G$10)*ISNUMBER(C25:G25)) = 0,
         0,
         SUMPRODUCT(($C$9:$G$9="CO1")*ISNUMBER($C$10:$G$10)*ISNUMBER(C25:G25)*C25:G25) /
         SUMPRODUCT(($C$9:$G$9="CO1")*ISNUMBER($C$10:$G$10)*ISNUMBER(C25:G25)*$C$10:$G$10) * 0.15
       ) +
       IF(
         SUMPRODUCT(($H$9:$Z$9="CO1")*ISNUMBER($H$10:$Z$10)*ISNUMBER(H25:Z25)) = 0,
         0,
         SUMPRODUCT(($H$9:$Z$9="CO1")*ISNUMBER($H$10:$Z$10)*ISNUMBER(H25:Z25)*H25:Z25) /
         SUMPRODUCT(($H$9:$Z$9="CO1")*ISNUMBER($H$10:$Z$10)*ISNUMBER(H25:Z25)*$H$10:$Z$10) * 0.85
       )
     ) * 100,
     ""
   )
)</f>
        <v>57.944444444444443</v>
      </c>
      <c r="AB25" s="1" cm="1">
        <f t="array" ref="AB25">IF(
   SUMPRODUCT(($C$9:$G$9="CO2")*ISNUMBER($C$10:$G$10)*ISNUMBER(C25:G25)) +
   SUMPRODUCT(($H$9:$Z$9="CO2")*ISNUMBER($H$10:$Z$10)*ISNUMBER(H25:Z25)) = 0,
   "",
   IFERROR(
     (
       IF(
         SUMPRODUCT(($C$9:$G$9="CO2")*ISNUMBER($C$10:$G$10)*ISNUMBER(C25:G25)) = 0,
         0,
         SUMPRODUCT(($C$9:$G$9="CO2")*ISNUMBER($C$10:$G$10)*ISNUMBER(C25:G25)*C25:G25) /
         SUMPRODUCT(($C$9:$G$9="CO2")*ISNUMBER($C$10:$G$10)*ISNUMBER(C25:G25)*$C$10:$G$10) * 0.15
       ) +
       IF(
         SUMPRODUCT(($H$9:$Z$9="CO2")*ISNUMBER($H$10:$Z$10)*ISNUMBER(H25:Z25)) = 0,
         0,
         SUMPRODUCT(($H$9:$Z$9="CO2")*ISNUMBER($H$10:$Z$10)*ISNUMBER(H25:Z25)*H25:Z25) /
         SUMPRODUCT(($H$9:$Z$9="CO2")*ISNUMBER($H$10:$Z$10)*ISNUMBER(H25:Z25)*$H$10:$Z$10) * 0.85
       )
     ) * 100,
     ""
   )
)</f>
        <v>71.1875</v>
      </c>
      <c r="AC25" s="1" cm="1">
        <f t="array" ref="AC25">IF(
   SUMPRODUCT(($C$9:$G$9="CO3")*ISNUMBER($C$10:$G$10)*ISNUMBER(C25:G25)) +
   SUMPRODUCT(($H$9:$Z$9="CO3")*ISNUMBER($H$10:$Z$10)*ISNUMBER(H25:Z25)) = 0,
   "",
   IFERROR(
     (
       IF(
         SUMPRODUCT(($C$9:$G$9="CO3")*ISNUMBER($C$10:$G$10)*ISNUMBER(C25:G25)) = 0,
         0,
         SUMPRODUCT(($C$9:$G$9="CO3")*ISNUMBER($C$10:$G$10)*ISNUMBER(C25:G25)*C25:G25) /
         SUMPRODUCT(($C$9:$G$9="CO3")*ISNUMBER($C$10:$G$10)*ISNUMBER(C25:G25)*$C$10:$G$10) * 0.15
       ) +
       IF(
         SUMPRODUCT(($H$9:$Z$9="CO3")*ISNUMBER($H$10:$Z$10)*ISNUMBER(H25:Z25)) = 0,
         0,
         SUMPRODUCT(($H$9:$Z$9="CO3")*ISNUMBER($H$10:$Z$10)*ISNUMBER(H25:Z25)*H25:Z25) /
         SUMPRODUCT(($H$9:$Z$9="CO3")*ISNUMBER($H$10:$Z$10)*ISNUMBER(H25:Z25)*$H$10:$Z$10) * 0.85
       )
     ) * 100,
     ""
   )
)</f>
        <v>87.857142857142861</v>
      </c>
      <c r="AD25" s="1" cm="1">
        <f t="array" ref="AD25">IF(
   SUMPRODUCT(($C$9:$G$9="CO4")*ISNUMBER($C$10:$G$10)*ISNUMBER(C25:G25)) +
   SUMPRODUCT(($H$9:$Z$9="CO4")*ISNUMBER($H$10:$Z$10)*ISNUMBER(H25:Z25)) = 0,
   "",
   IFERROR(
     (
       IF(
         SUMPRODUCT(($C$9:$G$9="CO4")*ISNUMBER($C$10:$G$10)*ISNUMBER(C25:G25)) = 0,
         0,
         SUMPRODUCT(($C$9:$G$9="CO4")*ISNUMBER($C$10:$G$10)*ISNUMBER(C25:G25)*C25:G25) /
         SUMPRODUCT(($C$9:$G$9="CO4")*ISNUMBER($C$10:$G$10)*ISNUMBER(C25:G25)*$C$10:$G$10) * 0.15
       ) +
       IF(
         SUMPRODUCT(($H$9:$Z$9="CO4")*ISNUMBER($H$10:$Z$10)*ISNUMBER(H25:Z25)) = 0,
         0,
         SUMPRODUCT(($H$9:$Z$9="CO4")*ISNUMBER($H$10:$Z$10)*ISNUMBER(H25:Z25)*H25:Z25) /
         SUMPRODUCT(($H$9:$Z$9="CO4")*ISNUMBER($H$10:$Z$10)*ISNUMBER(H25:Z25)*$H$10:$Z$10) * 0.85
       )
     ) * 100,
     ""
   )
)</f>
        <v>16.083333333333332</v>
      </c>
      <c r="AE25" s="1" t="str" cm="1">
        <f t="array" ref="AE25">IF(
   SUMPRODUCT(($C$9:$G$9="CO5")*ISNUMBER($C$10:$G$10)*ISNUMBER(C25:G25)) +
   SUMPRODUCT(($H$9:$Z$9="CO5")*ISNUMBER($H$10:$Z$10)*ISNUMBER(H25:Z25)) = 0,
   "",
   IFERROR(
     (
       IF(
         SUMPRODUCT(($C$9:$G$9="CO5")*ISNUMBER($C$10:$G$10)*ISNUMBER(C25:G25)) = 0,
         0,
         SUMPRODUCT(($C$9:$G$9="CO5")*ISNUMBER($C$10:$G$10)*ISNUMBER(C25:G25)*C25:G25) /
         SUMPRODUCT(($C$9:$G$9="CO5")*ISNUMBER($C$10:$G$10)*ISNUMBER(C25:G25)*$C$10:$G$10) * 0.15
       ) +
       IF(
         SUMPRODUCT(($H$9:$Z$9="CO5")*ISNUMBER($H$10:$Z$10)*ISNUMBER(H25:Z25)) = 0,
         0,
         SUMPRODUCT(($H$9:$Z$9="CO5")*ISNUMBER($H$10:$Z$10)*ISNUMBER(H25:Z25)*H25:Z25) /
         SUMPRODUCT(($H$9:$Z$9="CO5")*ISNUMBER($H$10:$Z$10)*ISNUMBER(H25:Z25)*$H$10:$Z$10) * 0.85
       )
     ) * 100,
     ""
   )
)</f>
        <v/>
      </c>
      <c r="AF25" s="1" t="str" cm="1">
        <f t="array" ref="AF25">IF(
   SUMPRODUCT(($C$9:$G$9="CO6")*ISNUMBER($C$10:$G$10)*ISNUMBER(C25:G25)) +
   SUMPRODUCT(($H$9:$Z$9="CO6")*ISNUMBER($H$10:$Z$10)*ISNUMBER(H25:Z25)) = 0,
   "",
   IFERROR(
     (
       IF(
         SUMPRODUCT(($C$9:$G$9="CO6")*ISNUMBER($C$10:$G$10)*ISNUMBER(C25:G25)) = 0,
         0,
         SUMPRODUCT(($C$9:$G$9="CO6")*ISNUMBER($C$10:$G$10)*ISNUMBER(C25:G25)*C25:G25) /
         SUMPRODUCT(($C$9:$G$9="CO6")*ISNUMBER($C$10:$G$10)*ISNUMBER(C25:G25)*$C$10:$G$10) * 0.15
       ) +
       IF(
         SUMPRODUCT(($H$9:$Z$9="CO6")*ISNUMBER($H$10:$Z$10)*ISNUMBER(H25:Z25)) = 0,
         0,
         SUMPRODUCT(($H$9:$Z$9="CO6")*ISNUMBER($H$10:$Z$10)*ISNUMBER(H25:Z25)*H25:Z25) /
         SUMPRODUCT(($H$9:$Z$9="CO6")*ISNUMBER($H$10:$Z$10)*ISNUMBER(H25:Z25)*$H$10:$Z$10) * 0.85
       )
     ) * 100,
     ""
   )
)</f>
        <v/>
      </c>
      <c r="AG25" s="1" t="str" cm="1">
        <f t="array" ref="AG25">IF(
   SUMPRODUCT(($C$9:$G$9="CO7")*ISNUMBER($C$10:$G$10)*ISNUMBER(C25:G25)) +
   SUMPRODUCT(($H$9:$Z$9="CO7")*ISNUMBER($H$10:$Z$10)*ISNUMBER(H25:Z25)) = 0,
   "",
   IFERROR(
     (
       IF(
         SUMPRODUCT(($C$9:$G$9="CO7")*ISNUMBER($C$10:$G$10)*ISNUMBER(C25:G25)) = 0,
         0,
         SUMPRODUCT(($C$9:$G$9="CO7")*ISNUMBER($C$10:$G$10)*ISNUMBER(C25:G25)*C25:G25) /
         SUMPRODUCT(($C$9:$G$9="CO7")*ISNUMBER($C$10:$G$10)*ISNUMBER(C25:G25)*$C$10:$G$10) * 0.15
       ) +
       IF(
         SUMPRODUCT(($H$9:$Z$9="CO7")*ISNUMBER($H$10:$Z$10)*ISNUMBER(H25:Z25)) = 0,
         0,
         SUMPRODUCT(($H$9:$Z$9="CO7")*ISNUMBER($H$10:$Z$10)*ISNUMBER(H25:Z25)*H25:Z25) /
         SUMPRODUCT(($H$9:$Z$9="CO7")*ISNUMBER($H$10:$Z$10)*ISNUMBER(H25:Z25)*$H$10:$Z$10) * 0.85
       )
     ) * 100,
     ""
   )
)</f>
        <v/>
      </c>
      <c r="AH25" s="3" t="str" cm="1">
        <f t="array" ref="AH25">IF(
   SUMPRODUCT(($C$9:$G$9="CO8")*ISNUMBER($C$10:$G$10)*ISNUMBER(C25:G25)) +
   SUMPRODUCT(($H$9:$Z$9="CO8")*ISNUMBER($H$10:$Z$10)*ISNUMBER(H25:Z25)) = 0,
   "",
   IFERROR(
     (
       IF(
         SUMPRODUCT(($C$9:$G$9="CO8")*ISNUMBER($C$10:$G$10)*ISNUMBER(C25:G25)) = 0,
         0,
         SUMPRODUCT(($C$9:$G$9="CO8")*ISNUMBER($C$10:$G$10)*ISNUMBER(C25:G25)*C25:G25) /
         SUMPRODUCT(($C$9:$G$9="CO8")*ISNUMBER($C$10:$G$10)*ISNUMBER(C25:G25)*$C$10:$G$10) * 0.15
       ) +
       IF(
         SUMPRODUCT(($H$9:$Z$9="CO8")*ISNUMBER($H$10:$Z$10)*ISNUMBER(H25:Z25)) = 0,
         0,
         SUMPRODUCT(($H$9:$Z$9="CO8")*ISNUMBER($H$10:$Z$10)*ISNUMBER(H25:Z25)*H25:Z25) /
         SUMPRODUCT(($H$9:$Z$9="CO8")*ISNUMBER($H$10:$Z$10)*ISNUMBER(H25:Z25)*$H$10:$Z$10) * 0.85
       )
     ) * 100,
     ""
   )
)</f>
        <v/>
      </c>
      <c r="AI25" s="1" t="str">
        <f t="shared" si="1"/>
        <v>S</v>
      </c>
      <c r="AJ25" s="1" t="str">
        <f t="shared" si="2"/>
        <v>D</v>
      </c>
      <c r="AK25" s="1" t="str">
        <f t="shared" si="3"/>
        <v>D</v>
      </c>
      <c r="AL25" s="1" t="str">
        <f t="shared" si="4"/>
        <v>F</v>
      </c>
      <c r="AM25" s="1" t="str">
        <f t="shared" si="0"/>
        <v/>
      </c>
      <c r="AN25" s="1" t="str">
        <f t="shared" si="0"/>
        <v/>
      </c>
      <c r="AO25" s="1" t="str">
        <f t="shared" si="0"/>
        <v/>
      </c>
      <c r="AP25" s="1" t="str">
        <f t="shared" si="0"/>
        <v/>
      </c>
      <c r="AR25" s="30"/>
    </row>
    <row r="26" spans="1:53" ht="16.2" thickBot="1" x14ac:dyDescent="0.35">
      <c r="A26" s="57">
        <v>2508015</v>
      </c>
      <c r="B26" s="59" t="s">
        <v>123</v>
      </c>
      <c r="C26" s="77">
        <v>2</v>
      </c>
      <c r="D26" s="83" t="s">
        <v>180</v>
      </c>
      <c r="E26" s="88">
        <v>3.5</v>
      </c>
      <c r="F26" s="89">
        <v>3</v>
      </c>
      <c r="G26" s="89">
        <v>5</v>
      </c>
      <c r="H26" s="14">
        <v>0</v>
      </c>
      <c r="I26" s="14">
        <v>1</v>
      </c>
      <c r="J26" s="14">
        <v>0</v>
      </c>
      <c r="K26" s="14">
        <v>1</v>
      </c>
      <c r="L26" s="14">
        <v>1</v>
      </c>
      <c r="M26" s="14">
        <v>0</v>
      </c>
      <c r="N26" s="14">
        <v>2</v>
      </c>
      <c r="O26" s="14">
        <v>2</v>
      </c>
      <c r="P26" s="14">
        <v>0</v>
      </c>
      <c r="Q26" s="14">
        <v>0</v>
      </c>
      <c r="R26" s="14">
        <v>0</v>
      </c>
      <c r="S26" s="14">
        <v>2</v>
      </c>
      <c r="T26" s="14">
        <v>0.5</v>
      </c>
      <c r="U26" s="14">
        <v>0.5</v>
      </c>
      <c r="V26" s="14">
        <v>0</v>
      </c>
      <c r="W26" s="14">
        <v>2</v>
      </c>
      <c r="X26" s="98">
        <v>20</v>
      </c>
      <c r="Y26" s="99">
        <v>8</v>
      </c>
      <c r="Z26" s="89">
        <v>7</v>
      </c>
      <c r="AA26" s="1" t="str" cm="1">
        <f t="array" ref="AA26">IF(
   SUMPRODUCT(($C$9:$G$9="CO1")*ISNUMBER($C$10:$G$10)*ISNUMBER(C26:G26)) +
   SUMPRODUCT(($H$9:$Z$9="CO1")*ISNUMBER($H$10:$Z$10)*ISNUMBER(H26:Z26)) = 0,
   "",
   IFERROR(
     (
       IF(
         SUMPRODUCT(($C$9:$G$9="CO1")*ISNUMBER($C$10:$G$10)*ISNUMBER(C26:G26)) = 0,
         0,
         SUMPRODUCT(($C$9:$G$9="CO1")*ISNUMBER($C$10:$G$10)*ISNUMBER(C26:G26)*C26:G26) /
         SUMPRODUCT(($C$9:$G$9="CO1")*ISNUMBER($C$10:$G$10)*ISNUMBER(C26:G26)*$C$10:$G$10) * 0.15
       ) +
       IF(
         SUMPRODUCT(($H$9:$Z$9="CO1")*ISNUMBER($H$10:$Z$10)*ISNUMBER(H26:Z26)) = 0,
         0,
         SUMPRODUCT(($H$9:$Z$9="CO1")*ISNUMBER($H$10:$Z$10)*ISNUMBER(H26:Z26)*H26:Z26) /
         SUMPRODUCT(($H$9:$Z$9="CO1")*ISNUMBER($H$10:$Z$10)*ISNUMBER(H26:Z26)*$H$10:$Z$10) * 0.85
       )
     ) * 100,
     ""
   )
)</f>
        <v/>
      </c>
      <c r="AB26" s="1" t="str" cm="1">
        <f t="array" ref="AB26">IF(
   SUMPRODUCT(($C$9:$G$9="CO2")*ISNUMBER($C$10:$G$10)*ISNUMBER(C26:G26)) +
   SUMPRODUCT(($H$9:$Z$9="CO2")*ISNUMBER($H$10:$Z$10)*ISNUMBER(H26:Z26)) = 0,
   "",
   IFERROR(
     (
       IF(
         SUMPRODUCT(($C$9:$G$9="CO2")*ISNUMBER($C$10:$G$10)*ISNUMBER(C26:G26)) = 0,
         0,
         SUMPRODUCT(($C$9:$G$9="CO2")*ISNUMBER($C$10:$G$10)*ISNUMBER(C26:G26)*C26:G26) /
         SUMPRODUCT(($C$9:$G$9="CO2")*ISNUMBER($C$10:$G$10)*ISNUMBER(C26:G26)*$C$10:$G$10) * 0.15
       ) +
       IF(
         SUMPRODUCT(($H$9:$Z$9="CO2")*ISNUMBER($H$10:$Z$10)*ISNUMBER(H26:Z26)) = 0,
         0,
         SUMPRODUCT(($H$9:$Z$9="CO2")*ISNUMBER($H$10:$Z$10)*ISNUMBER(H26:Z26)*H26:Z26) /
         SUMPRODUCT(($H$9:$Z$9="CO2")*ISNUMBER($H$10:$Z$10)*ISNUMBER(H26:Z26)*$H$10:$Z$10) * 0.85
       )
     ) * 100,
     ""
   )
)</f>
        <v/>
      </c>
      <c r="AC26" s="1" t="str" cm="1">
        <f t="array" ref="AC26">IF(
   SUMPRODUCT(($C$9:$G$9="CO3")*ISNUMBER($C$10:$G$10)*ISNUMBER(C26:G26)) +
   SUMPRODUCT(($H$9:$Z$9="CO3")*ISNUMBER($H$10:$Z$10)*ISNUMBER(H26:Z26)) = 0,
   "",
   IFERROR(
     (
       IF(
         SUMPRODUCT(($C$9:$G$9="CO3")*ISNUMBER($C$10:$G$10)*ISNUMBER(C26:G26)) = 0,
         0,
         SUMPRODUCT(($C$9:$G$9="CO3")*ISNUMBER($C$10:$G$10)*ISNUMBER(C26:G26)*C26:G26) /
         SUMPRODUCT(($C$9:$G$9="CO3")*ISNUMBER($C$10:$G$10)*ISNUMBER(C26:G26)*$C$10:$G$10) * 0.15
       ) +
       IF(
         SUMPRODUCT(($H$9:$Z$9="CO3")*ISNUMBER($H$10:$Z$10)*ISNUMBER(H26:Z26)) = 0,
         0,
         SUMPRODUCT(($H$9:$Z$9="CO3")*ISNUMBER($H$10:$Z$10)*ISNUMBER(H26:Z26)*H26:Z26) /
         SUMPRODUCT(($H$9:$Z$9="CO3")*ISNUMBER($H$10:$Z$10)*ISNUMBER(H26:Z26)*$H$10:$Z$10) * 0.85
       )
     ) * 100,
     ""
   )
)</f>
        <v/>
      </c>
      <c r="AD26" s="1" t="str" cm="1">
        <f t="array" ref="AD26">IF(
   SUMPRODUCT(($C$9:$G$9="CO4")*ISNUMBER($C$10:$G$10)*ISNUMBER(C26:G26)) +
   SUMPRODUCT(($H$9:$Z$9="CO4")*ISNUMBER($H$10:$Z$10)*ISNUMBER(H26:Z26)) = 0,
   "",
   IFERROR(
     (
       IF(
         SUMPRODUCT(($C$9:$G$9="CO4")*ISNUMBER($C$10:$G$10)*ISNUMBER(C26:G26)) = 0,
         0,
         SUMPRODUCT(($C$9:$G$9="CO4")*ISNUMBER($C$10:$G$10)*ISNUMBER(C26:G26)*C26:G26) /
         SUMPRODUCT(($C$9:$G$9="CO4")*ISNUMBER($C$10:$G$10)*ISNUMBER(C26:G26)*$C$10:$G$10) * 0.15
       ) +
       IF(
         SUMPRODUCT(($H$9:$Z$9="CO4")*ISNUMBER($H$10:$Z$10)*ISNUMBER(H26:Z26)) = 0,
         0,
         SUMPRODUCT(($H$9:$Z$9="CO4")*ISNUMBER($H$10:$Z$10)*ISNUMBER(H26:Z26)*H26:Z26) /
         SUMPRODUCT(($H$9:$Z$9="CO4")*ISNUMBER($H$10:$Z$10)*ISNUMBER(H26:Z26)*$H$10:$Z$10) * 0.85
       )
     ) * 100,
     ""
   )
)</f>
        <v/>
      </c>
      <c r="AE26" s="1" t="str" cm="1">
        <f t="array" ref="AE26">IF(
   SUMPRODUCT(($C$9:$G$9="CO5")*ISNUMBER($C$10:$G$10)*ISNUMBER(C26:G26)) +
   SUMPRODUCT(($H$9:$Z$9="CO5")*ISNUMBER($H$10:$Z$10)*ISNUMBER(H26:Z26)) = 0,
   "",
   IFERROR(
     (
       IF(
         SUMPRODUCT(($C$9:$G$9="CO5")*ISNUMBER($C$10:$G$10)*ISNUMBER(C26:G26)) = 0,
         0,
         SUMPRODUCT(($C$9:$G$9="CO5")*ISNUMBER($C$10:$G$10)*ISNUMBER(C26:G26)*C26:G26) /
         SUMPRODUCT(($C$9:$G$9="CO5")*ISNUMBER($C$10:$G$10)*ISNUMBER(C26:G26)*$C$10:$G$10) * 0.15
       ) +
       IF(
         SUMPRODUCT(($H$9:$Z$9="CO5")*ISNUMBER($H$10:$Z$10)*ISNUMBER(H26:Z26)) = 0,
         0,
         SUMPRODUCT(($H$9:$Z$9="CO5")*ISNUMBER($H$10:$Z$10)*ISNUMBER(H26:Z26)*H26:Z26) /
         SUMPRODUCT(($H$9:$Z$9="CO5")*ISNUMBER($H$10:$Z$10)*ISNUMBER(H26:Z26)*$H$10:$Z$10) * 0.85
       )
     ) * 100,
     ""
   )
)</f>
        <v/>
      </c>
      <c r="AF26" s="1" t="str" cm="1">
        <f t="array" ref="AF26">IF(
   SUMPRODUCT(($C$9:$G$9="CO6")*ISNUMBER($C$10:$G$10)*ISNUMBER(C26:G26)) +
   SUMPRODUCT(($H$9:$Z$9="CO6")*ISNUMBER($H$10:$Z$10)*ISNUMBER(H26:Z26)) = 0,
   "",
   IFERROR(
     (
       IF(
         SUMPRODUCT(($C$9:$G$9="CO6")*ISNUMBER($C$10:$G$10)*ISNUMBER(C26:G26)) = 0,
         0,
         SUMPRODUCT(($C$9:$G$9="CO6")*ISNUMBER($C$10:$G$10)*ISNUMBER(C26:G26)*C26:G26) /
         SUMPRODUCT(($C$9:$G$9="CO6")*ISNUMBER($C$10:$G$10)*ISNUMBER(C26:G26)*$C$10:$G$10) * 0.15
       ) +
       IF(
         SUMPRODUCT(($H$9:$Z$9="CO6")*ISNUMBER($H$10:$Z$10)*ISNUMBER(H26:Z26)) = 0,
         0,
         SUMPRODUCT(($H$9:$Z$9="CO6")*ISNUMBER($H$10:$Z$10)*ISNUMBER(H26:Z26)*H26:Z26) /
         SUMPRODUCT(($H$9:$Z$9="CO6")*ISNUMBER($H$10:$Z$10)*ISNUMBER(H26:Z26)*$H$10:$Z$10) * 0.85
       )
     ) * 100,
     ""
   )
)</f>
        <v/>
      </c>
      <c r="AG26" s="1" t="str" cm="1">
        <f t="array" ref="AG26">IF(
   SUMPRODUCT(($C$9:$G$9="CO7")*ISNUMBER($C$10:$G$10)*ISNUMBER(C26:G26)) +
   SUMPRODUCT(($H$9:$Z$9="CO7")*ISNUMBER($H$10:$Z$10)*ISNUMBER(H26:Z26)) = 0,
   "",
   IFERROR(
     (
       IF(
         SUMPRODUCT(($C$9:$G$9="CO7")*ISNUMBER($C$10:$G$10)*ISNUMBER(C26:G26)) = 0,
         0,
         SUMPRODUCT(($C$9:$G$9="CO7")*ISNUMBER($C$10:$G$10)*ISNUMBER(C26:G26)*C26:G26) /
         SUMPRODUCT(($C$9:$G$9="CO7")*ISNUMBER($C$10:$G$10)*ISNUMBER(C26:G26)*$C$10:$G$10) * 0.15
       ) +
       IF(
         SUMPRODUCT(($H$9:$Z$9="CO7")*ISNUMBER($H$10:$Z$10)*ISNUMBER(H26:Z26)) = 0,
         0,
         SUMPRODUCT(($H$9:$Z$9="CO7")*ISNUMBER($H$10:$Z$10)*ISNUMBER(H26:Z26)*H26:Z26) /
         SUMPRODUCT(($H$9:$Z$9="CO7")*ISNUMBER($H$10:$Z$10)*ISNUMBER(H26:Z26)*$H$10:$Z$10) * 0.85
       )
     ) * 100,
     ""
   )
)</f>
        <v/>
      </c>
      <c r="AH26" s="3" t="str" cm="1">
        <f t="array" ref="AH26">IF(
   SUMPRODUCT(($C$9:$G$9="CO8")*ISNUMBER($C$10:$G$10)*ISNUMBER(C26:G26)) +
   SUMPRODUCT(($H$9:$Z$9="CO8")*ISNUMBER($H$10:$Z$10)*ISNUMBER(H26:Z26)) = 0,
   "",
   IFERROR(
     (
       IF(
         SUMPRODUCT(($C$9:$G$9="CO8")*ISNUMBER($C$10:$G$10)*ISNUMBER(C26:G26)) = 0,
         0,
         SUMPRODUCT(($C$9:$G$9="CO8")*ISNUMBER($C$10:$G$10)*ISNUMBER(C26:G26)*C26:G26) /
         SUMPRODUCT(($C$9:$G$9="CO8")*ISNUMBER($C$10:$G$10)*ISNUMBER(C26:G26)*$C$10:$G$10) * 0.15
       ) +
       IF(
         SUMPRODUCT(($H$9:$Z$9="CO8")*ISNUMBER($H$10:$Z$10)*ISNUMBER(H26:Z26)) = 0,
         0,
         SUMPRODUCT(($H$9:$Z$9="CO8")*ISNUMBER($H$10:$Z$10)*ISNUMBER(H26:Z26)*H26:Z26) /
         SUMPRODUCT(($H$9:$Z$9="CO8")*ISNUMBER($H$10:$Z$10)*ISNUMBER(H26:Z26)*$H$10:$Z$10) * 0.85
       )
     ) * 100,
     ""
   )
)</f>
        <v/>
      </c>
      <c r="AI26" s="1" t="str">
        <f t="shared" si="1"/>
        <v/>
      </c>
      <c r="AJ26" s="1" t="str">
        <f t="shared" si="2"/>
        <v/>
      </c>
      <c r="AK26" s="1" t="str">
        <f t="shared" si="3"/>
        <v/>
      </c>
      <c r="AL26" s="1" t="str">
        <f t="shared" si="4"/>
        <v/>
      </c>
      <c r="AM26" s="1" t="str">
        <f t="shared" si="0"/>
        <v/>
      </c>
      <c r="AN26" s="1" t="str">
        <f t="shared" si="0"/>
        <v/>
      </c>
      <c r="AO26" s="1" t="str">
        <f t="shared" si="0"/>
        <v/>
      </c>
      <c r="AP26" s="1" t="str">
        <f t="shared" si="0"/>
        <v/>
      </c>
      <c r="AR26" s="30"/>
    </row>
    <row r="27" spans="1:53" ht="16.2" thickBot="1" x14ac:dyDescent="0.35">
      <c r="A27" s="57">
        <v>2508016</v>
      </c>
      <c r="B27" s="58" t="s">
        <v>124</v>
      </c>
      <c r="C27" s="77">
        <v>2.5</v>
      </c>
      <c r="D27" s="82">
        <v>5</v>
      </c>
      <c r="E27" s="88">
        <v>5</v>
      </c>
      <c r="F27" s="89">
        <v>5</v>
      </c>
      <c r="G27" s="90" t="s">
        <v>180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1</v>
      </c>
      <c r="N27" s="14">
        <v>1</v>
      </c>
      <c r="O27" s="14">
        <v>1</v>
      </c>
      <c r="P27" s="14">
        <v>0</v>
      </c>
      <c r="Q27" s="14">
        <v>0</v>
      </c>
      <c r="R27" s="14">
        <v>1</v>
      </c>
      <c r="S27" s="14">
        <v>0</v>
      </c>
      <c r="T27" s="14">
        <v>1</v>
      </c>
      <c r="U27" s="14">
        <v>0</v>
      </c>
      <c r="V27" s="14">
        <v>1</v>
      </c>
      <c r="W27" s="14">
        <v>0</v>
      </c>
      <c r="X27" s="98">
        <v>21</v>
      </c>
      <c r="Y27" s="99">
        <v>5</v>
      </c>
      <c r="Z27" s="89">
        <v>2</v>
      </c>
      <c r="AA27" s="1" t="str" cm="1">
        <f t="array" ref="AA27">IF(
   SUMPRODUCT(($C$9:$G$9="CO1")*ISNUMBER($C$10:$G$10)*ISNUMBER(C27:G27)) +
   SUMPRODUCT(($H$9:$Z$9="CO1")*ISNUMBER($H$10:$Z$10)*ISNUMBER(H27:Z27)) = 0,
   "",
   IFERROR(
     (
       IF(
         SUMPRODUCT(($C$9:$G$9="CO1")*ISNUMBER($C$10:$G$10)*ISNUMBER(C27:G27)) = 0,
         0,
         SUMPRODUCT(($C$9:$G$9="CO1")*ISNUMBER($C$10:$G$10)*ISNUMBER(C27:G27)*C27:G27) /
         SUMPRODUCT(($C$9:$G$9="CO1")*ISNUMBER($C$10:$G$10)*ISNUMBER(C27:G27)*$C$10:$G$10) * 0.15
       ) +
       IF(
         SUMPRODUCT(($H$9:$Z$9="CO1")*ISNUMBER($H$10:$Z$10)*ISNUMBER(H27:Z27)) = 0,
         0,
         SUMPRODUCT(($H$9:$Z$9="CO1")*ISNUMBER($H$10:$Z$10)*ISNUMBER(H27:Z27)*H27:Z27) /
         SUMPRODUCT(($H$9:$Z$9="CO1")*ISNUMBER($H$10:$Z$10)*ISNUMBER(H27:Z27)*$H$10:$Z$10) * 0.85
       )
     ) * 100,
     ""
   )
)</f>
        <v/>
      </c>
      <c r="AB27" s="1" t="str" cm="1">
        <f t="array" ref="AB27">IF(
   SUMPRODUCT(($C$9:$G$9="CO2")*ISNUMBER($C$10:$G$10)*ISNUMBER(C27:G27)) +
   SUMPRODUCT(($H$9:$Z$9="CO2")*ISNUMBER($H$10:$Z$10)*ISNUMBER(H27:Z27)) = 0,
   "",
   IFERROR(
     (
       IF(
         SUMPRODUCT(($C$9:$G$9="CO2")*ISNUMBER($C$10:$G$10)*ISNUMBER(C27:G27)) = 0,
         0,
         SUMPRODUCT(($C$9:$G$9="CO2")*ISNUMBER($C$10:$G$10)*ISNUMBER(C27:G27)*C27:G27) /
         SUMPRODUCT(($C$9:$G$9="CO2")*ISNUMBER($C$10:$G$10)*ISNUMBER(C27:G27)*$C$10:$G$10) * 0.15
       ) +
       IF(
         SUMPRODUCT(($H$9:$Z$9="CO2")*ISNUMBER($H$10:$Z$10)*ISNUMBER(H27:Z27)) = 0,
         0,
         SUMPRODUCT(($H$9:$Z$9="CO2")*ISNUMBER($H$10:$Z$10)*ISNUMBER(H27:Z27)*H27:Z27) /
         SUMPRODUCT(($H$9:$Z$9="CO2")*ISNUMBER($H$10:$Z$10)*ISNUMBER(H27:Z27)*$H$10:$Z$10) * 0.85
       )
     ) * 100,
     ""
   )
)</f>
        <v/>
      </c>
      <c r="AC27" s="1" t="str" cm="1">
        <f t="array" ref="AC27">IF(
   SUMPRODUCT(($C$9:$G$9="CO3")*ISNUMBER($C$10:$G$10)*ISNUMBER(C27:G27)) +
   SUMPRODUCT(($H$9:$Z$9="CO3")*ISNUMBER($H$10:$Z$10)*ISNUMBER(H27:Z27)) = 0,
   "",
   IFERROR(
     (
       IF(
         SUMPRODUCT(($C$9:$G$9="CO3")*ISNUMBER($C$10:$G$10)*ISNUMBER(C27:G27)) = 0,
         0,
         SUMPRODUCT(($C$9:$G$9="CO3")*ISNUMBER($C$10:$G$10)*ISNUMBER(C27:G27)*C27:G27) /
         SUMPRODUCT(($C$9:$G$9="CO3")*ISNUMBER($C$10:$G$10)*ISNUMBER(C27:G27)*$C$10:$G$10) * 0.15
       ) +
       IF(
         SUMPRODUCT(($H$9:$Z$9="CO3")*ISNUMBER($H$10:$Z$10)*ISNUMBER(H27:Z27)) = 0,
         0,
         SUMPRODUCT(($H$9:$Z$9="CO3")*ISNUMBER($H$10:$Z$10)*ISNUMBER(H27:Z27)*H27:Z27) /
         SUMPRODUCT(($H$9:$Z$9="CO3")*ISNUMBER($H$10:$Z$10)*ISNUMBER(H27:Z27)*$H$10:$Z$10) * 0.85
       )
     ) * 100,
     ""
   )
)</f>
        <v/>
      </c>
      <c r="AD27" s="1" cm="1">
        <f t="array" ref="AD27">IF(
   SUMPRODUCT(($C$9:$G$9="CO4")*ISNUMBER($C$10:$G$10)*ISNUMBER(C27:G27)) +
   SUMPRODUCT(($H$9:$Z$9="CO4")*ISNUMBER($H$10:$Z$10)*ISNUMBER(H27:Z27)) = 0,
   "",
   IFERROR(
     (
       IF(
         SUMPRODUCT(($C$9:$G$9="CO4")*ISNUMBER($C$10:$G$10)*ISNUMBER(C27:G27)) = 0,
         0,
         SUMPRODUCT(($C$9:$G$9="CO4")*ISNUMBER($C$10:$G$10)*ISNUMBER(C27:G27)*C27:G27) /
         SUMPRODUCT(($C$9:$G$9="CO4")*ISNUMBER($C$10:$G$10)*ISNUMBER(C27:G27)*$C$10:$G$10) * 0.15
       ) +
       IF(
         SUMPRODUCT(($H$9:$Z$9="CO4")*ISNUMBER($H$10:$Z$10)*ISNUMBER(H27:Z27)) = 0,
         0,
         SUMPRODUCT(($H$9:$Z$9="CO4")*ISNUMBER($H$10:$Z$10)*ISNUMBER(H27:Z27)*H27:Z27) /
         SUMPRODUCT(($H$9:$Z$9="CO4")*ISNUMBER($H$10:$Z$10)*ISNUMBER(H27:Z27)*$H$10:$Z$10) * 0.85
       )
     ) * 100,
     ""
   )
)</f>
        <v>14.166666666666666</v>
      </c>
      <c r="AE27" s="1" t="str" cm="1">
        <f t="array" ref="AE27">IF(
   SUMPRODUCT(($C$9:$G$9="CO5")*ISNUMBER($C$10:$G$10)*ISNUMBER(C27:G27)) +
   SUMPRODUCT(($H$9:$Z$9="CO5")*ISNUMBER($H$10:$Z$10)*ISNUMBER(H27:Z27)) = 0,
   "",
   IFERROR(
     (
       IF(
         SUMPRODUCT(($C$9:$G$9="CO5")*ISNUMBER($C$10:$G$10)*ISNUMBER(C27:G27)) = 0,
         0,
         SUMPRODUCT(($C$9:$G$9="CO5")*ISNUMBER($C$10:$G$10)*ISNUMBER(C27:G27)*C27:G27) /
         SUMPRODUCT(($C$9:$G$9="CO5")*ISNUMBER($C$10:$G$10)*ISNUMBER(C27:G27)*$C$10:$G$10) * 0.15
       ) +
       IF(
         SUMPRODUCT(($H$9:$Z$9="CO5")*ISNUMBER($H$10:$Z$10)*ISNUMBER(H27:Z27)) = 0,
         0,
         SUMPRODUCT(($H$9:$Z$9="CO5")*ISNUMBER($H$10:$Z$10)*ISNUMBER(H27:Z27)*H27:Z27) /
         SUMPRODUCT(($H$9:$Z$9="CO5")*ISNUMBER($H$10:$Z$10)*ISNUMBER(H27:Z27)*$H$10:$Z$10) * 0.85
       )
     ) * 100,
     ""
   )
)</f>
        <v/>
      </c>
      <c r="AF27" s="1" t="str" cm="1">
        <f t="array" ref="AF27">IF(
   SUMPRODUCT(($C$9:$G$9="CO6")*ISNUMBER($C$10:$G$10)*ISNUMBER(C27:G27)) +
   SUMPRODUCT(($H$9:$Z$9="CO6")*ISNUMBER($H$10:$Z$10)*ISNUMBER(H27:Z27)) = 0,
   "",
   IFERROR(
     (
       IF(
         SUMPRODUCT(($C$9:$G$9="CO6")*ISNUMBER($C$10:$G$10)*ISNUMBER(C27:G27)) = 0,
         0,
         SUMPRODUCT(($C$9:$G$9="CO6")*ISNUMBER($C$10:$G$10)*ISNUMBER(C27:G27)*C27:G27) /
         SUMPRODUCT(($C$9:$G$9="CO6")*ISNUMBER($C$10:$G$10)*ISNUMBER(C27:G27)*$C$10:$G$10) * 0.15
       ) +
       IF(
         SUMPRODUCT(($H$9:$Z$9="CO6")*ISNUMBER($H$10:$Z$10)*ISNUMBER(H27:Z27)) = 0,
         0,
         SUMPRODUCT(($H$9:$Z$9="CO6")*ISNUMBER($H$10:$Z$10)*ISNUMBER(H27:Z27)*H27:Z27) /
         SUMPRODUCT(($H$9:$Z$9="CO6")*ISNUMBER($H$10:$Z$10)*ISNUMBER(H27:Z27)*$H$10:$Z$10) * 0.85
       )
     ) * 100,
     ""
   )
)</f>
        <v/>
      </c>
      <c r="AG27" s="1" t="str" cm="1">
        <f t="array" ref="AG27">IF(
   SUMPRODUCT(($C$9:$G$9="CO7")*ISNUMBER($C$10:$G$10)*ISNUMBER(C27:G27)) +
   SUMPRODUCT(($H$9:$Z$9="CO7")*ISNUMBER($H$10:$Z$10)*ISNUMBER(H27:Z27)) = 0,
   "",
   IFERROR(
     (
       IF(
         SUMPRODUCT(($C$9:$G$9="CO7")*ISNUMBER($C$10:$G$10)*ISNUMBER(C27:G27)) = 0,
         0,
         SUMPRODUCT(($C$9:$G$9="CO7")*ISNUMBER($C$10:$G$10)*ISNUMBER(C27:G27)*C27:G27) /
         SUMPRODUCT(($C$9:$G$9="CO7")*ISNUMBER($C$10:$G$10)*ISNUMBER(C27:G27)*$C$10:$G$10) * 0.15
       ) +
       IF(
         SUMPRODUCT(($H$9:$Z$9="CO7")*ISNUMBER($H$10:$Z$10)*ISNUMBER(H27:Z27)) = 0,
         0,
         SUMPRODUCT(($H$9:$Z$9="CO7")*ISNUMBER($H$10:$Z$10)*ISNUMBER(H27:Z27)*H27:Z27) /
         SUMPRODUCT(($H$9:$Z$9="CO7")*ISNUMBER($H$10:$Z$10)*ISNUMBER(H27:Z27)*$H$10:$Z$10) * 0.85
       )
     ) * 100,
     ""
   )
)</f>
        <v/>
      </c>
      <c r="AH27" s="3" t="str" cm="1">
        <f t="array" ref="AH27">IF(
   SUMPRODUCT(($C$9:$G$9="CO8")*ISNUMBER($C$10:$G$10)*ISNUMBER(C27:G27)) +
   SUMPRODUCT(($H$9:$Z$9="CO8")*ISNUMBER($H$10:$Z$10)*ISNUMBER(H27:Z27)) = 0,
   "",
   IFERROR(
     (
       IF(
         SUMPRODUCT(($C$9:$G$9="CO8")*ISNUMBER($C$10:$G$10)*ISNUMBER(C27:G27)) = 0,
         0,
         SUMPRODUCT(($C$9:$G$9="CO8")*ISNUMBER($C$10:$G$10)*ISNUMBER(C27:G27)*C27:G27) /
         SUMPRODUCT(($C$9:$G$9="CO8")*ISNUMBER($C$10:$G$10)*ISNUMBER(C27:G27)*$C$10:$G$10) * 0.15
       ) +
       IF(
         SUMPRODUCT(($H$9:$Z$9="CO8")*ISNUMBER($H$10:$Z$10)*ISNUMBER(H27:Z27)) = 0,
         0,
         SUMPRODUCT(($H$9:$Z$9="CO8")*ISNUMBER($H$10:$Z$10)*ISNUMBER(H27:Z27)*H27:Z27) /
         SUMPRODUCT(($H$9:$Z$9="CO8")*ISNUMBER($H$10:$Z$10)*ISNUMBER(H27:Z27)*$H$10:$Z$10) * 0.85
       )
     ) * 100,
     ""
   )
)</f>
        <v/>
      </c>
      <c r="AI27" s="1" t="str">
        <f t="shared" si="1"/>
        <v/>
      </c>
      <c r="AJ27" s="1" t="str">
        <f t="shared" si="2"/>
        <v/>
      </c>
      <c r="AK27" s="1" t="str">
        <f t="shared" si="3"/>
        <v/>
      </c>
      <c r="AL27" s="1" t="str">
        <f t="shared" si="4"/>
        <v>F</v>
      </c>
      <c r="AM27" s="1" t="str">
        <f t="shared" si="0"/>
        <v/>
      </c>
      <c r="AN27" s="1" t="str">
        <f t="shared" si="0"/>
        <v/>
      </c>
      <c r="AO27" s="1" t="str">
        <f t="shared" si="0"/>
        <v/>
      </c>
      <c r="AP27" s="1" t="str">
        <f t="shared" si="0"/>
        <v/>
      </c>
      <c r="AR27" s="30"/>
    </row>
    <row r="28" spans="1:53" ht="16.2" thickBot="1" x14ac:dyDescent="0.35">
      <c r="A28" s="57">
        <v>2508017</v>
      </c>
      <c r="B28" s="58" t="s">
        <v>125</v>
      </c>
      <c r="C28" s="77">
        <v>2</v>
      </c>
      <c r="D28" s="82">
        <v>5</v>
      </c>
      <c r="E28" s="88">
        <v>3.5</v>
      </c>
      <c r="F28" s="89">
        <v>5</v>
      </c>
      <c r="G28" s="89">
        <v>3</v>
      </c>
      <c r="H28" s="14">
        <v>0</v>
      </c>
      <c r="I28" s="14">
        <v>1</v>
      </c>
      <c r="J28" s="14">
        <v>0</v>
      </c>
      <c r="K28" s="14">
        <v>1</v>
      </c>
      <c r="L28" s="14">
        <v>0</v>
      </c>
      <c r="M28" s="14">
        <v>1</v>
      </c>
      <c r="N28" s="14">
        <v>1</v>
      </c>
      <c r="O28" s="14">
        <v>0</v>
      </c>
      <c r="P28" s="14">
        <v>2</v>
      </c>
      <c r="Q28" s="14">
        <v>0</v>
      </c>
      <c r="R28" s="14">
        <v>1</v>
      </c>
      <c r="S28" s="14">
        <v>0</v>
      </c>
      <c r="T28" s="14">
        <v>1</v>
      </c>
      <c r="U28" s="14">
        <v>0</v>
      </c>
      <c r="V28" s="14">
        <v>1</v>
      </c>
      <c r="W28" s="14">
        <v>0</v>
      </c>
      <c r="X28" s="98">
        <v>20</v>
      </c>
      <c r="Y28" s="99">
        <v>8</v>
      </c>
      <c r="Z28" s="89">
        <v>6</v>
      </c>
      <c r="AA28" s="1" cm="1">
        <f t="array" ref="AA28">IF(
   SUMPRODUCT(($C$9:$G$9="CO1")*ISNUMBER($C$10:$G$10)*ISNUMBER(C28:G28)) +
   SUMPRODUCT(($H$9:$Z$9="CO1")*ISNUMBER($H$10:$Z$10)*ISNUMBER(H28:Z28)) = 0,
   "",
   IFERROR(
     (
       IF(
         SUMPRODUCT(($C$9:$G$9="CO1")*ISNUMBER($C$10:$G$10)*ISNUMBER(C28:G28)) = 0,
         0,
         SUMPRODUCT(($C$9:$G$9="CO1")*ISNUMBER($C$10:$G$10)*ISNUMBER(C28:G28)*C28:G28) /
         SUMPRODUCT(($C$9:$G$9="CO1")*ISNUMBER($C$10:$G$10)*ISNUMBER(C28:G28)*$C$10:$G$10) * 0.15
       ) +
       IF(
         SUMPRODUCT(($H$9:$Z$9="CO1")*ISNUMBER($H$10:$Z$10)*ISNUMBER(H28:Z28)) = 0,
         0,
         SUMPRODUCT(($H$9:$Z$9="CO1")*ISNUMBER($H$10:$Z$10)*ISNUMBER(H28:Z28)*H28:Z28) /
         SUMPRODUCT(($H$9:$Z$9="CO1")*ISNUMBER($H$10:$Z$10)*ISNUMBER(H28:Z28)*$H$10:$Z$10) * 0.85
       )
     ) * 100,
     ""
   )
)</f>
        <v>53.222222222222214</v>
      </c>
      <c r="AB28" s="1" cm="1">
        <f t="array" ref="AB28">IF(
   SUMPRODUCT(($C$9:$G$9="CO2")*ISNUMBER($C$10:$G$10)*ISNUMBER(C28:G28)) +
   SUMPRODUCT(($H$9:$Z$9="CO2")*ISNUMBER($H$10:$Z$10)*ISNUMBER(H28:Z28)) = 0,
   "",
   IFERROR(
     (
       IF(
         SUMPRODUCT(($C$9:$G$9="CO2")*ISNUMBER($C$10:$G$10)*ISNUMBER(C28:G28)) = 0,
         0,
         SUMPRODUCT(($C$9:$G$9="CO2")*ISNUMBER($C$10:$G$10)*ISNUMBER(C28:G28)*C28:G28) /
         SUMPRODUCT(($C$9:$G$9="CO2")*ISNUMBER($C$10:$G$10)*ISNUMBER(C28:G28)*$C$10:$G$10) * 0.15
       ) +
       IF(
         SUMPRODUCT(($H$9:$Z$9="CO2")*ISNUMBER($H$10:$Z$10)*ISNUMBER(H28:Z28)) = 0,
         0,
         SUMPRODUCT(($H$9:$Z$9="CO2")*ISNUMBER($H$10:$Z$10)*ISNUMBER(H28:Z28)*H28:Z28) /
         SUMPRODUCT(($H$9:$Z$9="CO2")*ISNUMBER($H$10:$Z$10)*ISNUMBER(H28:Z28)*$H$10:$Z$10) * 0.85
       )
     ) * 100,
     ""
   )
)</f>
        <v>71.1875</v>
      </c>
      <c r="AC28" s="1" cm="1">
        <f t="array" ref="AC28">IF(
   SUMPRODUCT(($C$9:$G$9="CO3")*ISNUMBER($C$10:$G$10)*ISNUMBER(C28:G28)) +
   SUMPRODUCT(($H$9:$Z$9="CO3")*ISNUMBER($H$10:$Z$10)*ISNUMBER(H28:Z28)) = 0,
   "",
   IFERROR(
     (
       IF(
         SUMPRODUCT(($C$9:$G$9="CO3")*ISNUMBER($C$10:$G$10)*ISNUMBER(C28:G28)) = 0,
         0,
         SUMPRODUCT(($C$9:$G$9="CO3")*ISNUMBER($C$10:$G$10)*ISNUMBER(C28:G28)*C28:G28) /
         SUMPRODUCT(($C$9:$G$9="CO3")*ISNUMBER($C$10:$G$10)*ISNUMBER(C28:G28)*$C$10:$G$10) * 0.15
       ) +
       IF(
         SUMPRODUCT(($H$9:$Z$9="CO3")*ISNUMBER($H$10:$Z$10)*ISNUMBER(H28:Z28)) = 0,
         0,
         SUMPRODUCT(($H$9:$Z$9="CO3")*ISNUMBER($H$10:$Z$10)*ISNUMBER(H28:Z28)*H28:Z28) /
         SUMPRODUCT(($H$9:$Z$9="CO3")*ISNUMBER($H$10:$Z$10)*ISNUMBER(H28:Z28)*$H$10:$Z$10) * 0.85
       )
     ) * 100,
     ""
   )
)</f>
        <v>78.75</v>
      </c>
      <c r="AD28" s="1" cm="1">
        <f t="array" ref="AD28">IF(
   SUMPRODUCT(($C$9:$G$9="CO4")*ISNUMBER($C$10:$G$10)*ISNUMBER(C28:G28)) +
   SUMPRODUCT(($H$9:$Z$9="CO4")*ISNUMBER($H$10:$Z$10)*ISNUMBER(H28:Z28)) = 0,
   "",
   IFERROR(
     (
       IF(
         SUMPRODUCT(($C$9:$G$9="CO4")*ISNUMBER($C$10:$G$10)*ISNUMBER(C28:G28)) = 0,
         0,
         SUMPRODUCT(($C$9:$G$9="CO4")*ISNUMBER($C$10:$G$10)*ISNUMBER(C28:G28)*C28:G28) /
         SUMPRODUCT(($C$9:$G$9="CO4")*ISNUMBER($C$10:$G$10)*ISNUMBER(C28:G28)*$C$10:$G$10) * 0.15
       ) +
       IF(
         SUMPRODUCT(($H$9:$Z$9="CO4")*ISNUMBER($H$10:$Z$10)*ISNUMBER(H28:Z28)) = 0,
         0,
         SUMPRODUCT(($H$9:$Z$9="CO4")*ISNUMBER($H$10:$Z$10)*ISNUMBER(H28:Z28)*H28:Z28) /
         SUMPRODUCT(($H$9:$Z$9="CO4")*ISNUMBER($H$10:$Z$10)*ISNUMBER(H28:Z28)*$H$10:$Z$10) * 0.85
       )
     ) * 100,
     ""
   )
)</f>
        <v>23.166666666666664</v>
      </c>
      <c r="AE28" s="1" t="str" cm="1">
        <f t="array" ref="AE28">IF(
   SUMPRODUCT(($C$9:$G$9="CO5")*ISNUMBER($C$10:$G$10)*ISNUMBER(C28:G28)) +
   SUMPRODUCT(($H$9:$Z$9="CO5")*ISNUMBER($H$10:$Z$10)*ISNUMBER(H28:Z28)) = 0,
   "",
   IFERROR(
     (
       IF(
         SUMPRODUCT(($C$9:$G$9="CO5")*ISNUMBER($C$10:$G$10)*ISNUMBER(C28:G28)) = 0,
         0,
         SUMPRODUCT(($C$9:$G$9="CO5")*ISNUMBER($C$10:$G$10)*ISNUMBER(C28:G28)*C28:G28) /
         SUMPRODUCT(($C$9:$G$9="CO5")*ISNUMBER($C$10:$G$10)*ISNUMBER(C28:G28)*$C$10:$G$10) * 0.15
       ) +
       IF(
         SUMPRODUCT(($H$9:$Z$9="CO5")*ISNUMBER($H$10:$Z$10)*ISNUMBER(H28:Z28)) = 0,
         0,
         SUMPRODUCT(($H$9:$Z$9="CO5")*ISNUMBER($H$10:$Z$10)*ISNUMBER(H28:Z28)*H28:Z28) /
         SUMPRODUCT(($H$9:$Z$9="CO5")*ISNUMBER($H$10:$Z$10)*ISNUMBER(H28:Z28)*$H$10:$Z$10) * 0.85
       )
     ) * 100,
     ""
   )
)</f>
        <v/>
      </c>
      <c r="AF28" s="1" t="str" cm="1">
        <f t="array" ref="AF28">IF(
   SUMPRODUCT(($C$9:$G$9="CO6")*ISNUMBER($C$10:$G$10)*ISNUMBER(C28:G28)) +
   SUMPRODUCT(($H$9:$Z$9="CO6")*ISNUMBER($H$10:$Z$10)*ISNUMBER(H28:Z28)) = 0,
   "",
   IFERROR(
     (
       IF(
         SUMPRODUCT(($C$9:$G$9="CO6")*ISNUMBER($C$10:$G$10)*ISNUMBER(C28:G28)) = 0,
         0,
         SUMPRODUCT(($C$9:$G$9="CO6")*ISNUMBER($C$10:$G$10)*ISNUMBER(C28:G28)*C28:G28) /
         SUMPRODUCT(($C$9:$G$9="CO6")*ISNUMBER($C$10:$G$10)*ISNUMBER(C28:G28)*$C$10:$G$10) * 0.15
       ) +
       IF(
         SUMPRODUCT(($H$9:$Z$9="CO6")*ISNUMBER($H$10:$Z$10)*ISNUMBER(H28:Z28)) = 0,
         0,
         SUMPRODUCT(($H$9:$Z$9="CO6")*ISNUMBER($H$10:$Z$10)*ISNUMBER(H28:Z28)*H28:Z28) /
         SUMPRODUCT(($H$9:$Z$9="CO6")*ISNUMBER($H$10:$Z$10)*ISNUMBER(H28:Z28)*$H$10:$Z$10) * 0.85
       )
     ) * 100,
     ""
   )
)</f>
        <v/>
      </c>
      <c r="AG28" s="1" t="str" cm="1">
        <f t="array" ref="AG28">IF(
   SUMPRODUCT(($C$9:$G$9="CO7")*ISNUMBER($C$10:$G$10)*ISNUMBER(C28:G28)) +
   SUMPRODUCT(($H$9:$Z$9="CO7")*ISNUMBER($H$10:$Z$10)*ISNUMBER(H28:Z28)) = 0,
   "",
   IFERROR(
     (
       IF(
         SUMPRODUCT(($C$9:$G$9="CO7")*ISNUMBER($C$10:$G$10)*ISNUMBER(C28:G28)) = 0,
         0,
         SUMPRODUCT(($C$9:$G$9="CO7")*ISNUMBER($C$10:$G$10)*ISNUMBER(C28:G28)*C28:G28) /
         SUMPRODUCT(($C$9:$G$9="CO7")*ISNUMBER($C$10:$G$10)*ISNUMBER(C28:G28)*$C$10:$G$10) * 0.15
       ) +
       IF(
         SUMPRODUCT(($H$9:$Z$9="CO7")*ISNUMBER($H$10:$Z$10)*ISNUMBER(H28:Z28)) = 0,
         0,
         SUMPRODUCT(($H$9:$Z$9="CO7")*ISNUMBER($H$10:$Z$10)*ISNUMBER(H28:Z28)*H28:Z28) /
         SUMPRODUCT(($H$9:$Z$9="CO7")*ISNUMBER($H$10:$Z$10)*ISNUMBER(H28:Z28)*$H$10:$Z$10) * 0.85
       )
     ) * 100,
     ""
   )
)</f>
        <v/>
      </c>
      <c r="AH28" s="3" t="str" cm="1">
        <f t="array" ref="AH28">IF(
   SUMPRODUCT(($C$9:$G$9="CO8")*ISNUMBER($C$10:$G$10)*ISNUMBER(C28:G28)) +
   SUMPRODUCT(($H$9:$Z$9="CO8")*ISNUMBER($H$10:$Z$10)*ISNUMBER(H28:Z28)) = 0,
   "",
   IFERROR(
     (
       IF(
         SUMPRODUCT(($C$9:$G$9="CO8")*ISNUMBER($C$10:$G$10)*ISNUMBER(C28:G28)) = 0,
         0,
         SUMPRODUCT(($C$9:$G$9="CO8")*ISNUMBER($C$10:$G$10)*ISNUMBER(C28:G28)*C28:G28) /
         SUMPRODUCT(($C$9:$G$9="CO8")*ISNUMBER($C$10:$G$10)*ISNUMBER(C28:G28)*$C$10:$G$10) * 0.15
       ) +
       IF(
         SUMPRODUCT(($H$9:$Z$9="CO8")*ISNUMBER($H$10:$Z$10)*ISNUMBER(H28:Z28)) = 0,
         0,
         SUMPRODUCT(($H$9:$Z$9="CO8")*ISNUMBER($H$10:$Z$10)*ISNUMBER(H28:Z28)*H28:Z28) /
         SUMPRODUCT(($H$9:$Z$9="CO8")*ISNUMBER($H$10:$Z$10)*ISNUMBER(H28:Z28)*$H$10:$Z$10) * 0.85
       )
     ) * 100,
     ""
   )
)</f>
        <v/>
      </c>
      <c r="AI28" s="1" t="str">
        <f t="shared" si="1"/>
        <v>S</v>
      </c>
      <c r="AJ28" s="1" t="str">
        <f t="shared" si="2"/>
        <v>D</v>
      </c>
      <c r="AK28" s="1" t="str">
        <f t="shared" si="3"/>
        <v>D</v>
      </c>
      <c r="AL28" s="1" t="str">
        <f t="shared" si="4"/>
        <v>F</v>
      </c>
      <c r="AM28" s="1" t="str">
        <f t="shared" si="4"/>
        <v/>
      </c>
      <c r="AN28" s="1" t="str">
        <f t="shared" si="4"/>
        <v/>
      </c>
      <c r="AO28" s="1" t="str">
        <f t="shared" si="4"/>
        <v/>
      </c>
      <c r="AP28" s="1" t="str">
        <f t="shared" si="4"/>
        <v/>
      </c>
      <c r="AR28" s="30"/>
    </row>
    <row r="29" spans="1:53" ht="16.2" thickBot="1" x14ac:dyDescent="0.35">
      <c r="A29" s="57">
        <v>2508018</v>
      </c>
      <c r="B29" s="58" t="s">
        <v>126</v>
      </c>
      <c r="C29" s="77">
        <v>1.5</v>
      </c>
      <c r="D29" s="82">
        <v>4</v>
      </c>
      <c r="E29" s="88">
        <v>2.5</v>
      </c>
      <c r="F29" s="89">
        <v>3</v>
      </c>
      <c r="G29" s="89">
        <v>5</v>
      </c>
      <c r="H29" s="14">
        <v>1</v>
      </c>
      <c r="I29" s="14">
        <v>1</v>
      </c>
      <c r="J29" s="14">
        <v>1</v>
      </c>
      <c r="K29" s="14">
        <v>0</v>
      </c>
      <c r="L29" s="14">
        <v>0</v>
      </c>
      <c r="M29" s="14">
        <v>1</v>
      </c>
      <c r="N29" s="14">
        <v>2</v>
      </c>
      <c r="O29" s="14">
        <v>0</v>
      </c>
      <c r="P29" s="14">
        <v>2</v>
      </c>
      <c r="Q29" s="14">
        <v>0</v>
      </c>
      <c r="R29" s="14">
        <v>1</v>
      </c>
      <c r="S29" s="14">
        <v>0</v>
      </c>
      <c r="T29" s="14">
        <v>1</v>
      </c>
      <c r="U29" s="14">
        <v>2</v>
      </c>
      <c r="V29" s="14">
        <v>0</v>
      </c>
      <c r="W29" s="14">
        <v>0</v>
      </c>
      <c r="X29" s="98">
        <v>13</v>
      </c>
      <c r="Y29" s="99">
        <v>8</v>
      </c>
      <c r="Z29" s="89">
        <v>7</v>
      </c>
      <c r="AA29" s="1" cm="1">
        <f t="array" ref="AA29">IF(
   SUMPRODUCT(($C$9:$G$9="CO1")*ISNUMBER($C$10:$G$10)*ISNUMBER(C29:G29)) +
   SUMPRODUCT(($H$9:$Z$9="CO1")*ISNUMBER($H$10:$Z$10)*ISNUMBER(H29:Z29)) = 0,
   "",
   IFERROR(
     (
       IF(
         SUMPRODUCT(($C$9:$G$9="CO1")*ISNUMBER($C$10:$G$10)*ISNUMBER(C29:G29)) = 0,
         0,
         SUMPRODUCT(($C$9:$G$9="CO1")*ISNUMBER($C$10:$G$10)*ISNUMBER(C29:G29)*C29:G29) /
         SUMPRODUCT(($C$9:$G$9="CO1")*ISNUMBER($C$10:$G$10)*ISNUMBER(C29:G29)*$C$10:$G$10) * 0.15
       ) +
       IF(
         SUMPRODUCT(($H$9:$Z$9="CO1")*ISNUMBER($H$10:$Z$10)*ISNUMBER(H29:Z29)) = 0,
         0,
         SUMPRODUCT(($H$9:$Z$9="CO1")*ISNUMBER($H$10:$Z$10)*ISNUMBER(H29:Z29)*H29:Z29) /
         SUMPRODUCT(($H$9:$Z$9="CO1")*ISNUMBER($H$10:$Z$10)*ISNUMBER(H29:Z29)*$H$10:$Z$10) * 0.85
       )
     ) * 100,
     ""
   )
)</f>
        <v>65.888888888888886</v>
      </c>
      <c r="AB29" s="1" cm="1">
        <f t="array" ref="AB29">IF(
   SUMPRODUCT(($C$9:$G$9="CO2")*ISNUMBER($C$10:$G$10)*ISNUMBER(C29:G29)) +
   SUMPRODUCT(($H$9:$Z$9="CO2")*ISNUMBER($H$10:$Z$10)*ISNUMBER(H29:Z29)) = 0,
   "",
   IFERROR(
     (
       IF(
         SUMPRODUCT(($C$9:$G$9="CO2")*ISNUMBER($C$10:$G$10)*ISNUMBER(C29:G29)) = 0,
         0,
         SUMPRODUCT(($C$9:$G$9="CO2")*ISNUMBER($C$10:$G$10)*ISNUMBER(C29:G29)*C29:G29) /
         SUMPRODUCT(($C$9:$G$9="CO2")*ISNUMBER($C$10:$G$10)*ISNUMBER(C29:G29)*$C$10:$G$10) * 0.15
       ) +
       IF(
         SUMPRODUCT(($H$9:$Z$9="CO2")*ISNUMBER($H$10:$Z$10)*ISNUMBER(H29:Z29)) = 0,
         0,
         SUMPRODUCT(($H$9:$Z$9="CO2")*ISNUMBER($H$10:$Z$10)*ISNUMBER(H29:Z29)*H29:Z29) /
         SUMPRODUCT(($H$9:$Z$9="CO2")*ISNUMBER($H$10:$Z$10)*ISNUMBER(H29:Z29)*$H$10:$Z$10) * 0.85
       )
     ) * 100,
     ""
   )
)</f>
        <v>68.1875</v>
      </c>
      <c r="AC29" s="1" cm="1">
        <f t="array" ref="AC29">IF(
   SUMPRODUCT(($C$9:$G$9="CO3")*ISNUMBER($C$10:$G$10)*ISNUMBER(C29:G29)) +
   SUMPRODUCT(($H$9:$Z$9="CO3")*ISNUMBER($H$10:$Z$10)*ISNUMBER(H29:Z29)) = 0,
   "",
   IFERROR(
     (
       IF(
         SUMPRODUCT(($C$9:$G$9="CO3")*ISNUMBER($C$10:$G$10)*ISNUMBER(C29:G29)) = 0,
         0,
         SUMPRODUCT(($C$9:$G$9="CO3")*ISNUMBER($C$10:$G$10)*ISNUMBER(C29:G29)*C29:G29) /
         SUMPRODUCT(($C$9:$G$9="CO3")*ISNUMBER($C$10:$G$10)*ISNUMBER(C29:G29)*$C$10:$G$10) * 0.15
       ) +
       IF(
         SUMPRODUCT(($H$9:$Z$9="CO3")*ISNUMBER($H$10:$Z$10)*ISNUMBER(H29:Z29)) = 0,
         0,
         SUMPRODUCT(($H$9:$Z$9="CO3")*ISNUMBER($H$10:$Z$10)*ISNUMBER(H29:Z29)*H29:Z29) /
         SUMPRODUCT(($H$9:$Z$9="CO3")*ISNUMBER($H$10:$Z$10)*ISNUMBER(H29:Z29)*$H$10:$Z$10) * 0.85
       )
     ) * 100,
     ""
   )
)</f>
        <v>51.5</v>
      </c>
      <c r="AD29" s="1" cm="1">
        <f t="array" ref="AD29">IF(
   SUMPRODUCT(($C$9:$G$9="CO4")*ISNUMBER($C$10:$G$10)*ISNUMBER(C29:G29)) +
   SUMPRODUCT(($H$9:$Z$9="CO4")*ISNUMBER($H$10:$Z$10)*ISNUMBER(H29:Z29)) = 0,
   "",
   IFERROR(
     (
       IF(
         SUMPRODUCT(($C$9:$G$9="CO4")*ISNUMBER($C$10:$G$10)*ISNUMBER(C29:G29)) = 0,
         0,
         SUMPRODUCT(($C$9:$G$9="CO4")*ISNUMBER($C$10:$G$10)*ISNUMBER(C29:G29)*C29:G29) /
         SUMPRODUCT(($C$9:$G$9="CO4")*ISNUMBER($C$10:$G$10)*ISNUMBER(C29:G29)*$C$10:$G$10) * 0.15
       ) +
       IF(
         SUMPRODUCT(($H$9:$Z$9="CO4")*ISNUMBER($H$10:$Z$10)*ISNUMBER(H29:Z29)) = 0,
         0,
         SUMPRODUCT(($H$9:$Z$9="CO4")*ISNUMBER($H$10:$Z$10)*ISNUMBER(H29:Z29)*H29:Z29) /
         SUMPRODUCT(($H$9:$Z$9="CO4")*ISNUMBER($H$10:$Z$10)*ISNUMBER(H29:Z29)*$H$10:$Z$10) * 0.85
       )
     ) * 100,
     ""
   )
)</f>
        <v>43.333333333333336</v>
      </c>
      <c r="AE29" s="1" t="str" cm="1">
        <f t="array" ref="AE29">IF(
   SUMPRODUCT(($C$9:$G$9="CO5")*ISNUMBER($C$10:$G$10)*ISNUMBER(C29:G29)) +
   SUMPRODUCT(($H$9:$Z$9="CO5")*ISNUMBER($H$10:$Z$10)*ISNUMBER(H29:Z29)) = 0,
   "",
   IFERROR(
     (
       IF(
         SUMPRODUCT(($C$9:$G$9="CO5")*ISNUMBER($C$10:$G$10)*ISNUMBER(C29:G29)) = 0,
         0,
         SUMPRODUCT(($C$9:$G$9="CO5")*ISNUMBER($C$10:$G$10)*ISNUMBER(C29:G29)*C29:G29) /
         SUMPRODUCT(($C$9:$G$9="CO5")*ISNUMBER($C$10:$G$10)*ISNUMBER(C29:G29)*$C$10:$G$10) * 0.15
       ) +
       IF(
         SUMPRODUCT(($H$9:$Z$9="CO5")*ISNUMBER($H$10:$Z$10)*ISNUMBER(H29:Z29)) = 0,
         0,
         SUMPRODUCT(($H$9:$Z$9="CO5")*ISNUMBER($H$10:$Z$10)*ISNUMBER(H29:Z29)*H29:Z29) /
         SUMPRODUCT(($H$9:$Z$9="CO5")*ISNUMBER($H$10:$Z$10)*ISNUMBER(H29:Z29)*$H$10:$Z$10) * 0.85
       )
     ) * 100,
     ""
   )
)</f>
        <v/>
      </c>
      <c r="AF29" s="1" t="str" cm="1">
        <f t="array" ref="AF29">IF(
   SUMPRODUCT(($C$9:$G$9="CO6")*ISNUMBER($C$10:$G$10)*ISNUMBER(C29:G29)) +
   SUMPRODUCT(($H$9:$Z$9="CO6")*ISNUMBER($H$10:$Z$10)*ISNUMBER(H29:Z29)) = 0,
   "",
   IFERROR(
     (
       IF(
         SUMPRODUCT(($C$9:$G$9="CO6")*ISNUMBER($C$10:$G$10)*ISNUMBER(C29:G29)) = 0,
         0,
         SUMPRODUCT(($C$9:$G$9="CO6")*ISNUMBER($C$10:$G$10)*ISNUMBER(C29:G29)*C29:G29) /
         SUMPRODUCT(($C$9:$G$9="CO6")*ISNUMBER($C$10:$G$10)*ISNUMBER(C29:G29)*$C$10:$G$10) * 0.15
       ) +
       IF(
         SUMPRODUCT(($H$9:$Z$9="CO6")*ISNUMBER($H$10:$Z$10)*ISNUMBER(H29:Z29)) = 0,
         0,
         SUMPRODUCT(($H$9:$Z$9="CO6")*ISNUMBER($H$10:$Z$10)*ISNUMBER(H29:Z29)*H29:Z29) /
         SUMPRODUCT(($H$9:$Z$9="CO6")*ISNUMBER($H$10:$Z$10)*ISNUMBER(H29:Z29)*$H$10:$Z$10) * 0.85
       )
     ) * 100,
     ""
   )
)</f>
        <v/>
      </c>
      <c r="AG29" s="1" t="str" cm="1">
        <f t="array" ref="AG29">IF(
   SUMPRODUCT(($C$9:$G$9="CO7")*ISNUMBER($C$10:$G$10)*ISNUMBER(C29:G29)) +
   SUMPRODUCT(($H$9:$Z$9="CO7")*ISNUMBER($H$10:$Z$10)*ISNUMBER(H29:Z29)) = 0,
   "",
   IFERROR(
     (
       IF(
         SUMPRODUCT(($C$9:$G$9="CO7")*ISNUMBER($C$10:$G$10)*ISNUMBER(C29:G29)) = 0,
         0,
         SUMPRODUCT(($C$9:$G$9="CO7")*ISNUMBER($C$10:$G$10)*ISNUMBER(C29:G29)*C29:G29) /
         SUMPRODUCT(($C$9:$G$9="CO7")*ISNUMBER($C$10:$G$10)*ISNUMBER(C29:G29)*$C$10:$G$10) * 0.15
       ) +
       IF(
         SUMPRODUCT(($H$9:$Z$9="CO7")*ISNUMBER($H$10:$Z$10)*ISNUMBER(H29:Z29)) = 0,
         0,
         SUMPRODUCT(($H$9:$Z$9="CO7")*ISNUMBER($H$10:$Z$10)*ISNUMBER(H29:Z29)*H29:Z29) /
         SUMPRODUCT(($H$9:$Z$9="CO7")*ISNUMBER($H$10:$Z$10)*ISNUMBER(H29:Z29)*$H$10:$Z$10) * 0.85
       )
     ) * 100,
     ""
   )
)</f>
        <v/>
      </c>
      <c r="AH29" s="3" t="str" cm="1">
        <f t="array" ref="AH29">IF(
   SUMPRODUCT(($C$9:$G$9="CO8")*ISNUMBER($C$10:$G$10)*ISNUMBER(C29:G29)) +
   SUMPRODUCT(($H$9:$Z$9="CO8")*ISNUMBER($H$10:$Z$10)*ISNUMBER(H29:Z29)) = 0,
   "",
   IFERROR(
     (
       IF(
         SUMPRODUCT(($C$9:$G$9="CO8")*ISNUMBER($C$10:$G$10)*ISNUMBER(C29:G29)) = 0,
         0,
         SUMPRODUCT(($C$9:$G$9="CO8")*ISNUMBER($C$10:$G$10)*ISNUMBER(C29:G29)*C29:G29) /
         SUMPRODUCT(($C$9:$G$9="CO8")*ISNUMBER($C$10:$G$10)*ISNUMBER(C29:G29)*$C$10:$G$10) * 0.15
       ) +
       IF(
         SUMPRODUCT(($H$9:$Z$9="CO8")*ISNUMBER($H$10:$Z$10)*ISNUMBER(H29:Z29)) = 0,
         0,
         SUMPRODUCT(($H$9:$Z$9="CO8")*ISNUMBER($H$10:$Z$10)*ISNUMBER(H29:Z29)*H29:Z29) /
         SUMPRODUCT(($H$9:$Z$9="CO8")*ISNUMBER($H$10:$Z$10)*ISNUMBER(H29:Z29)*$H$10:$Z$10) * 0.85
       )
     ) * 100,
     ""
   )
)</f>
        <v/>
      </c>
      <c r="AI29" s="1" t="str">
        <f t="shared" si="1"/>
        <v>First</v>
      </c>
      <c r="AJ29" s="1" t="str">
        <f t="shared" si="2"/>
        <v>First</v>
      </c>
      <c r="AK29" s="1" t="str">
        <f t="shared" si="3"/>
        <v>S</v>
      </c>
      <c r="AL29" s="1" t="str">
        <f t="shared" si="4"/>
        <v>P</v>
      </c>
      <c r="AM29" s="1" t="str">
        <f t="shared" si="4"/>
        <v/>
      </c>
      <c r="AN29" s="1" t="str">
        <f t="shared" si="4"/>
        <v/>
      </c>
      <c r="AO29" s="1" t="str">
        <f t="shared" si="4"/>
        <v/>
      </c>
      <c r="AP29" s="1" t="str">
        <f t="shared" si="4"/>
        <v/>
      </c>
      <c r="AR29" s="30"/>
    </row>
    <row r="30" spans="1:53" ht="16.2" thickBot="1" x14ac:dyDescent="0.35">
      <c r="A30" s="57">
        <v>2508019</v>
      </c>
      <c r="B30" s="58" t="s">
        <v>127</v>
      </c>
      <c r="C30" s="77">
        <v>4</v>
      </c>
      <c r="D30" s="82">
        <v>5</v>
      </c>
      <c r="E30" s="88">
        <v>5</v>
      </c>
      <c r="F30" s="89">
        <v>5</v>
      </c>
      <c r="G30" s="89">
        <v>2</v>
      </c>
      <c r="H30" s="14">
        <v>0</v>
      </c>
      <c r="I30" s="14">
        <v>1</v>
      </c>
      <c r="J30" s="14">
        <v>1</v>
      </c>
      <c r="K30" s="14">
        <v>1</v>
      </c>
      <c r="L30" s="14">
        <v>2</v>
      </c>
      <c r="M30" s="14">
        <v>0</v>
      </c>
      <c r="N30" s="14">
        <v>2</v>
      </c>
      <c r="O30" s="14">
        <v>2</v>
      </c>
      <c r="P30" s="14">
        <v>0</v>
      </c>
      <c r="Q30" s="14">
        <v>0</v>
      </c>
      <c r="R30" s="14">
        <v>2</v>
      </c>
      <c r="S30" s="14">
        <v>0</v>
      </c>
      <c r="T30" s="14">
        <v>1</v>
      </c>
      <c r="U30" s="14">
        <v>2</v>
      </c>
      <c r="V30" s="14">
        <v>0</v>
      </c>
      <c r="W30" s="14">
        <v>0.5</v>
      </c>
      <c r="X30" s="98">
        <v>22</v>
      </c>
      <c r="Y30" s="99">
        <v>8</v>
      </c>
      <c r="Z30" s="89">
        <v>7</v>
      </c>
      <c r="AA30" s="1" cm="1">
        <f t="array" ref="AA30">IF(
   SUMPRODUCT(($C$9:$G$9="CO1")*ISNUMBER($C$10:$G$10)*ISNUMBER(C30:G30)) +
   SUMPRODUCT(($H$9:$Z$9="CO1")*ISNUMBER($H$10:$Z$10)*ISNUMBER(H30:Z30)) = 0,
   "",
   IFERROR(
     (
       IF(
         SUMPRODUCT(($C$9:$G$9="CO1")*ISNUMBER($C$10:$G$10)*ISNUMBER(C30:G30)) = 0,
         0,
         SUMPRODUCT(($C$9:$G$9="CO1")*ISNUMBER($C$10:$G$10)*ISNUMBER(C30:G30)*C30:G30) /
         SUMPRODUCT(($C$9:$G$9="CO1")*ISNUMBER($C$10:$G$10)*ISNUMBER(C30:G30)*$C$10:$G$10) * 0.15
       ) +
       IF(
         SUMPRODUCT(($H$9:$Z$9="CO1")*ISNUMBER($H$10:$Z$10)*ISNUMBER(H30:Z30)) = 0,
         0,
         SUMPRODUCT(($H$9:$Z$9="CO1")*ISNUMBER($H$10:$Z$10)*ISNUMBER(H30:Z30)*H30:Z30) /
         SUMPRODUCT(($H$9:$Z$9="CO1")*ISNUMBER($H$10:$Z$10)*ISNUMBER(H30:Z30)*$H$10:$Z$10) * 0.85
       )
     ) * 100,
     ""
   )
)</f>
        <v>78.111111111111114</v>
      </c>
      <c r="AB30" s="1" cm="1">
        <f t="array" ref="AB30">IF(
   SUMPRODUCT(($C$9:$G$9="CO2")*ISNUMBER($C$10:$G$10)*ISNUMBER(C30:G30)) +
   SUMPRODUCT(($H$9:$Z$9="CO2")*ISNUMBER($H$10:$Z$10)*ISNUMBER(H30:Z30)) = 0,
   "",
   IFERROR(
     (
       IF(
         SUMPRODUCT(($C$9:$G$9="CO2")*ISNUMBER($C$10:$G$10)*ISNUMBER(C30:G30)) = 0,
         0,
         SUMPRODUCT(($C$9:$G$9="CO2")*ISNUMBER($C$10:$G$10)*ISNUMBER(C30:G30)*C30:G30) /
         SUMPRODUCT(($C$9:$G$9="CO2")*ISNUMBER($C$10:$G$10)*ISNUMBER(C30:G30)*$C$10:$G$10) * 0.15
       ) +
       IF(
         SUMPRODUCT(($H$9:$Z$9="CO2")*ISNUMBER($H$10:$Z$10)*ISNUMBER(H30:Z30)) = 0,
         0,
         SUMPRODUCT(($H$9:$Z$9="CO2")*ISNUMBER($H$10:$Z$10)*ISNUMBER(H30:Z30)*H30:Z30) /
         SUMPRODUCT(($H$9:$Z$9="CO2")*ISNUMBER($H$10:$Z$10)*ISNUMBER(H30:Z30)*$H$10:$Z$10) * 0.85
       )
     ) * 100,
     ""
   )
)</f>
        <v>78.75</v>
      </c>
      <c r="AC30" s="1" cm="1">
        <f t="array" ref="AC30">IF(
   SUMPRODUCT(($C$9:$G$9="CO3")*ISNUMBER($C$10:$G$10)*ISNUMBER(C30:G30)) +
   SUMPRODUCT(($H$9:$Z$9="CO3")*ISNUMBER($H$10:$Z$10)*ISNUMBER(H30:Z30)) = 0,
   "",
   IFERROR(
     (
       IF(
         SUMPRODUCT(($C$9:$G$9="CO3")*ISNUMBER($C$10:$G$10)*ISNUMBER(C30:G30)) = 0,
         0,
         SUMPRODUCT(($C$9:$G$9="CO3")*ISNUMBER($C$10:$G$10)*ISNUMBER(C30:G30)*C30:G30) /
         SUMPRODUCT(($C$9:$G$9="CO3")*ISNUMBER($C$10:$G$10)*ISNUMBER(C30:G30)*$C$10:$G$10) * 0.15
       ) +
       IF(
         SUMPRODUCT(($H$9:$Z$9="CO3")*ISNUMBER($H$10:$Z$10)*ISNUMBER(H30:Z30)) = 0,
         0,
         SUMPRODUCT(($H$9:$Z$9="CO3")*ISNUMBER($H$10:$Z$10)*ISNUMBER(H30:Z30)*H30:Z30) /
         SUMPRODUCT(($H$9:$Z$9="CO3")*ISNUMBER($H$10:$Z$10)*ISNUMBER(H30:Z30)*$H$10:$Z$10) * 0.85
       )
     ) * 100,
     ""
   )
)</f>
        <v>84.821428571428569</v>
      </c>
      <c r="AD30" s="1" cm="1">
        <f t="array" ref="AD30">IF(
   SUMPRODUCT(($C$9:$G$9="CO4")*ISNUMBER($C$10:$G$10)*ISNUMBER(C30:G30)) +
   SUMPRODUCT(($H$9:$Z$9="CO4")*ISNUMBER($H$10:$Z$10)*ISNUMBER(H30:Z30)) = 0,
   "",
   IFERROR(
     (
       IF(
         SUMPRODUCT(($C$9:$G$9="CO4")*ISNUMBER($C$10:$G$10)*ISNUMBER(C30:G30)) = 0,
         0,
         SUMPRODUCT(($C$9:$G$9="CO4")*ISNUMBER($C$10:$G$10)*ISNUMBER(C30:G30)*C30:G30) /
         SUMPRODUCT(($C$9:$G$9="CO4")*ISNUMBER($C$10:$G$10)*ISNUMBER(C30:G30)*$C$10:$G$10) * 0.15
       ) +
       IF(
         SUMPRODUCT(($H$9:$Z$9="CO4")*ISNUMBER($H$10:$Z$10)*ISNUMBER(H30:Z30)) = 0,
         0,
         SUMPRODUCT(($H$9:$Z$9="CO4")*ISNUMBER($H$10:$Z$10)*ISNUMBER(H30:Z30)*H30:Z30) /
         SUMPRODUCT(($H$9:$Z$9="CO4")*ISNUMBER($H$10:$Z$10)*ISNUMBER(H30:Z30)*$H$10:$Z$10) * 0.85
       )
     ) * 100,
     ""
   )
)</f>
        <v>41.416666666666671</v>
      </c>
      <c r="AE30" s="1" t="str" cm="1">
        <f t="array" ref="AE30">IF(
   SUMPRODUCT(($C$9:$G$9="CO5")*ISNUMBER($C$10:$G$10)*ISNUMBER(C30:G30)) +
   SUMPRODUCT(($H$9:$Z$9="CO5")*ISNUMBER($H$10:$Z$10)*ISNUMBER(H30:Z30)) = 0,
   "",
   IFERROR(
     (
       IF(
         SUMPRODUCT(($C$9:$G$9="CO5")*ISNUMBER($C$10:$G$10)*ISNUMBER(C30:G30)) = 0,
         0,
         SUMPRODUCT(($C$9:$G$9="CO5")*ISNUMBER($C$10:$G$10)*ISNUMBER(C30:G30)*C30:G30) /
         SUMPRODUCT(($C$9:$G$9="CO5")*ISNUMBER($C$10:$G$10)*ISNUMBER(C30:G30)*$C$10:$G$10) * 0.15
       ) +
       IF(
         SUMPRODUCT(($H$9:$Z$9="CO5")*ISNUMBER($H$10:$Z$10)*ISNUMBER(H30:Z30)) = 0,
         0,
         SUMPRODUCT(($H$9:$Z$9="CO5")*ISNUMBER($H$10:$Z$10)*ISNUMBER(H30:Z30)*H30:Z30) /
         SUMPRODUCT(($H$9:$Z$9="CO5")*ISNUMBER($H$10:$Z$10)*ISNUMBER(H30:Z30)*$H$10:$Z$10) * 0.85
       )
     ) * 100,
     ""
   )
)</f>
        <v/>
      </c>
      <c r="AF30" s="1" t="str" cm="1">
        <f t="array" ref="AF30">IF(
   SUMPRODUCT(($C$9:$G$9="CO6")*ISNUMBER($C$10:$G$10)*ISNUMBER(C30:G30)) +
   SUMPRODUCT(($H$9:$Z$9="CO6")*ISNUMBER($H$10:$Z$10)*ISNUMBER(H30:Z30)) = 0,
   "",
   IFERROR(
     (
       IF(
         SUMPRODUCT(($C$9:$G$9="CO6")*ISNUMBER($C$10:$G$10)*ISNUMBER(C30:G30)) = 0,
         0,
         SUMPRODUCT(($C$9:$G$9="CO6")*ISNUMBER($C$10:$G$10)*ISNUMBER(C30:G30)*C30:G30) /
         SUMPRODUCT(($C$9:$G$9="CO6")*ISNUMBER($C$10:$G$10)*ISNUMBER(C30:G30)*$C$10:$G$10) * 0.15
       ) +
       IF(
         SUMPRODUCT(($H$9:$Z$9="CO6")*ISNUMBER($H$10:$Z$10)*ISNUMBER(H30:Z30)) = 0,
         0,
         SUMPRODUCT(($H$9:$Z$9="CO6")*ISNUMBER($H$10:$Z$10)*ISNUMBER(H30:Z30)*H30:Z30) /
         SUMPRODUCT(($H$9:$Z$9="CO6")*ISNUMBER($H$10:$Z$10)*ISNUMBER(H30:Z30)*$H$10:$Z$10) * 0.85
       )
     ) * 100,
     ""
   )
)</f>
        <v/>
      </c>
      <c r="AG30" s="1" t="str" cm="1">
        <f t="array" ref="AG30">IF(
   SUMPRODUCT(($C$9:$G$9="CO7")*ISNUMBER($C$10:$G$10)*ISNUMBER(C30:G30)) +
   SUMPRODUCT(($H$9:$Z$9="CO7")*ISNUMBER($H$10:$Z$10)*ISNUMBER(H30:Z30)) = 0,
   "",
   IFERROR(
     (
       IF(
         SUMPRODUCT(($C$9:$G$9="CO7")*ISNUMBER($C$10:$G$10)*ISNUMBER(C30:G30)) = 0,
         0,
         SUMPRODUCT(($C$9:$G$9="CO7")*ISNUMBER($C$10:$G$10)*ISNUMBER(C30:G30)*C30:G30) /
         SUMPRODUCT(($C$9:$G$9="CO7")*ISNUMBER($C$10:$G$10)*ISNUMBER(C30:G30)*$C$10:$G$10) * 0.15
       ) +
       IF(
         SUMPRODUCT(($H$9:$Z$9="CO7")*ISNUMBER($H$10:$Z$10)*ISNUMBER(H30:Z30)) = 0,
         0,
         SUMPRODUCT(($H$9:$Z$9="CO7")*ISNUMBER($H$10:$Z$10)*ISNUMBER(H30:Z30)*H30:Z30) /
         SUMPRODUCT(($H$9:$Z$9="CO7")*ISNUMBER($H$10:$Z$10)*ISNUMBER(H30:Z30)*$H$10:$Z$10) * 0.85
       )
     ) * 100,
     ""
   )
)</f>
        <v/>
      </c>
      <c r="AH30" s="3" t="str" cm="1">
        <f t="array" ref="AH30">IF(
   SUMPRODUCT(($C$9:$G$9="CO8")*ISNUMBER($C$10:$G$10)*ISNUMBER(C30:G30)) +
   SUMPRODUCT(($H$9:$Z$9="CO8")*ISNUMBER($H$10:$Z$10)*ISNUMBER(H30:Z30)) = 0,
   "",
   IFERROR(
     (
       IF(
         SUMPRODUCT(($C$9:$G$9="CO8")*ISNUMBER($C$10:$G$10)*ISNUMBER(C30:G30)) = 0,
         0,
         SUMPRODUCT(($C$9:$G$9="CO8")*ISNUMBER($C$10:$G$10)*ISNUMBER(C30:G30)*C30:G30) /
         SUMPRODUCT(($C$9:$G$9="CO8")*ISNUMBER($C$10:$G$10)*ISNUMBER(C30:G30)*$C$10:$G$10) * 0.15
       ) +
       IF(
         SUMPRODUCT(($H$9:$Z$9="CO8")*ISNUMBER($H$10:$Z$10)*ISNUMBER(H30:Z30)) = 0,
         0,
         SUMPRODUCT(($H$9:$Z$9="CO8")*ISNUMBER($H$10:$Z$10)*ISNUMBER(H30:Z30)*H30:Z30) /
         SUMPRODUCT(($H$9:$Z$9="CO8")*ISNUMBER($H$10:$Z$10)*ISNUMBER(H30:Z30)*$H$10:$Z$10) * 0.85
       )
     ) * 100,
     ""
   )
)</f>
        <v/>
      </c>
      <c r="AI30" s="1" t="str">
        <f t="shared" si="1"/>
        <v>D</v>
      </c>
      <c r="AJ30" s="1" t="str">
        <f t="shared" si="2"/>
        <v>D</v>
      </c>
      <c r="AK30" s="1" t="str">
        <f t="shared" si="3"/>
        <v>D</v>
      </c>
      <c r="AL30" s="1" t="str">
        <f t="shared" si="4"/>
        <v>P</v>
      </c>
      <c r="AM30" s="1" t="str">
        <f t="shared" si="4"/>
        <v/>
      </c>
      <c r="AN30" s="1" t="str">
        <f t="shared" si="4"/>
        <v/>
      </c>
      <c r="AO30" s="1" t="str">
        <f t="shared" si="4"/>
        <v/>
      </c>
      <c r="AP30" s="1" t="str">
        <f t="shared" si="4"/>
        <v/>
      </c>
      <c r="AR30" s="30"/>
    </row>
    <row r="31" spans="1:53" ht="16.2" thickBot="1" x14ac:dyDescent="0.35">
      <c r="A31" s="57">
        <v>2508020</v>
      </c>
      <c r="B31" s="59" t="s">
        <v>128</v>
      </c>
      <c r="C31" s="77">
        <v>3</v>
      </c>
      <c r="D31" s="82">
        <v>5</v>
      </c>
      <c r="E31" s="88">
        <v>1</v>
      </c>
      <c r="F31" s="90" t="s">
        <v>180</v>
      </c>
      <c r="G31" s="89">
        <v>2</v>
      </c>
      <c r="H31" s="14">
        <v>0</v>
      </c>
      <c r="I31" s="14">
        <v>1</v>
      </c>
      <c r="J31" s="14">
        <v>1</v>
      </c>
      <c r="K31" s="14">
        <v>1</v>
      </c>
      <c r="L31" s="14">
        <v>0</v>
      </c>
      <c r="M31" s="14">
        <v>1</v>
      </c>
      <c r="N31" s="14">
        <v>1</v>
      </c>
      <c r="O31" s="14">
        <v>0</v>
      </c>
      <c r="P31" s="14">
        <v>1</v>
      </c>
      <c r="Q31" s="14">
        <v>0</v>
      </c>
      <c r="R31" s="14">
        <v>2</v>
      </c>
      <c r="S31" s="14">
        <v>1</v>
      </c>
      <c r="T31" s="14">
        <v>1</v>
      </c>
      <c r="U31" s="14">
        <v>0</v>
      </c>
      <c r="V31" s="14">
        <v>1</v>
      </c>
      <c r="W31" s="14">
        <v>0</v>
      </c>
      <c r="X31" s="98">
        <v>14</v>
      </c>
      <c r="Y31" s="99">
        <v>8</v>
      </c>
      <c r="Z31" s="89">
        <v>5</v>
      </c>
      <c r="AA31" s="1" t="str" cm="1">
        <f t="array" ref="AA31">IF(
   SUMPRODUCT(($C$9:$G$9="CO1")*ISNUMBER($C$10:$G$10)*ISNUMBER(C31:G31)) +
   SUMPRODUCT(($H$9:$Z$9="CO1")*ISNUMBER($H$10:$Z$10)*ISNUMBER(H31:Z31)) = 0,
   "",
   IFERROR(
     (
       IF(
         SUMPRODUCT(($C$9:$G$9="CO1")*ISNUMBER($C$10:$G$10)*ISNUMBER(C31:G31)) = 0,
         0,
         SUMPRODUCT(($C$9:$G$9="CO1")*ISNUMBER($C$10:$G$10)*ISNUMBER(C31:G31)*C31:G31) /
         SUMPRODUCT(($C$9:$G$9="CO1")*ISNUMBER($C$10:$G$10)*ISNUMBER(C31:G31)*$C$10:$G$10) * 0.15
       ) +
       IF(
         SUMPRODUCT(($H$9:$Z$9="CO1")*ISNUMBER($H$10:$Z$10)*ISNUMBER(H31:Z31)) = 0,
         0,
         SUMPRODUCT(($H$9:$Z$9="CO1")*ISNUMBER($H$10:$Z$10)*ISNUMBER(H31:Z31)*H31:Z31) /
         SUMPRODUCT(($H$9:$Z$9="CO1")*ISNUMBER($H$10:$Z$10)*ISNUMBER(H31:Z31)*$H$10:$Z$10) * 0.85
       )
     ) * 100,
     ""
   )
)</f>
        <v/>
      </c>
      <c r="AB31" s="1" t="str" cm="1">
        <f t="array" ref="AB31">IF(
   SUMPRODUCT(($C$9:$G$9="CO2")*ISNUMBER($C$10:$G$10)*ISNUMBER(C31:G31)) +
   SUMPRODUCT(($H$9:$Z$9="CO2")*ISNUMBER($H$10:$Z$10)*ISNUMBER(H31:Z31)) = 0,
   "",
   IFERROR(
     (
       IF(
         SUMPRODUCT(($C$9:$G$9="CO2")*ISNUMBER($C$10:$G$10)*ISNUMBER(C31:G31)) = 0,
         0,
         SUMPRODUCT(($C$9:$G$9="CO2")*ISNUMBER($C$10:$G$10)*ISNUMBER(C31:G31)*C31:G31) /
         SUMPRODUCT(($C$9:$G$9="CO2")*ISNUMBER($C$10:$G$10)*ISNUMBER(C31:G31)*$C$10:$G$10) * 0.15
       ) +
       IF(
         SUMPRODUCT(($H$9:$Z$9="CO2")*ISNUMBER($H$10:$Z$10)*ISNUMBER(H31:Z31)) = 0,
         0,
         SUMPRODUCT(($H$9:$Z$9="CO2")*ISNUMBER($H$10:$Z$10)*ISNUMBER(H31:Z31)*H31:Z31) /
         SUMPRODUCT(($H$9:$Z$9="CO2")*ISNUMBER($H$10:$Z$10)*ISNUMBER(H31:Z31)*$H$10:$Z$10) * 0.85
       )
     ) * 100,
     ""
   )
)</f>
        <v/>
      </c>
      <c r="AC31" s="1" cm="1">
        <f t="array" ref="AC31">IF(
   SUMPRODUCT(($C$9:$G$9="CO3")*ISNUMBER($C$10:$G$10)*ISNUMBER(C31:G31)) +
   SUMPRODUCT(($H$9:$Z$9="CO3")*ISNUMBER($H$10:$Z$10)*ISNUMBER(H31:Z31)) = 0,
   "",
   IFERROR(
     (
       IF(
         SUMPRODUCT(($C$9:$G$9="CO3")*ISNUMBER($C$10:$G$10)*ISNUMBER(C31:G31)) = 0,
         0,
         SUMPRODUCT(($C$9:$G$9="CO3")*ISNUMBER($C$10:$G$10)*ISNUMBER(C31:G31)*C31:G31) /
         SUMPRODUCT(($C$9:$G$9="CO3")*ISNUMBER($C$10:$G$10)*ISNUMBER(C31:G31)*$C$10:$G$10) * 0.15
       ) +
       IF(
         SUMPRODUCT(($H$9:$Z$9="CO3")*ISNUMBER($H$10:$Z$10)*ISNUMBER(H31:Z31)) = 0,
         0,
         SUMPRODUCT(($H$9:$Z$9="CO3")*ISNUMBER($H$10:$Z$10)*ISNUMBER(H31:Z31)*H31:Z31) /
         SUMPRODUCT(($H$9:$Z$9="CO3")*ISNUMBER($H$10:$Z$10)*ISNUMBER(H31:Z31)*$H$10:$Z$10) * 0.85
       )
     ) * 100,
     ""
   )
)</f>
        <v>45.535714285714285</v>
      </c>
      <c r="AD31" s="1" t="str" cm="1">
        <f t="array" ref="AD31">IF(
   SUMPRODUCT(($C$9:$G$9="CO4")*ISNUMBER($C$10:$G$10)*ISNUMBER(C31:G31)) +
   SUMPRODUCT(($H$9:$Z$9="CO4")*ISNUMBER($H$10:$Z$10)*ISNUMBER(H31:Z31)) = 0,
   "",
   IFERROR(
     (
       IF(
         SUMPRODUCT(($C$9:$G$9="CO4")*ISNUMBER($C$10:$G$10)*ISNUMBER(C31:G31)) = 0,
         0,
         SUMPRODUCT(($C$9:$G$9="CO4")*ISNUMBER($C$10:$G$10)*ISNUMBER(C31:G31)*C31:G31) /
         SUMPRODUCT(($C$9:$G$9="CO4")*ISNUMBER($C$10:$G$10)*ISNUMBER(C31:G31)*$C$10:$G$10) * 0.15
       ) +
       IF(
         SUMPRODUCT(($H$9:$Z$9="CO4")*ISNUMBER($H$10:$Z$10)*ISNUMBER(H31:Z31)) = 0,
         0,
         SUMPRODUCT(($H$9:$Z$9="CO4")*ISNUMBER($H$10:$Z$10)*ISNUMBER(H31:Z31)*H31:Z31) /
         SUMPRODUCT(($H$9:$Z$9="CO4")*ISNUMBER($H$10:$Z$10)*ISNUMBER(H31:Z31)*$H$10:$Z$10) * 0.85
       )
     ) * 100,
     ""
   )
)</f>
        <v/>
      </c>
      <c r="AE31" s="1" t="str" cm="1">
        <f t="array" ref="AE31">IF(
   SUMPRODUCT(($C$9:$G$9="CO5")*ISNUMBER($C$10:$G$10)*ISNUMBER(C31:G31)) +
   SUMPRODUCT(($H$9:$Z$9="CO5")*ISNUMBER($H$10:$Z$10)*ISNUMBER(H31:Z31)) = 0,
   "",
   IFERROR(
     (
       IF(
         SUMPRODUCT(($C$9:$G$9="CO5")*ISNUMBER($C$10:$G$10)*ISNUMBER(C31:G31)) = 0,
         0,
         SUMPRODUCT(($C$9:$G$9="CO5")*ISNUMBER($C$10:$G$10)*ISNUMBER(C31:G31)*C31:G31) /
         SUMPRODUCT(($C$9:$G$9="CO5")*ISNUMBER($C$10:$G$10)*ISNUMBER(C31:G31)*$C$10:$G$10) * 0.15
       ) +
       IF(
         SUMPRODUCT(($H$9:$Z$9="CO5")*ISNUMBER($H$10:$Z$10)*ISNUMBER(H31:Z31)) = 0,
         0,
         SUMPRODUCT(($H$9:$Z$9="CO5")*ISNUMBER($H$10:$Z$10)*ISNUMBER(H31:Z31)*H31:Z31) /
         SUMPRODUCT(($H$9:$Z$9="CO5")*ISNUMBER($H$10:$Z$10)*ISNUMBER(H31:Z31)*$H$10:$Z$10) * 0.85
       )
     ) * 100,
     ""
   )
)</f>
        <v/>
      </c>
      <c r="AF31" s="1" t="str" cm="1">
        <f t="array" ref="AF31">IF(
   SUMPRODUCT(($C$9:$G$9="CO6")*ISNUMBER($C$10:$G$10)*ISNUMBER(C31:G31)) +
   SUMPRODUCT(($H$9:$Z$9="CO6")*ISNUMBER($H$10:$Z$10)*ISNUMBER(H31:Z31)) = 0,
   "",
   IFERROR(
     (
       IF(
         SUMPRODUCT(($C$9:$G$9="CO6")*ISNUMBER($C$10:$G$10)*ISNUMBER(C31:G31)) = 0,
         0,
         SUMPRODUCT(($C$9:$G$9="CO6")*ISNUMBER($C$10:$G$10)*ISNUMBER(C31:G31)*C31:G31) /
         SUMPRODUCT(($C$9:$G$9="CO6")*ISNUMBER($C$10:$G$10)*ISNUMBER(C31:G31)*$C$10:$G$10) * 0.15
       ) +
       IF(
         SUMPRODUCT(($H$9:$Z$9="CO6")*ISNUMBER($H$10:$Z$10)*ISNUMBER(H31:Z31)) = 0,
         0,
         SUMPRODUCT(($H$9:$Z$9="CO6")*ISNUMBER($H$10:$Z$10)*ISNUMBER(H31:Z31)*H31:Z31) /
         SUMPRODUCT(($H$9:$Z$9="CO6")*ISNUMBER($H$10:$Z$10)*ISNUMBER(H31:Z31)*$H$10:$Z$10) * 0.85
       )
     ) * 100,
     ""
   )
)</f>
        <v/>
      </c>
      <c r="AG31" s="1" t="str" cm="1">
        <f t="array" ref="AG31">IF(
   SUMPRODUCT(($C$9:$G$9="CO7")*ISNUMBER($C$10:$G$10)*ISNUMBER(C31:G31)) +
   SUMPRODUCT(($H$9:$Z$9="CO7")*ISNUMBER($H$10:$Z$10)*ISNUMBER(H31:Z31)) = 0,
   "",
   IFERROR(
     (
       IF(
         SUMPRODUCT(($C$9:$G$9="CO7")*ISNUMBER($C$10:$G$10)*ISNUMBER(C31:G31)) = 0,
         0,
         SUMPRODUCT(($C$9:$G$9="CO7")*ISNUMBER($C$10:$G$10)*ISNUMBER(C31:G31)*C31:G31) /
         SUMPRODUCT(($C$9:$G$9="CO7")*ISNUMBER($C$10:$G$10)*ISNUMBER(C31:G31)*$C$10:$G$10) * 0.15
       ) +
       IF(
         SUMPRODUCT(($H$9:$Z$9="CO7")*ISNUMBER($H$10:$Z$10)*ISNUMBER(H31:Z31)) = 0,
         0,
         SUMPRODUCT(($H$9:$Z$9="CO7")*ISNUMBER($H$10:$Z$10)*ISNUMBER(H31:Z31)*H31:Z31) /
         SUMPRODUCT(($H$9:$Z$9="CO7")*ISNUMBER($H$10:$Z$10)*ISNUMBER(H31:Z31)*$H$10:$Z$10) * 0.85
       )
     ) * 100,
     ""
   )
)</f>
        <v/>
      </c>
      <c r="AH31" s="3" t="str" cm="1">
        <f t="array" ref="AH31">IF(
   SUMPRODUCT(($C$9:$G$9="CO8")*ISNUMBER($C$10:$G$10)*ISNUMBER(C31:G31)) +
   SUMPRODUCT(($H$9:$Z$9="CO8")*ISNUMBER($H$10:$Z$10)*ISNUMBER(H31:Z31)) = 0,
   "",
   IFERROR(
     (
       IF(
         SUMPRODUCT(($C$9:$G$9="CO8")*ISNUMBER($C$10:$G$10)*ISNUMBER(C31:G31)) = 0,
         0,
         SUMPRODUCT(($C$9:$G$9="CO8")*ISNUMBER($C$10:$G$10)*ISNUMBER(C31:G31)*C31:G31) /
         SUMPRODUCT(($C$9:$G$9="CO8")*ISNUMBER($C$10:$G$10)*ISNUMBER(C31:G31)*$C$10:$G$10) * 0.15
       ) +
       IF(
         SUMPRODUCT(($H$9:$Z$9="CO8")*ISNUMBER($H$10:$Z$10)*ISNUMBER(H31:Z31)) = 0,
         0,
         SUMPRODUCT(($H$9:$Z$9="CO8")*ISNUMBER($H$10:$Z$10)*ISNUMBER(H31:Z31)*H31:Z31) /
         SUMPRODUCT(($H$9:$Z$9="CO8")*ISNUMBER($H$10:$Z$10)*ISNUMBER(H31:Z31)*$H$10:$Z$10) * 0.85
       )
     ) * 100,
     ""
   )
)</f>
        <v/>
      </c>
      <c r="AI31" s="1" t="str">
        <f t="shared" si="1"/>
        <v/>
      </c>
      <c r="AJ31" s="1" t="str">
        <f t="shared" si="2"/>
        <v/>
      </c>
      <c r="AK31" s="1" t="str">
        <f t="shared" si="3"/>
        <v>P</v>
      </c>
      <c r="AL31" s="1" t="str">
        <f t="shared" si="4"/>
        <v/>
      </c>
      <c r="AM31" s="1" t="str">
        <f t="shared" si="4"/>
        <v/>
      </c>
      <c r="AN31" s="1" t="str">
        <f t="shared" si="4"/>
        <v/>
      </c>
      <c r="AO31" s="1" t="str">
        <f t="shared" si="4"/>
        <v/>
      </c>
      <c r="AP31" s="1" t="str">
        <f t="shared" si="4"/>
        <v/>
      </c>
      <c r="AR31" s="30"/>
    </row>
    <row r="32" spans="1:53" ht="16.2" thickBot="1" x14ac:dyDescent="0.35">
      <c r="A32" s="57">
        <v>2508021</v>
      </c>
      <c r="B32" s="58" t="s">
        <v>129</v>
      </c>
      <c r="C32" s="77">
        <v>3</v>
      </c>
      <c r="D32" s="82">
        <v>5</v>
      </c>
      <c r="E32" s="88">
        <v>2.5</v>
      </c>
      <c r="F32" s="89">
        <v>3</v>
      </c>
      <c r="G32" s="89">
        <v>3</v>
      </c>
      <c r="H32" s="14">
        <v>0</v>
      </c>
      <c r="I32" s="14">
        <v>1</v>
      </c>
      <c r="J32" s="14">
        <v>0</v>
      </c>
      <c r="K32" s="14">
        <v>1</v>
      </c>
      <c r="L32" s="14">
        <v>2</v>
      </c>
      <c r="M32" s="14">
        <v>2</v>
      </c>
      <c r="N32" s="14">
        <v>2</v>
      </c>
      <c r="O32" s="14">
        <v>0</v>
      </c>
      <c r="P32" s="14">
        <v>2</v>
      </c>
      <c r="Q32" s="14">
        <v>0</v>
      </c>
      <c r="R32" s="14">
        <v>1</v>
      </c>
      <c r="S32" s="14">
        <v>0</v>
      </c>
      <c r="T32" s="14">
        <v>2</v>
      </c>
      <c r="U32" s="14">
        <v>2</v>
      </c>
      <c r="V32" s="14">
        <v>0</v>
      </c>
      <c r="W32" s="14">
        <v>2</v>
      </c>
      <c r="X32" s="98">
        <v>22</v>
      </c>
      <c r="Y32" s="99">
        <v>8</v>
      </c>
      <c r="Z32" s="89">
        <v>4</v>
      </c>
      <c r="AA32" s="1" cm="1">
        <f t="array" ref="AA32">IF(
   SUMPRODUCT(($C$9:$G$9="CO1")*ISNUMBER($C$10:$G$10)*ISNUMBER(C32:G32)) +
   SUMPRODUCT(($H$9:$Z$9="CO1")*ISNUMBER($H$10:$Z$10)*ISNUMBER(H32:Z32)) = 0,
   "",
   IFERROR(
     (
       IF(
         SUMPRODUCT(($C$9:$G$9="CO1")*ISNUMBER($C$10:$G$10)*ISNUMBER(C32:G32)) = 0,
         0,
         SUMPRODUCT(($C$9:$G$9="CO1")*ISNUMBER($C$10:$G$10)*ISNUMBER(C32:G32)*C32:G32) /
         SUMPRODUCT(($C$9:$G$9="CO1")*ISNUMBER($C$10:$G$10)*ISNUMBER(C32:G32)*$C$10:$G$10) * 0.15
       ) +
       IF(
         SUMPRODUCT(($H$9:$Z$9="CO1")*ISNUMBER($H$10:$Z$10)*ISNUMBER(H32:Z32)) = 0,
         0,
         SUMPRODUCT(($H$9:$Z$9="CO1")*ISNUMBER($H$10:$Z$10)*ISNUMBER(H32:Z32)*H32:Z32) /
         SUMPRODUCT(($H$9:$Z$9="CO1")*ISNUMBER($H$10:$Z$10)*ISNUMBER(H32:Z32)*$H$10:$Z$10) * 0.85
       )
     ) * 100,
     ""
   )
)</f>
        <v>65.666666666666657</v>
      </c>
      <c r="AB32" s="1" cm="1">
        <f t="array" ref="AB32">IF(
   SUMPRODUCT(($C$9:$G$9="CO2")*ISNUMBER($C$10:$G$10)*ISNUMBER(C32:G32)) +
   SUMPRODUCT(($H$9:$Z$9="CO2")*ISNUMBER($H$10:$Z$10)*ISNUMBER(H32:Z32)) = 0,
   "",
   IFERROR(
     (
       IF(
         SUMPRODUCT(($C$9:$G$9="CO2")*ISNUMBER($C$10:$G$10)*ISNUMBER(C32:G32)) = 0,
         0,
         SUMPRODUCT(($C$9:$G$9="CO2")*ISNUMBER($C$10:$G$10)*ISNUMBER(C32:G32)*C32:G32) /
         SUMPRODUCT(($C$9:$G$9="CO2")*ISNUMBER($C$10:$G$10)*ISNUMBER(C32:G32)*$C$10:$G$10) * 0.15
       ) +
       IF(
         SUMPRODUCT(($H$9:$Z$9="CO2")*ISNUMBER($H$10:$Z$10)*ISNUMBER(H32:Z32)) = 0,
         0,
         SUMPRODUCT(($H$9:$Z$9="CO2")*ISNUMBER($H$10:$Z$10)*ISNUMBER(H32:Z32)*H32:Z32) /
         SUMPRODUCT(($H$9:$Z$9="CO2")*ISNUMBER($H$10:$Z$10)*ISNUMBER(H32:Z32)*$H$10:$Z$10) * 0.85
       )
     ) * 100,
     ""
   )
)</f>
        <v>69.687499999999986</v>
      </c>
      <c r="AC32" s="1" cm="1">
        <f t="array" ref="AC32">IF(
   SUMPRODUCT(($C$9:$G$9="CO3")*ISNUMBER($C$10:$G$10)*ISNUMBER(C32:G32)) +
   SUMPRODUCT(($H$9:$Z$9="CO3")*ISNUMBER($H$10:$Z$10)*ISNUMBER(H32:Z32)) = 0,
   "",
   IFERROR(
     (
       IF(
         SUMPRODUCT(($C$9:$G$9="CO3")*ISNUMBER($C$10:$G$10)*ISNUMBER(C32:G32)) = 0,
         0,
         SUMPRODUCT(($C$9:$G$9="CO3")*ISNUMBER($C$10:$G$10)*ISNUMBER(C32:G32)*C32:G32) /
         SUMPRODUCT(($C$9:$G$9="CO3")*ISNUMBER($C$10:$G$10)*ISNUMBER(C32:G32)*$C$10:$G$10) * 0.15
       ) +
       IF(
         SUMPRODUCT(($H$9:$Z$9="CO3")*ISNUMBER($H$10:$Z$10)*ISNUMBER(H32:Z32)) = 0,
         0,
         SUMPRODUCT(($H$9:$Z$9="CO3")*ISNUMBER($H$10:$Z$10)*ISNUMBER(H32:Z32)*H32:Z32) /
         SUMPRODUCT(($H$9:$Z$9="CO3")*ISNUMBER($H$10:$Z$10)*ISNUMBER(H32:Z32)*$H$10:$Z$10) * 0.85
       )
     ) * 100,
     ""
   )
)</f>
        <v>81.857142857142847</v>
      </c>
      <c r="AD32" s="1" cm="1">
        <f t="array" ref="AD32">IF(
   SUMPRODUCT(($C$9:$G$9="CO4")*ISNUMBER($C$10:$G$10)*ISNUMBER(C32:G32)) +
   SUMPRODUCT(($H$9:$Z$9="CO4")*ISNUMBER($H$10:$Z$10)*ISNUMBER(H32:Z32)) = 0,
   "",
   IFERROR(
     (
       IF(
         SUMPRODUCT(($C$9:$G$9="CO4")*ISNUMBER($C$10:$G$10)*ISNUMBER(C32:G32)) = 0,
         0,
         SUMPRODUCT(($C$9:$G$9="CO4")*ISNUMBER($C$10:$G$10)*ISNUMBER(C32:G32)*C32:G32) /
         SUMPRODUCT(($C$9:$G$9="CO4")*ISNUMBER($C$10:$G$10)*ISNUMBER(C32:G32)*$C$10:$G$10) * 0.15
       ) +
       IF(
         SUMPRODUCT(($H$9:$Z$9="CO4")*ISNUMBER($H$10:$Z$10)*ISNUMBER(H32:Z32)) = 0,
         0,
         SUMPRODUCT(($H$9:$Z$9="CO4")*ISNUMBER($H$10:$Z$10)*ISNUMBER(H32:Z32)*H32:Z32) /
         SUMPRODUCT(($H$9:$Z$9="CO4")*ISNUMBER($H$10:$Z$10)*ISNUMBER(H32:Z32)*$H$10:$Z$10) * 0.85
       )
     ) * 100,
     ""
   )
)</f>
        <v>65.666666666666657</v>
      </c>
      <c r="AE32" s="1" t="str" cm="1">
        <f t="array" ref="AE32">IF(
   SUMPRODUCT(($C$9:$G$9="CO5")*ISNUMBER($C$10:$G$10)*ISNUMBER(C32:G32)) +
   SUMPRODUCT(($H$9:$Z$9="CO5")*ISNUMBER($H$10:$Z$10)*ISNUMBER(H32:Z32)) = 0,
   "",
   IFERROR(
     (
       IF(
         SUMPRODUCT(($C$9:$G$9="CO5")*ISNUMBER($C$10:$G$10)*ISNUMBER(C32:G32)) = 0,
         0,
         SUMPRODUCT(($C$9:$G$9="CO5")*ISNUMBER($C$10:$G$10)*ISNUMBER(C32:G32)*C32:G32) /
         SUMPRODUCT(($C$9:$G$9="CO5")*ISNUMBER($C$10:$G$10)*ISNUMBER(C32:G32)*$C$10:$G$10) * 0.15
       ) +
       IF(
         SUMPRODUCT(($H$9:$Z$9="CO5")*ISNUMBER($H$10:$Z$10)*ISNUMBER(H32:Z32)) = 0,
         0,
         SUMPRODUCT(($H$9:$Z$9="CO5")*ISNUMBER($H$10:$Z$10)*ISNUMBER(H32:Z32)*H32:Z32) /
         SUMPRODUCT(($H$9:$Z$9="CO5")*ISNUMBER($H$10:$Z$10)*ISNUMBER(H32:Z32)*$H$10:$Z$10) * 0.85
       )
     ) * 100,
     ""
   )
)</f>
        <v/>
      </c>
      <c r="AF32" s="1" t="str" cm="1">
        <f t="array" ref="AF32">IF(
   SUMPRODUCT(($C$9:$G$9="CO6")*ISNUMBER($C$10:$G$10)*ISNUMBER(C32:G32)) +
   SUMPRODUCT(($H$9:$Z$9="CO6")*ISNUMBER($H$10:$Z$10)*ISNUMBER(H32:Z32)) = 0,
   "",
   IFERROR(
     (
       IF(
         SUMPRODUCT(($C$9:$G$9="CO6")*ISNUMBER($C$10:$G$10)*ISNUMBER(C32:G32)) = 0,
         0,
         SUMPRODUCT(($C$9:$G$9="CO6")*ISNUMBER($C$10:$G$10)*ISNUMBER(C32:G32)*C32:G32) /
         SUMPRODUCT(($C$9:$G$9="CO6")*ISNUMBER($C$10:$G$10)*ISNUMBER(C32:G32)*$C$10:$G$10) * 0.15
       ) +
       IF(
         SUMPRODUCT(($H$9:$Z$9="CO6")*ISNUMBER($H$10:$Z$10)*ISNUMBER(H32:Z32)) = 0,
         0,
         SUMPRODUCT(($H$9:$Z$9="CO6")*ISNUMBER($H$10:$Z$10)*ISNUMBER(H32:Z32)*H32:Z32) /
         SUMPRODUCT(($H$9:$Z$9="CO6")*ISNUMBER($H$10:$Z$10)*ISNUMBER(H32:Z32)*$H$10:$Z$10) * 0.85
       )
     ) * 100,
     ""
   )
)</f>
        <v/>
      </c>
      <c r="AG32" s="1" t="str" cm="1">
        <f t="array" ref="AG32">IF(
   SUMPRODUCT(($C$9:$G$9="CO7")*ISNUMBER($C$10:$G$10)*ISNUMBER(C32:G32)) +
   SUMPRODUCT(($H$9:$Z$9="CO7")*ISNUMBER($H$10:$Z$10)*ISNUMBER(H32:Z32)) = 0,
   "",
   IFERROR(
     (
       IF(
         SUMPRODUCT(($C$9:$G$9="CO7")*ISNUMBER($C$10:$G$10)*ISNUMBER(C32:G32)) = 0,
         0,
         SUMPRODUCT(($C$9:$G$9="CO7")*ISNUMBER($C$10:$G$10)*ISNUMBER(C32:G32)*C32:G32) /
         SUMPRODUCT(($C$9:$G$9="CO7")*ISNUMBER($C$10:$G$10)*ISNUMBER(C32:G32)*$C$10:$G$10) * 0.15
       ) +
       IF(
         SUMPRODUCT(($H$9:$Z$9="CO7")*ISNUMBER($H$10:$Z$10)*ISNUMBER(H32:Z32)) = 0,
         0,
         SUMPRODUCT(($H$9:$Z$9="CO7")*ISNUMBER($H$10:$Z$10)*ISNUMBER(H32:Z32)*H32:Z32) /
         SUMPRODUCT(($H$9:$Z$9="CO7")*ISNUMBER($H$10:$Z$10)*ISNUMBER(H32:Z32)*$H$10:$Z$10) * 0.85
       )
     ) * 100,
     ""
   )
)</f>
        <v/>
      </c>
      <c r="AH32" s="3" t="str" cm="1">
        <f t="array" ref="AH32">IF(
   SUMPRODUCT(($C$9:$G$9="CO8")*ISNUMBER($C$10:$G$10)*ISNUMBER(C32:G32)) +
   SUMPRODUCT(($H$9:$Z$9="CO8")*ISNUMBER($H$10:$Z$10)*ISNUMBER(H32:Z32)) = 0,
   "",
   IFERROR(
     (
       IF(
         SUMPRODUCT(($C$9:$G$9="CO8")*ISNUMBER($C$10:$G$10)*ISNUMBER(C32:G32)) = 0,
         0,
         SUMPRODUCT(($C$9:$G$9="CO8")*ISNUMBER($C$10:$G$10)*ISNUMBER(C32:G32)*C32:G32) /
         SUMPRODUCT(($C$9:$G$9="CO8")*ISNUMBER($C$10:$G$10)*ISNUMBER(C32:G32)*$C$10:$G$10) * 0.15
       ) +
       IF(
         SUMPRODUCT(($H$9:$Z$9="CO8")*ISNUMBER($H$10:$Z$10)*ISNUMBER(H32:Z32)) = 0,
         0,
         SUMPRODUCT(($H$9:$Z$9="CO8")*ISNUMBER($H$10:$Z$10)*ISNUMBER(H32:Z32)*H32:Z32) /
         SUMPRODUCT(($H$9:$Z$9="CO8")*ISNUMBER($H$10:$Z$10)*ISNUMBER(H32:Z32)*$H$10:$Z$10) * 0.85
       )
     ) * 100,
     ""
   )
)</f>
        <v/>
      </c>
      <c r="AI32" s="1" t="str">
        <f t="shared" si="1"/>
        <v>First</v>
      </c>
      <c r="AJ32" s="1" t="str">
        <f t="shared" si="2"/>
        <v>First</v>
      </c>
      <c r="AK32" s="1" t="str">
        <f t="shared" si="3"/>
        <v>D</v>
      </c>
      <c r="AL32" s="1" t="str">
        <f t="shared" si="4"/>
        <v>First</v>
      </c>
      <c r="AM32" s="1" t="str">
        <f t="shared" si="4"/>
        <v/>
      </c>
      <c r="AN32" s="1" t="str">
        <f t="shared" si="4"/>
        <v/>
      </c>
      <c r="AO32" s="1" t="str">
        <f t="shared" si="4"/>
        <v/>
      </c>
      <c r="AP32" s="1" t="str">
        <f t="shared" si="4"/>
        <v/>
      </c>
      <c r="AR32" s="30"/>
    </row>
    <row r="33" spans="1:44" ht="16.2" thickBot="1" x14ac:dyDescent="0.35">
      <c r="A33" s="57">
        <v>2508022</v>
      </c>
      <c r="B33" s="59" t="s">
        <v>130</v>
      </c>
      <c r="C33" s="77">
        <v>2.5</v>
      </c>
      <c r="D33" s="82">
        <v>5</v>
      </c>
      <c r="E33" s="88">
        <v>2.5</v>
      </c>
      <c r="F33" s="89">
        <v>5</v>
      </c>
      <c r="G33" s="89">
        <v>2</v>
      </c>
      <c r="H33" s="14">
        <v>1</v>
      </c>
      <c r="I33" s="14">
        <v>1</v>
      </c>
      <c r="J33" s="14">
        <v>1</v>
      </c>
      <c r="K33" s="14">
        <v>1</v>
      </c>
      <c r="L33" s="14">
        <v>0</v>
      </c>
      <c r="M33" s="14">
        <v>2</v>
      </c>
      <c r="N33" s="14">
        <v>2</v>
      </c>
      <c r="O33" s="14">
        <v>0</v>
      </c>
      <c r="P33" s="14">
        <v>2</v>
      </c>
      <c r="Q33" s="14">
        <v>1</v>
      </c>
      <c r="R33" s="14">
        <v>0</v>
      </c>
      <c r="S33" s="14">
        <v>2</v>
      </c>
      <c r="T33" s="14">
        <v>1</v>
      </c>
      <c r="U33" s="14">
        <v>2</v>
      </c>
      <c r="V33" s="14">
        <v>0</v>
      </c>
      <c r="W33" s="14">
        <v>2</v>
      </c>
      <c r="X33" s="98">
        <v>18</v>
      </c>
      <c r="Y33" s="99">
        <v>8</v>
      </c>
      <c r="Z33" s="89">
        <v>8</v>
      </c>
      <c r="AA33" s="1" cm="1">
        <f t="array" ref="AA33">IF(
   SUMPRODUCT(($C$9:$G$9="CO1")*ISNUMBER($C$10:$G$10)*ISNUMBER(C33:G33)) +
   SUMPRODUCT(($H$9:$Z$9="CO1")*ISNUMBER($H$10:$Z$10)*ISNUMBER(H33:Z33)) = 0,
   "",
   IFERROR(
     (
       IF(
         SUMPRODUCT(($C$9:$G$9="CO1")*ISNUMBER($C$10:$G$10)*ISNUMBER(C33:G33)) = 0,
         0,
         SUMPRODUCT(($C$9:$G$9="CO1")*ISNUMBER($C$10:$G$10)*ISNUMBER(C33:G33)*C33:G33) /
         SUMPRODUCT(($C$9:$G$9="CO1")*ISNUMBER($C$10:$G$10)*ISNUMBER(C33:G33)*$C$10:$G$10) * 0.15
       ) +
       IF(
         SUMPRODUCT(($H$9:$Z$9="CO1")*ISNUMBER($H$10:$Z$10)*ISNUMBER(H33:Z33)) = 0,
         0,
         SUMPRODUCT(($H$9:$Z$9="CO1")*ISNUMBER($H$10:$Z$10)*ISNUMBER(H33:Z33)*H33:Z33) /
         SUMPRODUCT(($H$9:$Z$9="CO1")*ISNUMBER($H$10:$Z$10)*ISNUMBER(H33:Z33)*$H$10:$Z$10) * 0.85
       )
     ) * 100,
     ""
   )
)</f>
        <v>83.055555555555543</v>
      </c>
      <c r="AB33" s="1" cm="1">
        <f t="array" ref="AB33">IF(
   SUMPRODUCT(($C$9:$G$9="CO2")*ISNUMBER($C$10:$G$10)*ISNUMBER(C33:G33)) +
   SUMPRODUCT(($H$9:$Z$9="CO2")*ISNUMBER($H$10:$Z$10)*ISNUMBER(H33:Z33)) = 0,
   "",
   IFERROR(
     (
       IF(
         SUMPRODUCT(($C$9:$G$9="CO2")*ISNUMBER($C$10:$G$10)*ISNUMBER(C33:G33)) = 0,
         0,
         SUMPRODUCT(($C$9:$G$9="CO2")*ISNUMBER($C$10:$G$10)*ISNUMBER(C33:G33)*C33:G33) /
         SUMPRODUCT(($C$9:$G$9="CO2")*ISNUMBER($C$10:$G$10)*ISNUMBER(C33:G33)*$C$10:$G$10) * 0.15
       ) +
       IF(
         SUMPRODUCT(($H$9:$Z$9="CO2")*ISNUMBER($H$10:$Z$10)*ISNUMBER(H33:Z33)) = 0,
         0,
         SUMPRODUCT(($H$9:$Z$9="CO2")*ISNUMBER($H$10:$Z$10)*ISNUMBER(H33:Z33)*H33:Z33) /
         SUMPRODUCT(($H$9:$Z$9="CO2")*ISNUMBER($H$10:$Z$10)*ISNUMBER(H33:Z33)*$H$10:$Z$10) * 0.85
       )
     ) * 100,
     ""
   )
)</f>
        <v>75</v>
      </c>
      <c r="AC33" s="1" cm="1">
        <f t="array" ref="AC33">IF(
   SUMPRODUCT(($C$9:$G$9="CO3")*ISNUMBER($C$10:$G$10)*ISNUMBER(C33:G33)) +
   SUMPRODUCT(($H$9:$Z$9="CO3")*ISNUMBER($H$10:$Z$10)*ISNUMBER(H33:Z33)) = 0,
   "",
   IFERROR(
     (
       IF(
         SUMPRODUCT(($C$9:$G$9="CO3")*ISNUMBER($C$10:$G$10)*ISNUMBER(C33:G33)) = 0,
         0,
         SUMPRODUCT(($C$9:$G$9="CO3")*ISNUMBER($C$10:$G$10)*ISNUMBER(C33:G33)*C33:G33) /
         SUMPRODUCT(($C$9:$G$9="CO3")*ISNUMBER($C$10:$G$10)*ISNUMBER(C33:G33)*$C$10:$G$10) * 0.15
       ) +
       IF(
         SUMPRODUCT(($H$9:$Z$9="CO3")*ISNUMBER($H$10:$Z$10)*ISNUMBER(H33:Z33)) = 0,
         0,
         SUMPRODUCT(($H$9:$Z$9="CO3")*ISNUMBER($H$10:$Z$10)*ISNUMBER(H33:Z33)*H33:Z33) /
         SUMPRODUCT(($H$9:$Z$9="CO3")*ISNUMBER($H$10:$Z$10)*ISNUMBER(H33:Z33)*$H$10:$Z$10) * 0.85
       )
     ) * 100,
     ""
   )
)</f>
        <v>75.714285714285708</v>
      </c>
      <c r="AD33" s="1" cm="1">
        <f t="array" ref="AD33">IF(
   SUMPRODUCT(($C$9:$G$9="CO4")*ISNUMBER($C$10:$G$10)*ISNUMBER(C33:G33)) +
   SUMPRODUCT(($H$9:$Z$9="CO4")*ISNUMBER($H$10:$Z$10)*ISNUMBER(H33:Z33)) = 0,
   "",
   IFERROR(
     (
       IF(
         SUMPRODUCT(($C$9:$G$9="CO4")*ISNUMBER($C$10:$G$10)*ISNUMBER(C33:G33)) = 0,
         0,
         SUMPRODUCT(($C$9:$G$9="CO4")*ISNUMBER($C$10:$G$10)*ISNUMBER(C33:G33)*C33:G33) /
         SUMPRODUCT(($C$9:$G$9="CO4")*ISNUMBER($C$10:$G$10)*ISNUMBER(C33:G33)*$C$10:$G$10) * 0.15
       ) +
       IF(
         SUMPRODUCT(($H$9:$Z$9="CO4")*ISNUMBER($H$10:$Z$10)*ISNUMBER(H33:Z33)) = 0,
         0,
         SUMPRODUCT(($H$9:$Z$9="CO4")*ISNUMBER($H$10:$Z$10)*ISNUMBER(H33:Z33)*H33:Z33) /
         SUMPRODUCT(($H$9:$Z$9="CO4")*ISNUMBER($H$10:$Z$10)*ISNUMBER(H33:Z33)*$H$10:$Z$10) * 0.85
       )
     ) * 100,
     ""
   )
)</f>
        <v>62.666666666666671</v>
      </c>
      <c r="AE33" s="1" t="str" cm="1">
        <f t="array" ref="AE33">IF(
   SUMPRODUCT(($C$9:$G$9="CO5")*ISNUMBER($C$10:$G$10)*ISNUMBER(C33:G33)) +
   SUMPRODUCT(($H$9:$Z$9="CO5")*ISNUMBER($H$10:$Z$10)*ISNUMBER(H33:Z33)) = 0,
   "",
   IFERROR(
     (
       IF(
         SUMPRODUCT(($C$9:$G$9="CO5")*ISNUMBER($C$10:$G$10)*ISNUMBER(C33:G33)) = 0,
         0,
         SUMPRODUCT(($C$9:$G$9="CO5")*ISNUMBER($C$10:$G$10)*ISNUMBER(C33:G33)*C33:G33) /
         SUMPRODUCT(($C$9:$G$9="CO5")*ISNUMBER($C$10:$G$10)*ISNUMBER(C33:G33)*$C$10:$G$10) * 0.15
       ) +
       IF(
         SUMPRODUCT(($H$9:$Z$9="CO5")*ISNUMBER($H$10:$Z$10)*ISNUMBER(H33:Z33)) = 0,
         0,
         SUMPRODUCT(($H$9:$Z$9="CO5")*ISNUMBER($H$10:$Z$10)*ISNUMBER(H33:Z33)*H33:Z33) /
         SUMPRODUCT(($H$9:$Z$9="CO5")*ISNUMBER($H$10:$Z$10)*ISNUMBER(H33:Z33)*$H$10:$Z$10) * 0.85
       )
     ) * 100,
     ""
   )
)</f>
        <v/>
      </c>
      <c r="AF33" s="1" t="str" cm="1">
        <f t="array" ref="AF33">IF(
   SUMPRODUCT(($C$9:$G$9="CO6")*ISNUMBER($C$10:$G$10)*ISNUMBER(C33:G33)) +
   SUMPRODUCT(($H$9:$Z$9="CO6")*ISNUMBER($H$10:$Z$10)*ISNUMBER(H33:Z33)) = 0,
   "",
   IFERROR(
     (
       IF(
         SUMPRODUCT(($C$9:$G$9="CO6")*ISNUMBER($C$10:$G$10)*ISNUMBER(C33:G33)) = 0,
         0,
         SUMPRODUCT(($C$9:$G$9="CO6")*ISNUMBER($C$10:$G$10)*ISNUMBER(C33:G33)*C33:G33) /
         SUMPRODUCT(($C$9:$G$9="CO6")*ISNUMBER($C$10:$G$10)*ISNUMBER(C33:G33)*$C$10:$G$10) * 0.15
       ) +
       IF(
         SUMPRODUCT(($H$9:$Z$9="CO6")*ISNUMBER($H$10:$Z$10)*ISNUMBER(H33:Z33)) = 0,
         0,
         SUMPRODUCT(($H$9:$Z$9="CO6")*ISNUMBER($H$10:$Z$10)*ISNUMBER(H33:Z33)*H33:Z33) /
         SUMPRODUCT(($H$9:$Z$9="CO6")*ISNUMBER($H$10:$Z$10)*ISNUMBER(H33:Z33)*$H$10:$Z$10) * 0.85
       )
     ) * 100,
     ""
   )
)</f>
        <v/>
      </c>
      <c r="AG33" s="1" t="str" cm="1">
        <f t="array" ref="AG33">IF(
   SUMPRODUCT(($C$9:$G$9="CO7")*ISNUMBER($C$10:$G$10)*ISNUMBER(C33:G33)) +
   SUMPRODUCT(($H$9:$Z$9="CO7")*ISNUMBER($H$10:$Z$10)*ISNUMBER(H33:Z33)) = 0,
   "",
   IFERROR(
     (
       IF(
         SUMPRODUCT(($C$9:$G$9="CO7")*ISNUMBER($C$10:$G$10)*ISNUMBER(C33:G33)) = 0,
         0,
         SUMPRODUCT(($C$9:$G$9="CO7")*ISNUMBER($C$10:$G$10)*ISNUMBER(C33:G33)*C33:G33) /
         SUMPRODUCT(($C$9:$G$9="CO7")*ISNUMBER($C$10:$G$10)*ISNUMBER(C33:G33)*$C$10:$G$10) * 0.15
       ) +
       IF(
         SUMPRODUCT(($H$9:$Z$9="CO7")*ISNUMBER($H$10:$Z$10)*ISNUMBER(H33:Z33)) = 0,
         0,
         SUMPRODUCT(($H$9:$Z$9="CO7")*ISNUMBER($H$10:$Z$10)*ISNUMBER(H33:Z33)*H33:Z33) /
         SUMPRODUCT(($H$9:$Z$9="CO7")*ISNUMBER($H$10:$Z$10)*ISNUMBER(H33:Z33)*$H$10:$Z$10) * 0.85
       )
     ) * 100,
     ""
   )
)</f>
        <v/>
      </c>
      <c r="AH33" s="3" t="str" cm="1">
        <f t="array" ref="AH33">IF(
   SUMPRODUCT(($C$9:$G$9="CO8")*ISNUMBER($C$10:$G$10)*ISNUMBER(C33:G33)) +
   SUMPRODUCT(($H$9:$Z$9="CO8")*ISNUMBER($H$10:$Z$10)*ISNUMBER(H33:Z33)) = 0,
   "",
   IFERROR(
     (
       IF(
         SUMPRODUCT(($C$9:$G$9="CO8")*ISNUMBER($C$10:$G$10)*ISNUMBER(C33:G33)) = 0,
         0,
         SUMPRODUCT(($C$9:$G$9="CO8")*ISNUMBER($C$10:$G$10)*ISNUMBER(C33:G33)*C33:G33) /
         SUMPRODUCT(($C$9:$G$9="CO8")*ISNUMBER($C$10:$G$10)*ISNUMBER(C33:G33)*$C$10:$G$10) * 0.15
       ) +
       IF(
         SUMPRODUCT(($H$9:$Z$9="CO8")*ISNUMBER($H$10:$Z$10)*ISNUMBER(H33:Z33)) = 0,
         0,
         SUMPRODUCT(($H$9:$Z$9="CO8")*ISNUMBER($H$10:$Z$10)*ISNUMBER(H33:Z33)*H33:Z33) /
         SUMPRODUCT(($H$9:$Z$9="CO8")*ISNUMBER($H$10:$Z$10)*ISNUMBER(H33:Z33)*$H$10:$Z$10) * 0.85
       )
     ) * 100,
     ""
   )
)</f>
        <v/>
      </c>
      <c r="AI33" s="1" t="str">
        <f t="shared" si="1"/>
        <v>D</v>
      </c>
      <c r="AJ33" s="1" t="str">
        <f t="shared" si="2"/>
        <v>D</v>
      </c>
      <c r="AK33" s="1" t="str">
        <f t="shared" si="3"/>
        <v>D</v>
      </c>
      <c r="AL33" s="1" t="str">
        <f t="shared" si="4"/>
        <v>First</v>
      </c>
      <c r="AM33" s="1" t="str">
        <f t="shared" si="4"/>
        <v/>
      </c>
      <c r="AN33" s="1" t="str">
        <f t="shared" si="4"/>
        <v/>
      </c>
      <c r="AO33" s="1" t="str">
        <f t="shared" si="4"/>
        <v/>
      </c>
      <c r="AP33" s="1" t="str">
        <f t="shared" si="4"/>
        <v/>
      </c>
      <c r="AR33" s="30"/>
    </row>
    <row r="34" spans="1:44" ht="16.2" thickBot="1" x14ac:dyDescent="0.35">
      <c r="A34" s="57">
        <v>2508023</v>
      </c>
      <c r="B34" s="59" t="s">
        <v>131</v>
      </c>
      <c r="C34" s="77">
        <v>5</v>
      </c>
      <c r="D34" s="82">
        <v>3</v>
      </c>
      <c r="E34" s="88">
        <v>3.5</v>
      </c>
      <c r="F34" s="89">
        <v>5</v>
      </c>
      <c r="G34" s="89">
        <v>2</v>
      </c>
      <c r="H34" s="14">
        <v>1</v>
      </c>
      <c r="I34" s="14">
        <v>1</v>
      </c>
      <c r="J34" s="14">
        <v>1</v>
      </c>
      <c r="K34" s="14">
        <v>1</v>
      </c>
      <c r="L34" s="14">
        <v>1</v>
      </c>
      <c r="M34" s="14">
        <v>0</v>
      </c>
      <c r="N34" s="14">
        <v>2</v>
      </c>
      <c r="O34" s="14">
        <v>0</v>
      </c>
      <c r="P34" s="14">
        <v>2</v>
      </c>
      <c r="Q34" s="14">
        <v>0</v>
      </c>
      <c r="R34" s="14">
        <v>2</v>
      </c>
      <c r="S34" s="14">
        <v>0</v>
      </c>
      <c r="T34" s="14">
        <v>2</v>
      </c>
      <c r="U34" s="14">
        <v>0</v>
      </c>
      <c r="V34" s="14">
        <v>1</v>
      </c>
      <c r="W34" s="14">
        <v>0</v>
      </c>
      <c r="X34" s="98">
        <v>23</v>
      </c>
      <c r="Y34" s="99">
        <v>8</v>
      </c>
      <c r="Z34" s="89">
        <v>8</v>
      </c>
      <c r="AA34" s="1" cm="1">
        <f t="array" ref="AA34">IF(
   SUMPRODUCT(($C$9:$G$9="CO1")*ISNUMBER($C$10:$G$10)*ISNUMBER(C34:G34)) +
   SUMPRODUCT(($H$9:$Z$9="CO1")*ISNUMBER($H$10:$Z$10)*ISNUMBER(H34:Z34)) = 0,
   "",
   IFERROR(
     (
       IF(
         SUMPRODUCT(($C$9:$G$9="CO1")*ISNUMBER($C$10:$G$10)*ISNUMBER(C34:G34)) = 0,
         0,
         SUMPRODUCT(($C$9:$G$9="CO1")*ISNUMBER($C$10:$G$10)*ISNUMBER(C34:G34)*C34:G34) /
         SUMPRODUCT(($C$9:$G$9="CO1")*ISNUMBER($C$10:$G$10)*ISNUMBER(C34:G34)*$C$10:$G$10) * 0.15
       ) +
       IF(
         SUMPRODUCT(($H$9:$Z$9="CO1")*ISNUMBER($H$10:$Z$10)*ISNUMBER(H34:Z34)) = 0,
         0,
         SUMPRODUCT(($H$9:$Z$9="CO1")*ISNUMBER($H$10:$Z$10)*ISNUMBER(H34:Z34)*H34:Z34) /
         SUMPRODUCT(($H$9:$Z$9="CO1")*ISNUMBER($H$10:$Z$10)*ISNUMBER(H34:Z34)*$H$10:$Z$10) * 0.85
       )
     ) * 100,
     ""
   )
)</f>
        <v>85.833333333333343</v>
      </c>
      <c r="AB34" s="1" cm="1">
        <f t="array" ref="AB34">IF(
   SUMPRODUCT(($C$9:$G$9="CO2")*ISNUMBER($C$10:$G$10)*ISNUMBER(C34:G34)) +
   SUMPRODUCT(($H$9:$Z$9="CO2")*ISNUMBER($H$10:$Z$10)*ISNUMBER(H34:Z34)) = 0,
   "",
   IFERROR(
     (
       IF(
         SUMPRODUCT(($C$9:$G$9="CO2")*ISNUMBER($C$10:$G$10)*ISNUMBER(C34:G34)) = 0,
         0,
         SUMPRODUCT(($C$9:$G$9="CO2")*ISNUMBER($C$10:$G$10)*ISNUMBER(C34:G34)*C34:G34) /
         SUMPRODUCT(($C$9:$G$9="CO2")*ISNUMBER($C$10:$G$10)*ISNUMBER(C34:G34)*$C$10:$G$10) * 0.15
       ) +
       IF(
         SUMPRODUCT(($H$9:$Z$9="CO2")*ISNUMBER($H$10:$Z$10)*ISNUMBER(H34:Z34)) = 0,
         0,
         SUMPRODUCT(($H$9:$Z$9="CO2")*ISNUMBER($H$10:$Z$10)*ISNUMBER(H34:Z34)*H34:Z34) /
         SUMPRODUCT(($H$9:$Z$9="CO2")*ISNUMBER($H$10:$Z$10)*ISNUMBER(H34:Z34)*$H$10:$Z$10) * 0.85
       )
     ) * 100,
     ""
   )
)</f>
        <v>73.5</v>
      </c>
      <c r="AC34" s="1" cm="1">
        <f t="array" ref="AC34">IF(
   SUMPRODUCT(($C$9:$G$9="CO3")*ISNUMBER($C$10:$G$10)*ISNUMBER(C34:G34)) +
   SUMPRODUCT(($H$9:$Z$9="CO3")*ISNUMBER($H$10:$Z$10)*ISNUMBER(H34:Z34)) = 0,
   "",
   IFERROR(
     (
       IF(
         SUMPRODUCT(($C$9:$G$9="CO3")*ISNUMBER($C$10:$G$10)*ISNUMBER(C34:G34)) = 0,
         0,
         SUMPRODUCT(($C$9:$G$9="CO3")*ISNUMBER($C$10:$G$10)*ISNUMBER(C34:G34)*C34:G34) /
         SUMPRODUCT(($C$9:$G$9="CO3")*ISNUMBER($C$10:$G$10)*ISNUMBER(C34:G34)*$C$10:$G$10) * 0.15
       ) +
       IF(
         SUMPRODUCT(($H$9:$Z$9="CO3")*ISNUMBER($H$10:$Z$10)*ISNUMBER(H34:Z34)) = 0,
         0,
         SUMPRODUCT(($H$9:$Z$9="CO3")*ISNUMBER($H$10:$Z$10)*ISNUMBER(H34:Z34)*H34:Z34) /
         SUMPRODUCT(($H$9:$Z$9="CO3")*ISNUMBER($H$10:$Z$10)*ISNUMBER(H34:Z34)*$H$10:$Z$10) * 0.85
       )
     ) * 100,
     ""
   )
)</f>
        <v>90.892857142857139</v>
      </c>
      <c r="AD34" s="1" cm="1">
        <f t="array" ref="AD34">IF(
   SUMPRODUCT(($C$9:$G$9="CO4")*ISNUMBER($C$10:$G$10)*ISNUMBER(C34:G34)) +
   SUMPRODUCT(($H$9:$Z$9="CO4")*ISNUMBER($H$10:$Z$10)*ISNUMBER(H34:Z34)) = 0,
   "",
   IFERROR(
     (
       IF(
         SUMPRODUCT(($C$9:$G$9="CO4")*ISNUMBER($C$10:$G$10)*ISNUMBER(C34:G34)) = 0,
         0,
         SUMPRODUCT(($C$9:$G$9="CO4")*ISNUMBER($C$10:$G$10)*ISNUMBER(C34:G34)*C34:G34) /
         SUMPRODUCT(($C$9:$G$9="CO4")*ISNUMBER($C$10:$G$10)*ISNUMBER(C34:G34)*$C$10:$G$10) * 0.15
       ) +
       IF(
         SUMPRODUCT(($H$9:$Z$9="CO4")*ISNUMBER($H$10:$Z$10)*ISNUMBER(H34:Z34)) = 0,
         0,
         SUMPRODUCT(($H$9:$Z$9="CO4")*ISNUMBER($H$10:$Z$10)*ISNUMBER(H34:Z34)*H34:Z34) /
         SUMPRODUCT(($H$9:$Z$9="CO4")*ISNUMBER($H$10:$Z$10)*ISNUMBER(H34:Z34)*$H$10:$Z$10) * 0.85
       )
     ) * 100,
     ""
   )
)</f>
        <v>20.166666666666664</v>
      </c>
      <c r="AE34" s="1" t="str" cm="1">
        <f t="array" ref="AE34">IF(
   SUMPRODUCT(($C$9:$G$9="CO5")*ISNUMBER($C$10:$G$10)*ISNUMBER(C34:G34)) +
   SUMPRODUCT(($H$9:$Z$9="CO5")*ISNUMBER($H$10:$Z$10)*ISNUMBER(H34:Z34)) = 0,
   "",
   IFERROR(
     (
       IF(
         SUMPRODUCT(($C$9:$G$9="CO5")*ISNUMBER($C$10:$G$10)*ISNUMBER(C34:G34)) = 0,
         0,
         SUMPRODUCT(($C$9:$G$9="CO5")*ISNUMBER($C$10:$G$10)*ISNUMBER(C34:G34)*C34:G34) /
         SUMPRODUCT(($C$9:$G$9="CO5")*ISNUMBER($C$10:$G$10)*ISNUMBER(C34:G34)*$C$10:$G$10) * 0.15
       ) +
       IF(
         SUMPRODUCT(($H$9:$Z$9="CO5")*ISNUMBER($H$10:$Z$10)*ISNUMBER(H34:Z34)) = 0,
         0,
         SUMPRODUCT(($H$9:$Z$9="CO5")*ISNUMBER($H$10:$Z$10)*ISNUMBER(H34:Z34)*H34:Z34) /
         SUMPRODUCT(($H$9:$Z$9="CO5")*ISNUMBER($H$10:$Z$10)*ISNUMBER(H34:Z34)*$H$10:$Z$10) * 0.85
       )
     ) * 100,
     ""
   )
)</f>
        <v/>
      </c>
      <c r="AF34" s="1" t="str" cm="1">
        <f t="array" ref="AF34">IF(
   SUMPRODUCT(($C$9:$G$9="CO6")*ISNUMBER($C$10:$G$10)*ISNUMBER(C34:G34)) +
   SUMPRODUCT(($H$9:$Z$9="CO6")*ISNUMBER($H$10:$Z$10)*ISNUMBER(H34:Z34)) = 0,
   "",
   IFERROR(
     (
       IF(
         SUMPRODUCT(($C$9:$G$9="CO6")*ISNUMBER($C$10:$G$10)*ISNUMBER(C34:G34)) = 0,
         0,
         SUMPRODUCT(($C$9:$G$9="CO6")*ISNUMBER($C$10:$G$10)*ISNUMBER(C34:G34)*C34:G34) /
         SUMPRODUCT(($C$9:$G$9="CO6")*ISNUMBER($C$10:$G$10)*ISNUMBER(C34:G34)*$C$10:$G$10) * 0.15
       ) +
       IF(
         SUMPRODUCT(($H$9:$Z$9="CO6")*ISNUMBER($H$10:$Z$10)*ISNUMBER(H34:Z34)) = 0,
         0,
         SUMPRODUCT(($H$9:$Z$9="CO6")*ISNUMBER($H$10:$Z$10)*ISNUMBER(H34:Z34)*H34:Z34) /
         SUMPRODUCT(($H$9:$Z$9="CO6")*ISNUMBER($H$10:$Z$10)*ISNUMBER(H34:Z34)*$H$10:$Z$10) * 0.85
       )
     ) * 100,
     ""
   )
)</f>
        <v/>
      </c>
      <c r="AG34" s="1" t="str" cm="1">
        <f t="array" ref="AG34">IF(
   SUMPRODUCT(($C$9:$G$9="CO7")*ISNUMBER($C$10:$G$10)*ISNUMBER(C34:G34)) +
   SUMPRODUCT(($H$9:$Z$9="CO7")*ISNUMBER($H$10:$Z$10)*ISNUMBER(H34:Z34)) = 0,
   "",
   IFERROR(
     (
       IF(
         SUMPRODUCT(($C$9:$G$9="CO7")*ISNUMBER($C$10:$G$10)*ISNUMBER(C34:G34)) = 0,
         0,
         SUMPRODUCT(($C$9:$G$9="CO7")*ISNUMBER($C$10:$G$10)*ISNUMBER(C34:G34)*C34:G34) /
         SUMPRODUCT(($C$9:$G$9="CO7")*ISNUMBER($C$10:$G$10)*ISNUMBER(C34:G34)*$C$10:$G$10) * 0.15
       ) +
       IF(
         SUMPRODUCT(($H$9:$Z$9="CO7")*ISNUMBER($H$10:$Z$10)*ISNUMBER(H34:Z34)) = 0,
         0,
         SUMPRODUCT(($H$9:$Z$9="CO7")*ISNUMBER($H$10:$Z$10)*ISNUMBER(H34:Z34)*H34:Z34) /
         SUMPRODUCT(($H$9:$Z$9="CO7")*ISNUMBER($H$10:$Z$10)*ISNUMBER(H34:Z34)*$H$10:$Z$10) * 0.85
       )
     ) * 100,
     ""
   )
)</f>
        <v/>
      </c>
      <c r="AH34" s="3" t="str" cm="1">
        <f t="array" ref="AH34">IF(
   SUMPRODUCT(($C$9:$G$9="CO8")*ISNUMBER($C$10:$G$10)*ISNUMBER(C34:G34)) +
   SUMPRODUCT(($H$9:$Z$9="CO8")*ISNUMBER($H$10:$Z$10)*ISNUMBER(H34:Z34)) = 0,
   "",
   IFERROR(
     (
       IF(
         SUMPRODUCT(($C$9:$G$9="CO8")*ISNUMBER($C$10:$G$10)*ISNUMBER(C34:G34)) = 0,
         0,
         SUMPRODUCT(($C$9:$G$9="CO8")*ISNUMBER($C$10:$G$10)*ISNUMBER(C34:G34)*C34:G34) /
         SUMPRODUCT(($C$9:$G$9="CO8")*ISNUMBER($C$10:$G$10)*ISNUMBER(C34:G34)*$C$10:$G$10) * 0.15
       ) +
       IF(
         SUMPRODUCT(($H$9:$Z$9="CO8")*ISNUMBER($H$10:$Z$10)*ISNUMBER(H34:Z34)) = 0,
         0,
         SUMPRODUCT(($H$9:$Z$9="CO8")*ISNUMBER($H$10:$Z$10)*ISNUMBER(H34:Z34)*H34:Z34) /
         SUMPRODUCT(($H$9:$Z$9="CO8")*ISNUMBER($H$10:$Z$10)*ISNUMBER(H34:Z34)*$H$10:$Z$10) * 0.85
       )
     ) * 100,
     ""
   )
)</f>
        <v/>
      </c>
      <c r="AI34" s="1" t="str">
        <f t="shared" si="1"/>
        <v>D</v>
      </c>
      <c r="AJ34" s="1" t="str">
        <f t="shared" si="2"/>
        <v>D</v>
      </c>
      <c r="AK34" s="1" t="str">
        <f t="shared" si="3"/>
        <v>D</v>
      </c>
      <c r="AL34" s="1" t="str">
        <f t="shared" si="4"/>
        <v>F</v>
      </c>
      <c r="AM34" s="1" t="str">
        <f t="shared" si="4"/>
        <v/>
      </c>
      <c r="AN34" s="1" t="str">
        <f t="shared" si="4"/>
        <v/>
      </c>
      <c r="AO34" s="1" t="str">
        <f t="shared" si="4"/>
        <v/>
      </c>
      <c r="AP34" s="1" t="str">
        <f t="shared" si="4"/>
        <v/>
      </c>
    </row>
    <row r="35" spans="1:44" ht="16.2" thickBot="1" x14ac:dyDescent="0.35">
      <c r="A35" s="57">
        <v>2508024</v>
      </c>
      <c r="B35" s="58" t="s">
        <v>132</v>
      </c>
      <c r="C35" s="77">
        <v>3</v>
      </c>
      <c r="D35" s="82">
        <v>5</v>
      </c>
      <c r="E35" s="88">
        <v>3.5</v>
      </c>
      <c r="F35" s="89">
        <v>5</v>
      </c>
      <c r="G35" s="89">
        <v>3</v>
      </c>
      <c r="H35" s="14">
        <v>0</v>
      </c>
      <c r="I35" s="14">
        <v>1</v>
      </c>
      <c r="J35" s="14">
        <v>1</v>
      </c>
      <c r="K35" s="14">
        <v>0</v>
      </c>
      <c r="L35" s="14">
        <v>0</v>
      </c>
      <c r="M35" s="14">
        <v>1</v>
      </c>
      <c r="N35" s="14">
        <v>2</v>
      </c>
      <c r="O35" s="14">
        <v>2</v>
      </c>
      <c r="P35" s="14">
        <v>0</v>
      </c>
      <c r="Q35" s="14">
        <v>0</v>
      </c>
      <c r="R35" s="14">
        <v>1</v>
      </c>
      <c r="S35" s="14">
        <v>0</v>
      </c>
      <c r="T35" s="14">
        <v>2</v>
      </c>
      <c r="U35" s="14">
        <v>0</v>
      </c>
      <c r="V35" s="14">
        <v>1</v>
      </c>
      <c r="W35" s="14">
        <v>1</v>
      </c>
      <c r="X35" s="98">
        <v>17</v>
      </c>
      <c r="Y35" s="99">
        <v>8</v>
      </c>
      <c r="Z35" s="89">
        <v>6</v>
      </c>
      <c r="AA35" s="1" cm="1">
        <f t="array" ref="AA35">IF(
   SUMPRODUCT(($C$9:$G$9="CO1")*ISNUMBER($C$10:$G$10)*ISNUMBER(C35:G35)) +
   SUMPRODUCT(($H$9:$Z$9="CO1")*ISNUMBER($H$10:$Z$10)*ISNUMBER(H35:Z35)) = 0,
   "",
   IFERROR(
     (
       IF(
         SUMPRODUCT(($C$9:$G$9="CO1")*ISNUMBER($C$10:$G$10)*ISNUMBER(C35:G35)) = 0,
         0,
         SUMPRODUCT(($C$9:$G$9="CO1")*ISNUMBER($C$10:$G$10)*ISNUMBER(C35:G35)*C35:G35) /
         SUMPRODUCT(($C$9:$G$9="CO1")*ISNUMBER($C$10:$G$10)*ISNUMBER(C35:G35)*$C$10:$G$10) * 0.15
       ) +
       IF(
         SUMPRODUCT(($H$9:$Z$9="CO1")*ISNUMBER($H$10:$Z$10)*ISNUMBER(H35:Z35)) = 0,
         0,
         SUMPRODUCT(($H$9:$Z$9="CO1")*ISNUMBER($H$10:$Z$10)*ISNUMBER(H35:Z35)*H35:Z35) /
         SUMPRODUCT(($H$9:$Z$9="CO1")*ISNUMBER($H$10:$Z$10)*ISNUMBER(H35:Z35)*$H$10:$Z$10) * 0.85
       )
     ) * 100,
     ""
   )
)</f>
        <v>60.944444444444443</v>
      </c>
      <c r="AB35" s="1" cm="1">
        <f t="array" ref="AB35">IF(
   SUMPRODUCT(($C$9:$G$9="CO2")*ISNUMBER($C$10:$G$10)*ISNUMBER(C35:G35)) +
   SUMPRODUCT(($H$9:$Z$9="CO2")*ISNUMBER($H$10:$Z$10)*ISNUMBER(H35:Z35)) = 0,
   "",
   IFERROR(
     (
       IF(
         SUMPRODUCT(($C$9:$G$9="CO2")*ISNUMBER($C$10:$G$10)*ISNUMBER(C35:G35)) = 0,
         0,
         SUMPRODUCT(($C$9:$G$9="CO2")*ISNUMBER($C$10:$G$10)*ISNUMBER(C35:G35)*C35:G35) /
         SUMPRODUCT(($C$9:$G$9="CO2")*ISNUMBER($C$10:$G$10)*ISNUMBER(C35:G35)*$C$10:$G$10) * 0.15
       ) +
       IF(
         SUMPRODUCT(($H$9:$Z$9="CO2")*ISNUMBER($H$10:$Z$10)*ISNUMBER(H35:Z35)) = 0,
         0,
         SUMPRODUCT(($H$9:$Z$9="CO2")*ISNUMBER($H$10:$Z$10)*ISNUMBER(H35:Z35)*H35:Z35) /
         SUMPRODUCT(($H$9:$Z$9="CO2")*ISNUMBER($H$10:$Z$10)*ISNUMBER(H35:Z35)*$H$10:$Z$10) * 0.85
       )
     ) * 100,
     ""
   )
)</f>
        <v>71.1875</v>
      </c>
      <c r="AC35" s="1" cm="1">
        <f t="array" ref="AC35">IF(
   SUMPRODUCT(($C$9:$G$9="CO3")*ISNUMBER($C$10:$G$10)*ISNUMBER(C35:G35)) +
   SUMPRODUCT(($H$9:$Z$9="CO3")*ISNUMBER($H$10:$Z$10)*ISNUMBER(H35:Z35)) = 0,
   "",
   IFERROR(
     (
       IF(
         SUMPRODUCT(($C$9:$G$9="CO3")*ISNUMBER($C$10:$G$10)*ISNUMBER(C35:G35)) = 0,
         0,
         SUMPRODUCT(($C$9:$G$9="CO3")*ISNUMBER($C$10:$G$10)*ISNUMBER(C35:G35)*C35:G35) /
         SUMPRODUCT(($C$9:$G$9="CO3")*ISNUMBER($C$10:$G$10)*ISNUMBER(C35:G35)*$C$10:$G$10) * 0.15
       ) +
       IF(
         SUMPRODUCT(($H$9:$Z$9="CO3")*ISNUMBER($H$10:$Z$10)*ISNUMBER(H35:Z35)) = 0,
         0,
         SUMPRODUCT(($H$9:$Z$9="CO3")*ISNUMBER($H$10:$Z$10)*ISNUMBER(H35:Z35)*H35:Z35) /
         SUMPRODUCT(($H$9:$Z$9="CO3")*ISNUMBER($H$10:$Z$10)*ISNUMBER(H35:Z35)*$H$10:$Z$10) * 0.85
       )
     ) * 100,
     ""
   )
)</f>
        <v>72.678571428571431</v>
      </c>
      <c r="AD35" s="1" cm="1">
        <f t="array" ref="AD35">IF(
   SUMPRODUCT(($C$9:$G$9="CO4")*ISNUMBER($C$10:$G$10)*ISNUMBER(C35:G35)) +
   SUMPRODUCT(($H$9:$Z$9="CO4")*ISNUMBER($H$10:$Z$10)*ISNUMBER(H35:Z35)) = 0,
   "",
   IFERROR(
     (
       IF(
         SUMPRODUCT(($C$9:$G$9="CO4")*ISNUMBER($C$10:$G$10)*ISNUMBER(C35:G35)) = 0,
         0,
         SUMPRODUCT(($C$9:$G$9="CO4")*ISNUMBER($C$10:$G$10)*ISNUMBER(C35:G35)*C35:G35) /
         SUMPRODUCT(($C$9:$G$9="CO4")*ISNUMBER($C$10:$G$10)*ISNUMBER(C35:G35)*$C$10:$G$10) * 0.15
       ) +
       IF(
         SUMPRODUCT(($H$9:$Z$9="CO4")*ISNUMBER($H$10:$Z$10)*ISNUMBER(H35:Z35)) = 0,
         0,
         SUMPRODUCT(($H$9:$Z$9="CO4")*ISNUMBER($H$10:$Z$10)*ISNUMBER(H35:Z35)*H35:Z35) /
         SUMPRODUCT(($H$9:$Z$9="CO4")*ISNUMBER($H$10:$Z$10)*ISNUMBER(H35:Z35)*$H$10:$Z$10) * 0.85
       )
     ) * 100,
     ""
   )
)</f>
        <v>37.333333333333329</v>
      </c>
      <c r="AE35" s="1" t="str" cm="1">
        <f t="array" ref="AE35">IF(
   SUMPRODUCT(($C$9:$G$9="CO5")*ISNUMBER($C$10:$G$10)*ISNUMBER(C35:G35)) +
   SUMPRODUCT(($H$9:$Z$9="CO5")*ISNUMBER($H$10:$Z$10)*ISNUMBER(H35:Z35)) = 0,
   "",
   IFERROR(
     (
       IF(
         SUMPRODUCT(($C$9:$G$9="CO5")*ISNUMBER($C$10:$G$10)*ISNUMBER(C35:G35)) = 0,
         0,
         SUMPRODUCT(($C$9:$G$9="CO5")*ISNUMBER($C$10:$G$10)*ISNUMBER(C35:G35)*C35:G35) /
         SUMPRODUCT(($C$9:$G$9="CO5")*ISNUMBER($C$10:$G$10)*ISNUMBER(C35:G35)*$C$10:$G$10) * 0.15
       ) +
       IF(
         SUMPRODUCT(($H$9:$Z$9="CO5")*ISNUMBER($H$10:$Z$10)*ISNUMBER(H35:Z35)) = 0,
         0,
         SUMPRODUCT(($H$9:$Z$9="CO5")*ISNUMBER($H$10:$Z$10)*ISNUMBER(H35:Z35)*H35:Z35) /
         SUMPRODUCT(($H$9:$Z$9="CO5")*ISNUMBER($H$10:$Z$10)*ISNUMBER(H35:Z35)*$H$10:$Z$10) * 0.85
       )
     ) * 100,
     ""
   )
)</f>
        <v/>
      </c>
      <c r="AF35" s="1" t="str" cm="1">
        <f t="array" ref="AF35">IF(
   SUMPRODUCT(($C$9:$G$9="CO6")*ISNUMBER($C$10:$G$10)*ISNUMBER(C35:G35)) +
   SUMPRODUCT(($H$9:$Z$9="CO6")*ISNUMBER($H$10:$Z$10)*ISNUMBER(H35:Z35)) = 0,
   "",
   IFERROR(
     (
       IF(
         SUMPRODUCT(($C$9:$G$9="CO6")*ISNUMBER($C$10:$G$10)*ISNUMBER(C35:G35)) = 0,
         0,
         SUMPRODUCT(($C$9:$G$9="CO6")*ISNUMBER($C$10:$G$10)*ISNUMBER(C35:G35)*C35:G35) /
         SUMPRODUCT(($C$9:$G$9="CO6")*ISNUMBER($C$10:$G$10)*ISNUMBER(C35:G35)*$C$10:$G$10) * 0.15
       ) +
       IF(
         SUMPRODUCT(($H$9:$Z$9="CO6")*ISNUMBER($H$10:$Z$10)*ISNUMBER(H35:Z35)) = 0,
         0,
         SUMPRODUCT(($H$9:$Z$9="CO6")*ISNUMBER($H$10:$Z$10)*ISNUMBER(H35:Z35)*H35:Z35) /
         SUMPRODUCT(($H$9:$Z$9="CO6")*ISNUMBER($H$10:$Z$10)*ISNUMBER(H35:Z35)*$H$10:$Z$10) * 0.85
       )
     ) * 100,
     ""
   )
)</f>
        <v/>
      </c>
      <c r="AG35" s="1" t="str" cm="1">
        <f t="array" ref="AG35">IF(
   SUMPRODUCT(($C$9:$G$9="CO7")*ISNUMBER($C$10:$G$10)*ISNUMBER(C35:G35)) +
   SUMPRODUCT(($H$9:$Z$9="CO7")*ISNUMBER($H$10:$Z$10)*ISNUMBER(H35:Z35)) = 0,
   "",
   IFERROR(
     (
       IF(
         SUMPRODUCT(($C$9:$G$9="CO7")*ISNUMBER($C$10:$G$10)*ISNUMBER(C35:G35)) = 0,
         0,
         SUMPRODUCT(($C$9:$G$9="CO7")*ISNUMBER($C$10:$G$10)*ISNUMBER(C35:G35)*C35:G35) /
         SUMPRODUCT(($C$9:$G$9="CO7")*ISNUMBER($C$10:$G$10)*ISNUMBER(C35:G35)*$C$10:$G$10) * 0.15
       ) +
       IF(
         SUMPRODUCT(($H$9:$Z$9="CO7")*ISNUMBER($H$10:$Z$10)*ISNUMBER(H35:Z35)) = 0,
         0,
         SUMPRODUCT(($H$9:$Z$9="CO7")*ISNUMBER($H$10:$Z$10)*ISNUMBER(H35:Z35)*H35:Z35) /
         SUMPRODUCT(($H$9:$Z$9="CO7")*ISNUMBER($H$10:$Z$10)*ISNUMBER(H35:Z35)*$H$10:$Z$10) * 0.85
       )
     ) * 100,
     ""
   )
)</f>
        <v/>
      </c>
      <c r="AH35" s="3" t="str" cm="1">
        <f t="array" ref="AH35">IF(
   SUMPRODUCT(($C$9:$G$9="CO8")*ISNUMBER($C$10:$G$10)*ISNUMBER(C35:G35)) +
   SUMPRODUCT(($H$9:$Z$9="CO8")*ISNUMBER($H$10:$Z$10)*ISNUMBER(H35:Z35)) = 0,
   "",
   IFERROR(
     (
       IF(
         SUMPRODUCT(($C$9:$G$9="CO8")*ISNUMBER($C$10:$G$10)*ISNUMBER(C35:G35)) = 0,
         0,
         SUMPRODUCT(($C$9:$G$9="CO8")*ISNUMBER($C$10:$G$10)*ISNUMBER(C35:G35)*C35:G35) /
         SUMPRODUCT(($C$9:$G$9="CO8")*ISNUMBER($C$10:$G$10)*ISNUMBER(C35:G35)*$C$10:$G$10) * 0.15
       ) +
       IF(
         SUMPRODUCT(($H$9:$Z$9="CO8")*ISNUMBER($H$10:$Z$10)*ISNUMBER(H35:Z35)) = 0,
         0,
         SUMPRODUCT(($H$9:$Z$9="CO8")*ISNUMBER($H$10:$Z$10)*ISNUMBER(H35:Z35)*H35:Z35) /
         SUMPRODUCT(($H$9:$Z$9="CO8")*ISNUMBER($H$10:$Z$10)*ISNUMBER(H35:Z35)*$H$10:$Z$10) * 0.85
       )
     ) * 100,
     ""
   )
)</f>
        <v/>
      </c>
      <c r="AI35" s="1" t="str">
        <f t="shared" si="1"/>
        <v>First</v>
      </c>
      <c r="AJ35" s="1" t="str">
        <f t="shared" si="2"/>
        <v>D</v>
      </c>
      <c r="AK35" s="1" t="str">
        <f t="shared" si="3"/>
        <v>D</v>
      </c>
      <c r="AL35" s="1" t="str">
        <f t="shared" si="4"/>
        <v>F</v>
      </c>
      <c r="AM35" s="1" t="str">
        <f t="shared" si="4"/>
        <v/>
      </c>
      <c r="AN35" s="1" t="str">
        <f t="shared" si="4"/>
        <v/>
      </c>
      <c r="AO35" s="1" t="str">
        <f t="shared" si="4"/>
        <v/>
      </c>
      <c r="AP35" s="1" t="str">
        <f t="shared" si="4"/>
        <v/>
      </c>
    </row>
    <row r="36" spans="1:44" ht="16.2" thickBot="1" x14ac:dyDescent="0.35">
      <c r="A36" s="57">
        <v>2508025</v>
      </c>
      <c r="B36" s="59" t="s">
        <v>133</v>
      </c>
      <c r="C36" s="77">
        <v>0.5</v>
      </c>
      <c r="D36" s="82">
        <v>3</v>
      </c>
      <c r="E36" s="88">
        <v>1</v>
      </c>
      <c r="F36" s="89">
        <v>5</v>
      </c>
      <c r="G36" s="89">
        <v>3</v>
      </c>
      <c r="H36" s="14">
        <v>0</v>
      </c>
      <c r="I36" s="14">
        <v>1</v>
      </c>
      <c r="J36" s="14">
        <v>1</v>
      </c>
      <c r="K36" s="14">
        <v>0</v>
      </c>
      <c r="L36" s="14">
        <v>0</v>
      </c>
      <c r="M36" s="14">
        <v>1</v>
      </c>
      <c r="N36" s="14">
        <v>2</v>
      </c>
      <c r="O36" s="14">
        <v>0.5</v>
      </c>
      <c r="P36" s="14">
        <v>0</v>
      </c>
      <c r="Q36" s="14">
        <v>0</v>
      </c>
      <c r="R36" s="14">
        <v>2</v>
      </c>
      <c r="S36" s="14">
        <v>0</v>
      </c>
      <c r="T36" s="14">
        <v>1</v>
      </c>
      <c r="U36" s="14">
        <v>2</v>
      </c>
      <c r="V36" s="14">
        <v>0</v>
      </c>
      <c r="W36" s="14">
        <v>0</v>
      </c>
      <c r="X36" s="98">
        <v>22</v>
      </c>
      <c r="Y36" s="99">
        <v>8</v>
      </c>
      <c r="Z36" s="89">
        <v>6</v>
      </c>
      <c r="AA36" s="1" cm="1">
        <f t="array" ref="AA36">IF(
   SUMPRODUCT(($C$9:$G$9="CO1")*ISNUMBER($C$10:$G$10)*ISNUMBER(C36:G36)) +
   SUMPRODUCT(($H$9:$Z$9="CO1")*ISNUMBER($H$10:$Z$10)*ISNUMBER(H36:Z36)) = 0,
   "",
   IFERROR(
     (
       IF(
         SUMPRODUCT(($C$9:$G$9="CO1")*ISNUMBER($C$10:$G$10)*ISNUMBER(C36:G36)) = 0,
         0,
         SUMPRODUCT(($C$9:$G$9="CO1")*ISNUMBER($C$10:$G$10)*ISNUMBER(C36:G36)*C36:G36) /
         SUMPRODUCT(($C$9:$G$9="CO1")*ISNUMBER($C$10:$G$10)*ISNUMBER(C36:G36)*$C$10:$G$10) * 0.15
       ) +
       IF(
         SUMPRODUCT(($H$9:$Z$9="CO1")*ISNUMBER($H$10:$Z$10)*ISNUMBER(H36:Z36)) = 0,
         0,
         SUMPRODUCT(($H$9:$Z$9="CO1")*ISNUMBER($H$10:$Z$10)*ISNUMBER(H36:Z36)*H36:Z36) /
         SUMPRODUCT(($H$9:$Z$9="CO1")*ISNUMBER($H$10:$Z$10)*ISNUMBER(H36:Z36)*$H$10:$Z$10) * 0.85
       )
     ) * 100,
     ""
   )
)</f>
        <v>53.44444444444445</v>
      </c>
      <c r="AB36" s="1" cm="1">
        <f t="array" ref="AB36">IF(
   SUMPRODUCT(($C$9:$G$9="CO2")*ISNUMBER($C$10:$G$10)*ISNUMBER(C36:G36)) +
   SUMPRODUCT(($H$9:$Z$9="CO2")*ISNUMBER($H$10:$Z$10)*ISNUMBER(H36:Z36)) = 0,
   "",
   IFERROR(
     (
       IF(
         SUMPRODUCT(($C$9:$G$9="CO2")*ISNUMBER($C$10:$G$10)*ISNUMBER(C36:G36)) = 0,
         0,
         SUMPRODUCT(($C$9:$G$9="CO2")*ISNUMBER($C$10:$G$10)*ISNUMBER(C36:G36)*C36:G36) /
         SUMPRODUCT(($C$9:$G$9="CO2")*ISNUMBER($C$10:$G$10)*ISNUMBER(C36:G36)*$C$10:$G$10) * 0.15
       ) +
       IF(
         SUMPRODUCT(($H$9:$Z$9="CO2")*ISNUMBER($H$10:$Z$10)*ISNUMBER(H36:Z36)) = 0,
         0,
         SUMPRODUCT(($H$9:$Z$9="CO2")*ISNUMBER($H$10:$Z$10)*ISNUMBER(H36:Z36)*H36:Z36) /
         SUMPRODUCT(($H$9:$Z$9="CO2")*ISNUMBER($H$10:$Z$10)*ISNUMBER(H36:Z36)*$H$10:$Z$10) * 0.85
       )
     ) * 100,
     ""
   )
)</f>
        <v>61.781249999999986</v>
      </c>
      <c r="AC36" s="1" cm="1">
        <f t="array" ref="AC36">IF(
   SUMPRODUCT(($C$9:$G$9="CO3")*ISNUMBER($C$10:$G$10)*ISNUMBER(C36:G36)) +
   SUMPRODUCT(($H$9:$Z$9="CO3")*ISNUMBER($H$10:$Z$10)*ISNUMBER(H36:Z36)) = 0,
   "",
   IFERROR(
     (
       IF(
         SUMPRODUCT(($C$9:$G$9="CO3")*ISNUMBER($C$10:$G$10)*ISNUMBER(C36:G36)) = 0,
         0,
         SUMPRODUCT(($C$9:$G$9="CO3")*ISNUMBER($C$10:$G$10)*ISNUMBER(C36:G36)*C36:G36) /
         SUMPRODUCT(($C$9:$G$9="CO3")*ISNUMBER($C$10:$G$10)*ISNUMBER(C36:G36)*$C$10:$G$10) * 0.15
       ) +
       IF(
         SUMPRODUCT(($H$9:$Z$9="CO3")*ISNUMBER($H$10:$Z$10)*ISNUMBER(H36:Z36)) = 0,
         0,
         SUMPRODUCT(($H$9:$Z$9="CO3")*ISNUMBER($H$10:$Z$10)*ISNUMBER(H36:Z36)*H36:Z36) /
         SUMPRODUCT(($H$9:$Z$9="CO3")*ISNUMBER($H$10:$Z$10)*ISNUMBER(H36:Z36)*$H$10:$Z$10) * 0.85
       )
     ) * 100,
     ""
   )
)</f>
        <v>84.821428571428569</v>
      </c>
      <c r="AD36" s="1" cm="1">
        <f t="array" ref="AD36">IF(
   SUMPRODUCT(($C$9:$G$9="CO4")*ISNUMBER($C$10:$G$10)*ISNUMBER(C36:G36)) +
   SUMPRODUCT(($H$9:$Z$9="CO4")*ISNUMBER($H$10:$Z$10)*ISNUMBER(H36:Z36)) = 0,
   "",
   IFERROR(
     (
       IF(
         SUMPRODUCT(($C$9:$G$9="CO4")*ISNUMBER($C$10:$G$10)*ISNUMBER(C36:G36)) = 0,
         0,
         SUMPRODUCT(($C$9:$G$9="CO4")*ISNUMBER($C$10:$G$10)*ISNUMBER(C36:G36)*C36:G36) /
         SUMPRODUCT(($C$9:$G$9="CO4")*ISNUMBER($C$10:$G$10)*ISNUMBER(C36:G36)*$C$10:$G$10) * 0.15
       ) +
       IF(
         SUMPRODUCT(($H$9:$Z$9="CO4")*ISNUMBER($H$10:$Z$10)*ISNUMBER(H36:Z36)) = 0,
         0,
         SUMPRODUCT(($H$9:$Z$9="CO4")*ISNUMBER($H$10:$Z$10)*ISNUMBER(H36:Z36)*H36:Z36) /
         SUMPRODUCT(($H$9:$Z$9="CO4")*ISNUMBER($H$10:$Z$10)*ISNUMBER(H36:Z36)*$H$10:$Z$10) * 0.85
       )
     ) * 100,
     ""
   )
)</f>
        <v>37.333333333333329</v>
      </c>
      <c r="AE36" s="1" t="str" cm="1">
        <f t="array" ref="AE36">IF(
   SUMPRODUCT(($C$9:$G$9="CO5")*ISNUMBER($C$10:$G$10)*ISNUMBER(C36:G36)) +
   SUMPRODUCT(($H$9:$Z$9="CO5")*ISNUMBER($H$10:$Z$10)*ISNUMBER(H36:Z36)) = 0,
   "",
   IFERROR(
     (
       IF(
         SUMPRODUCT(($C$9:$G$9="CO5")*ISNUMBER($C$10:$G$10)*ISNUMBER(C36:G36)) = 0,
         0,
         SUMPRODUCT(($C$9:$G$9="CO5")*ISNUMBER($C$10:$G$10)*ISNUMBER(C36:G36)*C36:G36) /
         SUMPRODUCT(($C$9:$G$9="CO5")*ISNUMBER($C$10:$G$10)*ISNUMBER(C36:G36)*$C$10:$G$10) * 0.15
       ) +
       IF(
         SUMPRODUCT(($H$9:$Z$9="CO5")*ISNUMBER($H$10:$Z$10)*ISNUMBER(H36:Z36)) = 0,
         0,
         SUMPRODUCT(($H$9:$Z$9="CO5")*ISNUMBER($H$10:$Z$10)*ISNUMBER(H36:Z36)*H36:Z36) /
         SUMPRODUCT(($H$9:$Z$9="CO5")*ISNUMBER($H$10:$Z$10)*ISNUMBER(H36:Z36)*$H$10:$Z$10) * 0.85
       )
     ) * 100,
     ""
   )
)</f>
        <v/>
      </c>
      <c r="AF36" s="1" t="str" cm="1">
        <f t="array" ref="AF36">IF(
   SUMPRODUCT(($C$9:$G$9="CO6")*ISNUMBER($C$10:$G$10)*ISNUMBER(C36:G36)) +
   SUMPRODUCT(($H$9:$Z$9="CO6")*ISNUMBER($H$10:$Z$10)*ISNUMBER(H36:Z36)) = 0,
   "",
   IFERROR(
     (
       IF(
         SUMPRODUCT(($C$9:$G$9="CO6")*ISNUMBER($C$10:$G$10)*ISNUMBER(C36:G36)) = 0,
         0,
         SUMPRODUCT(($C$9:$G$9="CO6")*ISNUMBER($C$10:$G$10)*ISNUMBER(C36:G36)*C36:G36) /
         SUMPRODUCT(($C$9:$G$9="CO6")*ISNUMBER($C$10:$G$10)*ISNUMBER(C36:G36)*$C$10:$G$10) * 0.15
       ) +
       IF(
         SUMPRODUCT(($H$9:$Z$9="CO6")*ISNUMBER($H$10:$Z$10)*ISNUMBER(H36:Z36)) = 0,
         0,
         SUMPRODUCT(($H$9:$Z$9="CO6")*ISNUMBER($H$10:$Z$10)*ISNUMBER(H36:Z36)*H36:Z36) /
         SUMPRODUCT(($H$9:$Z$9="CO6")*ISNUMBER($H$10:$Z$10)*ISNUMBER(H36:Z36)*$H$10:$Z$10) * 0.85
       )
     ) * 100,
     ""
   )
)</f>
        <v/>
      </c>
      <c r="AG36" s="1" t="str" cm="1">
        <f t="array" ref="AG36">IF(
   SUMPRODUCT(($C$9:$G$9="CO7")*ISNUMBER($C$10:$G$10)*ISNUMBER(C36:G36)) +
   SUMPRODUCT(($H$9:$Z$9="CO7")*ISNUMBER($H$10:$Z$10)*ISNUMBER(H36:Z36)) = 0,
   "",
   IFERROR(
     (
       IF(
         SUMPRODUCT(($C$9:$G$9="CO7")*ISNUMBER($C$10:$G$10)*ISNUMBER(C36:G36)) = 0,
         0,
         SUMPRODUCT(($C$9:$G$9="CO7")*ISNUMBER($C$10:$G$10)*ISNUMBER(C36:G36)*C36:G36) /
         SUMPRODUCT(($C$9:$G$9="CO7")*ISNUMBER($C$10:$G$10)*ISNUMBER(C36:G36)*$C$10:$G$10) * 0.15
       ) +
       IF(
         SUMPRODUCT(($H$9:$Z$9="CO7")*ISNUMBER($H$10:$Z$10)*ISNUMBER(H36:Z36)) = 0,
         0,
         SUMPRODUCT(($H$9:$Z$9="CO7")*ISNUMBER($H$10:$Z$10)*ISNUMBER(H36:Z36)*H36:Z36) /
         SUMPRODUCT(($H$9:$Z$9="CO7")*ISNUMBER($H$10:$Z$10)*ISNUMBER(H36:Z36)*$H$10:$Z$10) * 0.85
       )
     ) * 100,
     ""
   )
)</f>
        <v/>
      </c>
      <c r="AH36" s="3" t="str" cm="1">
        <f t="array" ref="AH36">IF(
   SUMPRODUCT(($C$9:$G$9="CO8")*ISNUMBER($C$10:$G$10)*ISNUMBER(C36:G36)) +
   SUMPRODUCT(($H$9:$Z$9="CO8")*ISNUMBER($H$10:$Z$10)*ISNUMBER(H36:Z36)) = 0,
   "",
   IFERROR(
     (
       IF(
         SUMPRODUCT(($C$9:$G$9="CO8")*ISNUMBER($C$10:$G$10)*ISNUMBER(C36:G36)) = 0,
         0,
         SUMPRODUCT(($C$9:$G$9="CO8")*ISNUMBER($C$10:$G$10)*ISNUMBER(C36:G36)*C36:G36) /
         SUMPRODUCT(($C$9:$G$9="CO8")*ISNUMBER($C$10:$G$10)*ISNUMBER(C36:G36)*$C$10:$G$10) * 0.15
       ) +
       IF(
         SUMPRODUCT(($H$9:$Z$9="CO8")*ISNUMBER($H$10:$Z$10)*ISNUMBER(H36:Z36)) = 0,
         0,
         SUMPRODUCT(($H$9:$Z$9="CO8")*ISNUMBER($H$10:$Z$10)*ISNUMBER(H36:Z36)*H36:Z36) /
         SUMPRODUCT(($H$9:$Z$9="CO8")*ISNUMBER($H$10:$Z$10)*ISNUMBER(H36:Z36)*$H$10:$Z$10) * 0.85
       )
     ) * 100,
     ""
   )
)</f>
        <v/>
      </c>
      <c r="AI36" s="1" t="str">
        <f t="shared" si="1"/>
        <v>S</v>
      </c>
      <c r="AJ36" s="1" t="str">
        <f t="shared" si="2"/>
        <v>First</v>
      </c>
      <c r="AK36" s="1" t="str">
        <f t="shared" si="3"/>
        <v>D</v>
      </c>
      <c r="AL36" s="1" t="str">
        <f t="shared" si="4"/>
        <v>F</v>
      </c>
      <c r="AM36" s="1" t="str">
        <f t="shared" si="4"/>
        <v/>
      </c>
      <c r="AN36" s="1" t="str">
        <f t="shared" si="4"/>
        <v/>
      </c>
      <c r="AO36" s="1" t="str">
        <f t="shared" si="4"/>
        <v/>
      </c>
      <c r="AP36" s="1" t="str">
        <f t="shared" si="4"/>
        <v/>
      </c>
    </row>
    <row r="37" spans="1:44" ht="16.2" thickBot="1" x14ac:dyDescent="0.35">
      <c r="A37" s="57">
        <v>2508026</v>
      </c>
      <c r="B37" s="58" t="s">
        <v>134</v>
      </c>
      <c r="C37" s="77">
        <v>4</v>
      </c>
      <c r="D37" s="82">
        <v>5</v>
      </c>
      <c r="E37" s="88">
        <v>5</v>
      </c>
      <c r="F37" s="89">
        <v>5</v>
      </c>
      <c r="G37" s="89">
        <v>2</v>
      </c>
      <c r="H37" s="14">
        <v>0</v>
      </c>
      <c r="I37" s="14">
        <v>1</v>
      </c>
      <c r="J37" s="14">
        <v>1</v>
      </c>
      <c r="K37" s="14">
        <v>1</v>
      </c>
      <c r="L37" s="14">
        <v>1</v>
      </c>
      <c r="M37" s="14">
        <v>0</v>
      </c>
      <c r="N37" s="14">
        <v>2</v>
      </c>
      <c r="O37" s="14">
        <v>2</v>
      </c>
      <c r="P37" s="14">
        <v>0</v>
      </c>
      <c r="Q37" s="14">
        <v>0</v>
      </c>
      <c r="R37" s="14">
        <v>1</v>
      </c>
      <c r="S37" s="14">
        <v>0</v>
      </c>
      <c r="T37" s="14">
        <v>1</v>
      </c>
      <c r="U37" s="14">
        <v>2</v>
      </c>
      <c r="V37" s="14">
        <v>0</v>
      </c>
      <c r="W37" s="14">
        <v>0.5</v>
      </c>
      <c r="X37" s="98">
        <v>21</v>
      </c>
      <c r="Y37" s="99">
        <v>5</v>
      </c>
      <c r="Z37" s="89">
        <v>7</v>
      </c>
      <c r="AA37" s="1" cm="1">
        <f t="array" ref="AA37">IF(
   SUMPRODUCT(($C$9:$G$9="CO1")*ISNUMBER($C$10:$G$10)*ISNUMBER(C37:G37)) +
   SUMPRODUCT(($H$9:$Z$9="CO1")*ISNUMBER($H$10:$Z$10)*ISNUMBER(H37:Z37)) = 0,
   "",
   IFERROR(
     (
       IF(
         SUMPRODUCT(($C$9:$G$9="CO1")*ISNUMBER($C$10:$G$10)*ISNUMBER(C37:G37)) = 0,
         0,
         SUMPRODUCT(($C$9:$G$9="CO1")*ISNUMBER($C$10:$G$10)*ISNUMBER(C37:G37)*C37:G37) /
         SUMPRODUCT(($C$9:$G$9="CO1")*ISNUMBER($C$10:$G$10)*ISNUMBER(C37:G37)*$C$10:$G$10) * 0.15
       ) +
       IF(
         SUMPRODUCT(($H$9:$Z$9="CO1")*ISNUMBER($H$10:$Z$10)*ISNUMBER(H37:Z37)) = 0,
         0,
         SUMPRODUCT(($H$9:$Z$9="CO1")*ISNUMBER($H$10:$Z$10)*ISNUMBER(H37:Z37)*H37:Z37) /
         SUMPRODUCT(($H$9:$Z$9="CO1")*ISNUMBER($H$10:$Z$10)*ISNUMBER(H37:Z37)*$H$10:$Z$10) * 0.85
       )
     ) * 100,
     ""
   )
)</f>
        <v>73.388888888888886</v>
      </c>
      <c r="AB37" s="1" cm="1">
        <f t="array" ref="AB37">IF(
   SUMPRODUCT(($C$9:$G$9="CO2")*ISNUMBER($C$10:$G$10)*ISNUMBER(C37:G37)) +
   SUMPRODUCT(($H$9:$Z$9="CO2")*ISNUMBER($H$10:$Z$10)*ISNUMBER(H37:Z37)) = 0,
   "",
   IFERROR(
     (
       IF(
         SUMPRODUCT(($C$9:$G$9="CO2")*ISNUMBER($C$10:$G$10)*ISNUMBER(C37:G37)) = 0,
         0,
         SUMPRODUCT(($C$9:$G$9="CO2")*ISNUMBER($C$10:$G$10)*ISNUMBER(C37:G37)*C37:G37) /
         SUMPRODUCT(($C$9:$G$9="CO2")*ISNUMBER($C$10:$G$10)*ISNUMBER(C37:G37)*$C$10:$G$10) * 0.15
       ) +
       IF(
         SUMPRODUCT(($H$9:$Z$9="CO2")*ISNUMBER($H$10:$Z$10)*ISNUMBER(H37:Z37)) = 0,
         0,
         SUMPRODUCT(($H$9:$Z$9="CO2")*ISNUMBER($H$10:$Z$10)*ISNUMBER(H37:Z37)*H37:Z37) /
         SUMPRODUCT(($H$9:$Z$9="CO2")*ISNUMBER($H$10:$Z$10)*ISNUMBER(H37:Z37)*$H$10:$Z$10) * 0.85
       )
     ) * 100,
     ""
   )
)</f>
        <v>57.499999999999993</v>
      </c>
      <c r="AC37" s="1" cm="1">
        <f t="array" ref="AC37">IF(
   SUMPRODUCT(($C$9:$G$9="CO3")*ISNUMBER($C$10:$G$10)*ISNUMBER(C37:G37)) +
   SUMPRODUCT(($H$9:$Z$9="CO3")*ISNUMBER($H$10:$Z$10)*ISNUMBER(H37:Z37)) = 0,
   "",
   IFERROR(
     (
       IF(
         SUMPRODUCT(($C$9:$G$9="CO3")*ISNUMBER($C$10:$G$10)*ISNUMBER(C37:G37)) = 0,
         0,
         SUMPRODUCT(($C$9:$G$9="CO3")*ISNUMBER($C$10:$G$10)*ISNUMBER(C37:G37)*C37:G37) /
         SUMPRODUCT(($C$9:$G$9="CO3")*ISNUMBER($C$10:$G$10)*ISNUMBER(C37:G37)*$C$10:$G$10) * 0.15
       ) +
       IF(
         SUMPRODUCT(($H$9:$Z$9="CO3")*ISNUMBER($H$10:$Z$10)*ISNUMBER(H37:Z37)) = 0,
         0,
         SUMPRODUCT(($H$9:$Z$9="CO3")*ISNUMBER($H$10:$Z$10)*ISNUMBER(H37:Z37)*H37:Z37) /
         SUMPRODUCT(($H$9:$Z$9="CO3")*ISNUMBER($H$10:$Z$10)*ISNUMBER(H37:Z37)*$H$10:$Z$10) * 0.85
       )
     ) * 100,
     ""
   )
)</f>
        <v>81.785714285714278</v>
      </c>
      <c r="AD37" s="1" cm="1">
        <f t="array" ref="AD37">IF(
   SUMPRODUCT(($C$9:$G$9="CO4")*ISNUMBER($C$10:$G$10)*ISNUMBER(C37:G37)) +
   SUMPRODUCT(($H$9:$Z$9="CO4")*ISNUMBER($H$10:$Z$10)*ISNUMBER(H37:Z37)) = 0,
   "",
   IFERROR(
     (
       IF(
         SUMPRODUCT(($C$9:$G$9="CO4")*ISNUMBER($C$10:$G$10)*ISNUMBER(C37:G37)) = 0,
         0,
         SUMPRODUCT(($C$9:$G$9="CO4")*ISNUMBER($C$10:$G$10)*ISNUMBER(C37:G37)*C37:G37) /
         SUMPRODUCT(($C$9:$G$9="CO4")*ISNUMBER($C$10:$G$10)*ISNUMBER(C37:G37)*$C$10:$G$10) * 0.15
       ) +
       IF(
         SUMPRODUCT(($H$9:$Z$9="CO4")*ISNUMBER($H$10:$Z$10)*ISNUMBER(H37:Z37)) = 0,
         0,
         SUMPRODUCT(($H$9:$Z$9="CO4")*ISNUMBER($H$10:$Z$10)*ISNUMBER(H37:Z37)*H37:Z37) /
         SUMPRODUCT(($H$9:$Z$9="CO4")*ISNUMBER($H$10:$Z$10)*ISNUMBER(H37:Z37)*$H$10:$Z$10) * 0.85
       )
     ) * 100,
     ""
   )
)</f>
        <v>41.416666666666671</v>
      </c>
      <c r="AE37" s="1" t="str" cm="1">
        <f t="array" ref="AE37">IF(
   SUMPRODUCT(($C$9:$G$9="CO5")*ISNUMBER($C$10:$G$10)*ISNUMBER(C37:G37)) +
   SUMPRODUCT(($H$9:$Z$9="CO5")*ISNUMBER($H$10:$Z$10)*ISNUMBER(H37:Z37)) = 0,
   "",
   IFERROR(
     (
       IF(
         SUMPRODUCT(($C$9:$G$9="CO5")*ISNUMBER($C$10:$G$10)*ISNUMBER(C37:G37)) = 0,
         0,
         SUMPRODUCT(($C$9:$G$9="CO5")*ISNUMBER($C$10:$G$10)*ISNUMBER(C37:G37)*C37:G37) /
         SUMPRODUCT(($C$9:$G$9="CO5")*ISNUMBER($C$10:$G$10)*ISNUMBER(C37:G37)*$C$10:$G$10) * 0.15
       ) +
       IF(
         SUMPRODUCT(($H$9:$Z$9="CO5")*ISNUMBER($H$10:$Z$10)*ISNUMBER(H37:Z37)) = 0,
         0,
         SUMPRODUCT(($H$9:$Z$9="CO5")*ISNUMBER($H$10:$Z$10)*ISNUMBER(H37:Z37)*H37:Z37) /
         SUMPRODUCT(($H$9:$Z$9="CO5")*ISNUMBER($H$10:$Z$10)*ISNUMBER(H37:Z37)*$H$10:$Z$10) * 0.85
       )
     ) * 100,
     ""
   )
)</f>
        <v/>
      </c>
      <c r="AF37" s="1" t="str" cm="1">
        <f t="array" ref="AF37">IF(
   SUMPRODUCT(($C$9:$G$9="CO6")*ISNUMBER($C$10:$G$10)*ISNUMBER(C37:G37)) +
   SUMPRODUCT(($H$9:$Z$9="CO6")*ISNUMBER($H$10:$Z$10)*ISNUMBER(H37:Z37)) = 0,
   "",
   IFERROR(
     (
       IF(
         SUMPRODUCT(($C$9:$G$9="CO6")*ISNUMBER($C$10:$G$10)*ISNUMBER(C37:G37)) = 0,
         0,
         SUMPRODUCT(($C$9:$G$9="CO6")*ISNUMBER($C$10:$G$10)*ISNUMBER(C37:G37)*C37:G37) /
         SUMPRODUCT(($C$9:$G$9="CO6")*ISNUMBER($C$10:$G$10)*ISNUMBER(C37:G37)*$C$10:$G$10) * 0.15
       ) +
       IF(
         SUMPRODUCT(($H$9:$Z$9="CO6")*ISNUMBER($H$10:$Z$10)*ISNUMBER(H37:Z37)) = 0,
         0,
         SUMPRODUCT(($H$9:$Z$9="CO6")*ISNUMBER($H$10:$Z$10)*ISNUMBER(H37:Z37)*H37:Z37) /
         SUMPRODUCT(($H$9:$Z$9="CO6")*ISNUMBER($H$10:$Z$10)*ISNUMBER(H37:Z37)*$H$10:$Z$10) * 0.85
       )
     ) * 100,
     ""
   )
)</f>
        <v/>
      </c>
      <c r="AG37" s="1" t="str" cm="1">
        <f t="array" ref="AG37">IF(
   SUMPRODUCT(($C$9:$G$9="CO7")*ISNUMBER($C$10:$G$10)*ISNUMBER(C37:G37)) +
   SUMPRODUCT(($H$9:$Z$9="CO7")*ISNUMBER($H$10:$Z$10)*ISNUMBER(H37:Z37)) = 0,
   "",
   IFERROR(
     (
       IF(
         SUMPRODUCT(($C$9:$G$9="CO7")*ISNUMBER($C$10:$G$10)*ISNUMBER(C37:G37)) = 0,
         0,
         SUMPRODUCT(($C$9:$G$9="CO7")*ISNUMBER($C$10:$G$10)*ISNUMBER(C37:G37)*C37:G37) /
         SUMPRODUCT(($C$9:$G$9="CO7")*ISNUMBER($C$10:$G$10)*ISNUMBER(C37:G37)*$C$10:$G$10) * 0.15
       ) +
       IF(
         SUMPRODUCT(($H$9:$Z$9="CO7")*ISNUMBER($H$10:$Z$10)*ISNUMBER(H37:Z37)) = 0,
         0,
         SUMPRODUCT(($H$9:$Z$9="CO7")*ISNUMBER($H$10:$Z$10)*ISNUMBER(H37:Z37)*H37:Z37) /
         SUMPRODUCT(($H$9:$Z$9="CO7")*ISNUMBER($H$10:$Z$10)*ISNUMBER(H37:Z37)*$H$10:$Z$10) * 0.85
       )
     ) * 100,
     ""
   )
)</f>
        <v/>
      </c>
      <c r="AH37" s="3" t="str" cm="1">
        <f t="array" ref="AH37">IF(
   SUMPRODUCT(($C$9:$G$9="CO8")*ISNUMBER($C$10:$G$10)*ISNUMBER(C37:G37)) +
   SUMPRODUCT(($H$9:$Z$9="CO8")*ISNUMBER($H$10:$Z$10)*ISNUMBER(H37:Z37)) = 0,
   "",
   IFERROR(
     (
       IF(
         SUMPRODUCT(($C$9:$G$9="CO8")*ISNUMBER($C$10:$G$10)*ISNUMBER(C37:G37)) = 0,
         0,
         SUMPRODUCT(($C$9:$G$9="CO8")*ISNUMBER($C$10:$G$10)*ISNUMBER(C37:G37)*C37:G37) /
         SUMPRODUCT(($C$9:$G$9="CO8")*ISNUMBER($C$10:$G$10)*ISNUMBER(C37:G37)*$C$10:$G$10) * 0.15
       ) +
       IF(
         SUMPRODUCT(($H$9:$Z$9="CO8")*ISNUMBER($H$10:$Z$10)*ISNUMBER(H37:Z37)) = 0,
         0,
         SUMPRODUCT(($H$9:$Z$9="CO8")*ISNUMBER($H$10:$Z$10)*ISNUMBER(H37:Z37)*H37:Z37) /
         SUMPRODUCT(($H$9:$Z$9="CO8")*ISNUMBER($H$10:$Z$10)*ISNUMBER(H37:Z37)*$H$10:$Z$10) * 0.85
       )
     ) * 100,
     ""
   )
)</f>
        <v/>
      </c>
      <c r="AI37" s="1" t="str">
        <f t="shared" si="1"/>
        <v>D</v>
      </c>
      <c r="AJ37" s="1" t="str">
        <f t="shared" si="2"/>
        <v>S</v>
      </c>
      <c r="AK37" s="1" t="str">
        <f t="shared" si="3"/>
        <v>D</v>
      </c>
      <c r="AL37" s="1" t="str">
        <f t="shared" si="4"/>
        <v>P</v>
      </c>
      <c r="AM37" s="1" t="str">
        <f t="shared" si="4"/>
        <v/>
      </c>
      <c r="AN37" s="1" t="str">
        <f t="shared" si="4"/>
        <v/>
      </c>
      <c r="AO37" s="1" t="str">
        <f t="shared" si="4"/>
        <v/>
      </c>
      <c r="AP37" s="1" t="str">
        <f t="shared" si="4"/>
        <v/>
      </c>
    </row>
    <row r="38" spans="1:44" ht="16.2" thickBot="1" x14ac:dyDescent="0.35">
      <c r="A38" s="57">
        <v>2508027</v>
      </c>
      <c r="B38" s="58" t="s">
        <v>135</v>
      </c>
      <c r="C38" s="77">
        <v>0.5</v>
      </c>
      <c r="D38" s="82">
        <v>5</v>
      </c>
      <c r="E38" s="88">
        <v>3.5</v>
      </c>
      <c r="F38" s="89">
        <v>3</v>
      </c>
      <c r="G38" s="89">
        <v>3</v>
      </c>
      <c r="H38" s="14">
        <v>0</v>
      </c>
      <c r="I38" s="14">
        <v>1</v>
      </c>
      <c r="J38" s="14">
        <v>0</v>
      </c>
      <c r="K38" s="14">
        <v>0</v>
      </c>
      <c r="L38" s="14">
        <v>0</v>
      </c>
      <c r="M38" s="14">
        <v>1</v>
      </c>
      <c r="N38" s="14">
        <v>2</v>
      </c>
      <c r="O38" s="14">
        <v>1</v>
      </c>
      <c r="P38" s="14">
        <v>0</v>
      </c>
      <c r="Q38" s="14">
        <v>0</v>
      </c>
      <c r="R38" s="14">
        <v>1</v>
      </c>
      <c r="S38" s="14">
        <v>0</v>
      </c>
      <c r="T38" s="14">
        <v>1</v>
      </c>
      <c r="U38" s="14">
        <v>0</v>
      </c>
      <c r="V38" s="14">
        <v>0</v>
      </c>
      <c r="W38" s="14">
        <v>0</v>
      </c>
      <c r="X38" s="98">
        <v>22</v>
      </c>
      <c r="Y38" s="99">
        <v>8</v>
      </c>
      <c r="Z38" s="89">
        <v>4</v>
      </c>
      <c r="AA38" s="1" cm="1">
        <f t="array" ref="AA38">IF(
   SUMPRODUCT(($C$9:$G$9="CO1")*ISNUMBER($C$10:$G$10)*ISNUMBER(C38:G38)) +
   SUMPRODUCT(($H$9:$Z$9="CO1")*ISNUMBER($H$10:$Z$10)*ISNUMBER(H38:Z38)) = 0,
   "",
   IFERROR(
     (
       IF(
         SUMPRODUCT(($C$9:$G$9="CO1")*ISNUMBER($C$10:$G$10)*ISNUMBER(C38:G38)) = 0,
         0,
         SUMPRODUCT(($C$9:$G$9="CO1")*ISNUMBER($C$10:$G$10)*ISNUMBER(C38:G38)*C38:G38) /
         SUMPRODUCT(($C$9:$G$9="CO1")*ISNUMBER($C$10:$G$10)*ISNUMBER(C38:G38)*$C$10:$G$10) * 0.15
       ) +
       IF(
         SUMPRODUCT(($H$9:$Z$9="CO1")*ISNUMBER($H$10:$Z$10)*ISNUMBER(H38:Z38)) = 0,
         0,
         SUMPRODUCT(($H$9:$Z$9="CO1")*ISNUMBER($H$10:$Z$10)*ISNUMBER(H38:Z38)*H38:Z38) /
         SUMPRODUCT(($H$9:$Z$9="CO1")*ISNUMBER($H$10:$Z$10)*ISNUMBER(H38:Z38)*$H$10:$Z$10) * 0.85
       )
     ) * 100,
     ""
   )
)</f>
        <v>39.277777777777779</v>
      </c>
      <c r="AB38" s="1" cm="1">
        <f t="array" ref="AB38">IF(
   SUMPRODUCT(($C$9:$G$9="CO2")*ISNUMBER($C$10:$G$10)*ISNUMBER(C38:G38)) +
   SUMPRODUCT(($H$9:$Z$9="CO2")*ISNUMBER($H$10:$Z$10)*ISNUMBER(H38:Z38)) = 0,
   "",
   IFERROR(
     (
       IF(
         SUMPRODUCT(($C$9:$G$9="CO2")*ISNUMBER($C$10:$G$10)*ISNUMBER(C38:G38)) = 0,
         0,
         SUMPRODUCT(($C$9:$G$9="CO2")*ISNUMBER($C$10:$G$10)*ISNUMBER(C38:G38)*C38:G38) /
         SUMPRODUCT(($C$9:$G$9="CO2")*ISNUMBER($C$10:$G$10)*ISNUMBER(C38:G38)*$C$10:$G$10) * 0.15
       ) +
       IF(
         SUMPRODUCT(($H$9:$Z$9="CO2")*ISNUMBER($H$10:$Z$10)*ISNUMBER(H38:Z38)) = 0,
         0,
         SUMPRODUCT(($H$9:$Z$9="CO2")*ISNUMBER($H$10:$Z$10)*ISNUMBER(H38:Z38)*H38:Z38) /
         SUMPRODUCT(($H$9:$Z$9="CO2")*ISNUMBER($H$10:$Z$10)*ISNUMBER(H38:Z38)*$H$10:$Z$10) * 0.85
       )
     ) * 100,
     ""
   )
)</f>
        <v>65.875</v>
      </c>
      <c r="AC38" s="1" cm="1">
        <f t="array" ref="AC38">IF(
   SUMPRODUCT(($C$9:$G$9="CO3")*ISNUMBER($C$10:$G$10)*ISNUMBER(C38:G38)) +
   SUMPRODUCT(($H$9:$Z$9="CO3")*ISNUMBER($H$10:$Z$10)*ISNUMBER(H38:Z38)) = 0,
   "",
   IFERROR(
     (
       IF(
         SUMPRODUCT(($C$9:$G$9="CO3")*ISNUMBER($C$10:$G$10)*ISNUMBER(C38:G38)) = 0,
         0,
         SUMPRODUCT(($C$9:$G$9="CO3")*ISNUMBER($C$10:$G$10)*ISNUMBER(C38:G38)*C38:G38) /
         SUMPRODUCT(($C$9:$G$9="CO3")*ISNUMBER($C$10:$G$10)*ISNUMBER(C38:G38)*$C$10:$G$10) * 0.15
       ) +
       IF(
         SUMPRODUCT(($H$9:$Z$9="CO3")*ISNUMBER($H$10:$Z$10)*ISNUMBER(H38:Z38)) = 0,
         0,
         SUMPRODUCT(($H$9:$Z$9="CO3")*ISNUMBER($H$10:$Z$10)*ISNUMBER(H38:Z38)*H38:Z38) /
         SUMPRODUCT(($H$9:$Z$9="CO3")*ISNUMBER($H$10:$Z$10)*ISNUMBER(H38:Z38)*$H$10:$Z$10) * 0.85
       )
     ) * 100,
     ""
   )
)</f>
        <v>78.821428571428569</v>
      </c>
      <c r="AD38" s="1" cm="1">
        <f t="array" ref="AD38">IF(
   SUMPRODUCT(($C$9:$G$9="CO4")*ISNUMBER($C$10:$G$10)*ISNUMBER(C38:G38)) +
   SUMPRODUCT(($H$9:$Z$9="CO4")*ISNUMBER($H$10:$Z$10)*ISNUMBER(H38:Z38)) = 0,
   "",
   IFERROR(
     (
       IF(
         SUMPRODUCT(($C$9:$G$9="CO4")*ISNUMBER($C$10:$G$10)*ISNUMBER(C38:G38)) = 0,
         0,
         SUMPRODUCT(($C$9:$G$9="CO4")*ISNUMBER($C$10:$G$10)*ISNUMBER(C38:G38)*C38:G38) /
         SUMPRODUCT(($C$9:$G$9="CO4")*ISNUMBER($C$10:$G$10)*ISNUMBER(C38:G38)*$C$10:$G$10) * 0.15
       ) +
       IF(
         SUMPRODUCT(($H$9:$Z$9="CO4")*ISNUMBER($H$10:$Z$10)*ISNUMBER(H38:Z38)) = 0,
         0,
         SUMPRODUCT(($H$9:$Z$9="CO4")*ISNUMBER($H$10:$Z$10)*ISNUMBER(H38:Z38)*H38:Z38) /
         SUMPRODUCT(($H$9:$Z$9="CO4")*ISNUMBER($H$10:$Z$10)*ISNUMBER(H38:Z38)*$H$10:$Z$10) * 0.85
       )
     ) * 100,
     ""
   )
)</f>
        <v>9</v>
      </c>
      <c r="AE38" s="1" t="str" cm="1">
        <f t="array" ref="AE38">IF(
   SUMPRODUCT(($C$9:$G$9="CO5")*ISNUMBER($C$10:$G$10)*ISNUMBER(C38:G38)) +
   SUMPRODUCT(($H$9:$Z$9="CO5")*ISNUMBER($H$10:$Z$10)*ISNUMBER(H38:Z38)) = 0,
   "",
   IFERROR(
     (
       IF(
         SUMPRODUCT(($C$9:$G$9="CO5")*ISNUMBER($C$10:$G$10)*ISNUMBER(C38:G38)) = 0,
         0,
         SUMPRODUCT(($C$9:$G$9="CO5")*ISNUMBER($C$10:$G$10)*ISNUMBER(C38:G38)*C38:G38) /
         SUMPRODUCT(($C$9:$G$9="CO5")*ISNUMBER($C$10:$G$10)*ISNUMBER(C38:G38)*$C$10:$G$10) * 0.15
       ) +
       IF(
         SUMPRODUCT(($H$9:$Z$9="CO5")*ISNUMBER($H$10:$Z$10)*ISNUMBER(H38:Z38)) = 0,
         0,
         SUMPRODUCT(($H$9:$Z$9="CO5")*ISNUMBER($H$10:$Z$10)*ISNUMBER(H38:Z38)*H38:Z38) /
         SUMPRODUCT(($H$9:$Z$9="CO5")*ISNUMBER($H$10:$Z$10)*ISNUMBER(H38:Z38)*$H$10:$Z$10) * 0.85
       )
     ) * 100,
     ""
   )
)</f>
        <v/>
      </c>
      <c r="AF38" s="1" t="str" cm="1">
        <f t="array" ref="AF38">IF(
   SUMPRODUCT(($C$9:$G$9="CO6")*ISNUMBER($C$10:$G$10)*ISNUMBER(C38:G38)) +
   SUMPRODUCT(($H$9:$Z$9="CO6")*ISNUMBER($H$10:$Z$10)*ISNUMBER(H38:Z38)) = 0,
   "",
   IFERROR(
     (
       IF(
         SUMPRODUCT(($C$9:$G$9="CO6")*ISNUMBER($C$10:$G$10)*ISNUMBER(C38:G38)) = 0,
         0,
         SUMPRODUCT(($C$9:$G$9="CO6")*ISNUMBER($C$10:$G$10)*ISNUMBER(C38:G38)*C38:G38) /
         SUMPRODUCT(($C$9:$G$9="CO6")*ISNUMBER($C$10:$G$10)*ISNUMBER(C38:G38)*$C$10:$G$10) * 0.15
       ) +
       IF(
         SUMPRODUCT(($H$9:$Z$9="CO6")*ISNUMBER($H$10:$Z$10)*ISNUMBER(H38:Z38)) = 0,
         0,
         SUMPRODUCT(($H$9:$Z$9="CO6")*ISNUMBER($H$10:$Z$10)*ISNUMBER(H38:Z38)*H38:Z38) /
         SUMPRODUCT(($H$9:$Z$9="CO6")*ISNUMBER($H$10:$Z$10)*ISNUMBER(H38:Z38)*$H$10:$Z$10) * 0.85
       )
     ) * 100,
     ""
   )
)</f>
        <v/>
      </c>
      <c r="AG38" s="1" t="str" cm="1">
        <f t="array" ref="AG38">IF(
   SUMPRODUCT(($C$9:$G$9="CO7")*ISNUMBER($C$10:$G$10)*ISNUMBER(C38:G38)) +
   SUMPRODUCT(($H$9:$Z$9="CO7")*ISNUMBER($H$10:$Z$10)*ISNUMBER(H38:Z38)) = 0,
   "",
   IFERROR(
     (
       IF(
         SUMPRODUCT(($C$9:$G$9="CO7")*ISNUMBER($C$10:$G$10)*ISNUMBER(C38:G38)) = 0,
         0,
         SUMPRODUCT(($C$9:$G$9="CO7")*ISNUMBER($C$10:$G$10)*ISNUMBER(C38:G38)*C38:G38) /
         SUMPRODUCT(($C$9:$G$9="CO7")*ISNUMBER($C$10:$G$10)*ISNUMBER(C38:G38)*$C$10:$G$10) * 0.15
       ) +
       IF(
         SUMPRODUCT(($H$9:$Z$9="CO7")*ISNUMBER($H$10:$Z$10)*ISNUMBER(H38:Z38)) = 0,
         0,
         SUMPRODUCT(($H$9:$Z$9="CO7")*ISNUMBER($H$10:$Z$10)*ISNUMBER(H38:Z38)*H38:Z38) /
         SUMPRODUCT(($H$9:$Z$9="CO7")*ISNUMBER($H$10:$Z$10)*ISNUMBER(H38:Z38)*$H$10:$Z$10) * 0.85
       )
     ) * 100,
     ""
   )
)</f>
        <v/>
      </c>
      <c r="AH38" s="3" t="str" cm="1">
        <f t="array" ref="AH38">IF(
   SUMPRODUCT(($C$9:$G$9="CO8")*ISNUMBER($C$10:$G$10)*ISNUMBER(C38:G38)) +
   SUMPRODUCT(($H$9:$Z$9="CO8")*ISNUMBER($H$10:$Z$10)*ISNUMBER(H38:Z38)) = 0,
   "",
   IFERROR(
     (
       IF(
         SUMPRODUCT(($C$9:$G$9="CO8")*ISNUMBER($C$10:$G$10)*ISNUMBER(C38:G38)) = 0,
         0,
         SUMPRODUCT(($C$9:$G$9="CO8")*ISNUMBER($C$10:$G$10)*ISNUMBER(C38:G38)*C38:G38) /
         SUMPRODUCT(($C$9:$G$9="CO8")*ISNUMBER($C$10:$G$10)*ISNUMBER(C38:G38)*$C$10:$G$10) * 0.15
       ) +
       IF(
         SUMPRODUCT(($H$9:$Z$9="CO8")*ISNUMBER($H$10:$Z$10)*ISNUMBER(H38:Z38)) = 0,
         0,
         SUMPRODUCT(($H$9:$Z$9="CO8")*ISNUMBER($H$10:$Z$10)*ISNUMBER(H38:Z38)*H38:Z38) /
         SUMPRODUCT(($H$9:$Z$9="CO8")*ISNUMBER($H$10:$Z$10)*ISNUMBER(H38:Z38)*$H$10:$Z$10) * 0.85
       )
     ) * 100,
     ""
   )
)</f>
        <v/>
      </c>
      <c r="AI38" s="1" t="str">
        <f t="shared" si="1"/>
        <v>F</v>
      </c>
      <c r="AJ38" s="1" t="str">
        <f t="shared" si="2"/>
        <v>First</v>
      </c>
      <c r="AK38" s="1" t="str">
        <f t="shared" si="3"/>
        <v>D</v>
      </c>
      <c r="AL38" s="1" t="str">
        <f t="shared" si="4"/>
        <v>F</v>
      </c>
      <c r="AM38" s="1" t="str">
        <f t="shared" si="4"/>
        <v/>
      </c>
      <c r="AN38" s="1" t="str">
        <f t="shared" si="4"/>
        <v/>
      </c>
      <c r="AO38" s="1" t="str">
        <f t="shared" si="4"/>
        <v/>
      </c>
      <c r="AP38" s="1" t="str">
        <f t="shared" si="4"/>
        <v/>
      </c>
    </row>
    <row r="39" spans="1:44" ht="16.2" thickBot="1" x14ac:dyDescent="0.35">
      <c r="A39" s="57">
        <v>2508028</v>
      </c>
      <c r="B39" s="58" t="s">
        <v>136</v>
      </c>
      <c r="C39" s="77">
        <v>3.5</v>
      </c>
      <c r="D39" s="82">
        <v>5</v>
      </c>
      <c r="E39" s="88">
        <v>5</v>
      </c>
      <c r="F39" s="89">
        <v>5</v>
      </c>
      <c r="G39" s="89">
        <v>2</v>
      </c>
      <c r="H39" s="14">
        <v>1</v>
      </c>
      <c r="I39" s="14">
        <v>0.5</v>
      </c>
      <c r="J39" s="14">
        <v>1</v>
      </c>
      <c r="K39" s="14">
        <v>1</v>
      </c>
      <c r="L39" s="14">
        <v>1</v>
      </c>
      <c r="M39" s="14">
        <v>0</v>
      </c>
      <c r="N39" s="14">
        <v>2</v>
      </c>
      <c r="O39" s="14">
        <v>0</v>
      </c>
      <c r="P39" s="14">
        <v>2</v>
      </c>
      <c r="Q39" s="14">
        <v>2</v>
      </c>
      <c r="R39" s="14">
        <v>1</v>
      </c>
      <c r="S39" s="14">
        <v>0</v>
      </c>
      <c r="T39" s="14">
        <v>1</v>
      </c>
      <c r="U39" s="14">
        <v>0</v>
      </c>
      <c r="V39" s="14">
        <v>2</v>
      </c>
      <c r="W39" s="14">
        <v>0.5</v>
      </c>
      <c r="X39" s="98">
        <v>23</v>
      </c>
      <c r="Y39" s="99">
        <v>5</v>
      </c>
      <c r="Z39" s="89">
        <v>8</v>
      </c>
      <c r="AA39" s="1" cm="1">
        <f t="array" ref="AA39">IF(
   SUMPRODUCT(($C$9:$G$9="CO1")*ISNUMBER($C$10:$G$10)*ISNUMBER(C39:G39)) +
   SUMPRODUCT(($H$9:$Z$9="CO1")*ISNUMBER($H$10:$Z$10)*ISNUMBER(H39:Z39)) = 0,
   "",
   IFERROR(
     (
       IF(
         SUMPRODUCT(($C$9:$G$9="CO1")*ISNUMBER($C$10:$G$10)*ISNUMBER(C39:G39)) = 0,
         0,
         SUMPRODUCT(($C$9:$G$9="CO1")*ISNUMBER($C$10:$G$10)*ISNUMBER(C39:G39)*C39:G39) /
         SUMPRODUCT(($C$9:$G$9="CO1")*ISNUMBER($C$10:$G$10)*ISNUMBER(C39:G39)*$C$10:$G$10) * 0.15
       ) +
       IF(
         SUMPRODUCT(($H$9:$Z$9="CO1")*ISNUMBER($H$10:$Z$10)*ISNUMBER(H39:Z39)) = 0,
         0,
         SUMPRODUCT(($H$9:$Z$9="CO1")*ISNUMBER($H$10:$Z$10)*ISNUMBER(H39:Z39)*H39:Z39) /
         SUMPRODUCT(($H$9:$Z$9="CO1")*ISNUMBER($H$10:$Z$10)*ISNUMBER(H39:Z39)*$H$10:$Z$10) * 0.85
       )
     ) * 100,
     ""
   )
)</f>
        <v>78.972222222222229</v>
      </c>
      <c r="AB39" s="1" cm="1">
        <f t="array" ref="AB39">IF(
   SUMPRODUCT(($C$9:$G$9="CO2")*ISNUMBER($C$10:$G$10)*ISNUMBER(C39:G39)) +
   SUMPRODUCT(($H$9:$Z$9="CO2")*ISNUMBER($H$10:$Z$10)*ISNUMBER(H39:Z39)) = 0,
   "",
   IFERROR(
     (
       IF(
         SUMPRODUCT(($C$9:$G$9="CO2")*ISNUMBER($C$10:$G$10)*ISNUMBER(C39:G39)) = 0,
         0,
         SUMPRODUCT(($C$9:$G$9="CO2")*ISNUMBER($C$10:$G$10)*ISNUMBER(C39:G39)*C39:G39) /
         SUMPRODUCT(($C$9:$G$9="CO2")*ISNUMBER($C$10:$G$10)*ISNUMBER(C39:G39)*$C$10:$G$10) * 0.15
       ) +
       IF(
         SUMPRODUCT(($H$9:$Z$9="CO2")*ISNUMBER($H$10:$Z$10)*ISNUMBER(H39:Z39)) = 0,
         0,
         SUMPRODUCT(($H$9:$Z$9="CO2")*ISNUMBER($H$10:$Z$10)*ISNUMBER(H39:Z39)*H39:Z39) /
         SUMPRODUCT(($H$9:$Z$9="CO2")*ISNUMBER($H$10:$Z$10)*ISNUMBER(H39:Z39)*$H$10:$Z$10) * 0.85
       )
     ) * 100,
     ""
   )
)</f>
        <v>57.499999999999993</v>
      </c>
      <c r="AC39" s="1" cm="1">
        <f t="array" ref="AC39">IF(
   SUMPRODUCT(($C$9:$G$9="CO3")*ISNUMBER($C$10:$G$10)*ISNUMBER(C39:G39)) +
   SUMPRODUCT(($H$9:$Z$9="CO3")*ISNUMBER($H$10:$Z$10)*ISNUMBER(H39:Z39)) = 0,
   "",
   IFERROR(
     (
       IF(
         SUMPRODUCT(($C$9:$G$9="CO3")*ISNUMBER($C$10:$G$10)*ISNUMBER(C39:G39)) = 0,
         0,
         SUMPRODUCT(($C$9:$G$9="CO3")*ISNUMBER($C$10:$G$10)*ISNUMBER(C39:G39)*C39:G39) /
         SUMPRODUCT(($C$9:$G$9="CO3")*ISNUMBER($C$10:$G$10)*ISNUMBER(C39:G39)*$C$10:$G$10) * 0.15
       ) +
       IF(
         SUMPRODUCT(($H$9:$Z$9="CO3")*ISNUMBER($H$10:$Z$10)*ISNUMBER(H39:Z39)) = 0,
         0,
         SUMPRODUCT(($H$9:$Z$9="CO3")*ISNUMBER($H$10:$Z$10)*ISNUMBER(H39:Z39)*H39:Z39) /
         SUMPRODUCT(($H$9:$Z$9="CO3")*ISNUMBER($H$10:$Z$10)*ISNUMBER(H39:Z39)*$H$10:$Z$10) * 0.85
       )
     ) * 100,
     ""
   )
)</f>
        <v>93.928571428571431</v>
      </c>
      <c r="AD39" s="1" cm="1">
        <f t="array" ref="AD39">IF(
   SUMPRODUCT(($C$9:$G$9="CO4")*ISNUMBER($C$10:$G$10)*ISNUMBER(C39:G39)) +
   SUMPRODUCT(($H$9:$Z$9="CO4")*ISNUMBER($H$10:$Z$10)*ISNUMBER(H39:Z39)) = 0,
   "",
   IFERROR(
     (
       IF(
         SUMPRODUCT(($C$9:$G$9="CO4")*ISNUMBER($C$10:$G$10)*ISNUMBER(C39:G39)) = 0,
         0,
         SUMPRODUCT(($C$9:$G$9="CO4")*ISNUMBER($C$10:$G$10)*ISNUMBER(C39:G39)*C39:G39) /
         SUMPRODUCT(($C$9:$G$9="CO4")*ISNUMBER($C$10:$G$10)*ISNUMBER(C39:G39)*$C$10:$G$10) * 0.15
       ) +
       IF(
         SUMPRODUCT(($H$9:$Z$9="CO4")*ISNUMBER($H$10:$Z$10)*ISNUMBER(H39:Z39)) = 0,
         0,
         SUMPRODUCT(($H$9:$Z$9="CO4")*ISNUMBER($H$10:$Z$10)*ISNUMBER(H39:Z39)*H39:Z39) /
         SUMPRODUCT(($H$9:$Z$9="CO4")*ISNUMBER($H$10:$Z$10)*ISNUMBER(H39:Z39)*$H$10:$Z$10) * 0.85
       )
     ) * 100,
     ""
   )
)</f>
        <v>41.416666666666671</v>
      </c>
      <c r="AE39" s="1" t="str" cm="1">
        <f t="array" ref="AE39">IF(
   SUMPRODUCT(($C$9:$G$9="CO5")*ISNUMBER($C$10:$G$10)*ISNUMBER(C39:G39)) +
   SUMPRODUCT(($H$9:$Z$9="CO5")*ISNUMBER($H$10:$Z$10)*ISNUMBER(H39:Z39)) = 0,
   "",
   IFERROR(
     (
       IF(
         SUMPRODUCT(($C$9:$G$9="CO5")*ISNUMBER($C$10:$G$10)*ISNUMBER(C39:G39)) = 0,
         0,
         SUMPRODUCT(($C$9:$G$9="CO5")*ISNUMBER($C$10:$G$10)*ISNUMBER(C39:G39)*C39:G39) /
         SUMPRODUCT(($C$9:$G$9="CO5")*ISNUMBER($C$10:$G$10)*ISNUMBER(C39:G39)*$C$10:$G$10) * 0.15
       ) +
       IF(
         SUMPRODUCT(($H$9:$Z$9="CO5")*ISNUMBER($H$10:$Z$10)*ISNUMBER(H39:Z39)) = 0,
         0,
         SUMPRODUCT(($H$9:$Z$9="CO5")*ISNUMBER($H$10:$Z$10)*ISNUMBER(H39:Z39)*H39:Z39) /
         SUMPRODUCT(($H$9:$Z$9="CO5")*ISNUMBER($H$10:$Z$10)*ISNUMBER(H39:Z39)*$H$10:$Z$10) * 0.85
       )
     ) * 100,
     ""
   )
)</f>
        <v/>
      </c>
      <c r="AF39" s="1" t="str" cm="1">
        <f t="array" ref="AF39">IF(
   SUMPRODUCT(($C$9:$G$9="CO6")*ISNUMBER($C$10:$G$10)*ISNUMBER(C39:G39)) +
   SUMPRODUCT(($H$9:$Z$9="CO6")*ISNUMBER($H$10:$Z$10)*ISNUMBER(H39:Z39)) = 0,
   "",
   IFERROR(
     (
       IF(
         SUMPRODUCT(($C$9:$G$9="CO6")*ISNUMBER($C$10:$G$10)*ISNUMBER(C39:G39)) = 0,
         0,
         SUMPRODUCT(($C$9:$G$9="CO6")*ISNUMBER($C$10:$G$10)*ISNUMBER(C39:G39)*C39:G39) /
         SUMPRODUCT(($C$9:$G$9="CO6")*ISNUMBER($C$10:$G$10)*ISNUMBER(C39:G39)*$C$10:$G$10) * 0.15
       ) +
       IF(
         SUMPRODUCT(($H$9:$Z$9="CO6")*ISNUMBER($H$10:$Z$10)*ISNUMBER(H39:Z39)) = 0,
         0,
         SUMPRODUCT(($H$9:$Z$9="CO6")*ISNUMBER($H$10:$Z$10)*ISNUMBER(H39:Z39)*H39:Z39) /
         SUMPRODUCT(($H$9:$Z$9="CO6")*ISNUMBER($H$10:$Z$10)*ISNUMBER(H39:Z39)*$H$10:$Z$10) * 0.85
       )
     ) * 100,
     ""
   )
)</f>
        <v/>
      </c>
      <c r="AG39" s="1" t="str" cm="1">
        <f t="array" ref="AG39">IF(
   SUMPRODUCT(($C$9:$G$9="CO7")*ISNUMBER($C$10:$G$10)*ISNUMBER(C39:G39)) +
   SUMPRODUCT(($H$9:$Z$9="CO7")*ISNUMBER($H$10:$Z$10)*ISNUMBER(H39:Z39)) = 0,
   "",
   IFERROR(
     (
       IF(
         SUMPRODUCT(($C$9:$G$9="CO7")*ISNUMBER($C$10:$G$10)*ISNUMBER(C39:G39)) = 0,
         0,
         SUMPRODUCT(($C$9:$G$9="CO7")*ISNUMBER($C$10:$G$10)*ISNUMBER(C39:G39)*C39:G39) /
         SUMPRODUCT(($C$9:$G$9="CO7")*ISNUMBER($C$10:$G$10)*ISNUMBER(C39:G39)*$C$10:$G$10) * 0.15
       ) +
       IF(
         SUMPRODUCT(($H$9:$Z$9="CO7")*ISNUMBER($H$10:$Z$10)*ISNUMBER(H39:Z39)) = 0,
         0,
         SUMPRODUCT(($H$9:$Z$9="CO7")*ISNUMBER($H$10:$Z$10)*ISNUMBER(H39:Z39)*H39:Z39) /
         SUMPRODUCT(($H$9:$Z$9="CO7")*ISNUMBER($H$10:$Z$10)*ISNUMBER(H39:Z39)*$H$10:$Z$10) * 0.85
       )
     ) * 100,
     ""
   )
)</f>
        <v/>
      </c>
      <c r="AH39" s="3" t="str" cm="1">
        <f t="array" ref="AH39">IF(
   SUMPRODUCT(($C$9:$G$9="CO8")*ISNUMBER($C$10:$G$10)*ISNUMBER(C39:G39)) +
   SUMPRODUCT(($H$9:$Z$9="CO8")*ISNUMBER($H$10:$Z$10)*ISNUMBER(H39:Z39)) = 0,
   "",
   IFERROR(
     (
       IF(
         SUMPRODUCT(($C$9:$G$9="CO8")*ISNUMBER($C$10:$G$10)*ISNUMBER(C39:G39)) = 0,
         0,
         SUMPRODUCT(($C$9:$G$9="CO8")*ISNUMBER($C$10:$G$10)*ISNUMBER(C39:G39)*C39:G39) /
         SUMPRODUCT(($C$9:$G$9="CO8")*ISNUMBER($C$10:$G$10)*ISNUMBER(C39:G39)*$C$10:$G$10) * 0.15
       ) +
       IF(
         SUMPRODUCT(($H$9:$Z$9="CO8")*ISNUMBER($H$10:$Z$10)*ISNUMBER(H39:Z39)) = 0,
         0,
         SUMPRODUCT(($H$9:$Z$9="CO8")*ISNUMBER($H$10:$Z$10)*ISNUMBER(H39:Z39)*H39:Z39) /
         SUMPRODUCT(($H$9:$Z$9="CO8")*ISNUMBER($H$10:$Z$10)*ISNUMBER(H39:Z39)*$H$10:$Z$10) * 0.85
       )
     ) * 100,
     ""
   )
)</f>
        <v/>
      </c>
      <c r="AI39" s="1" t="str">
        <f t="shared" si="1"/>
        <v>D</v>
      </c>
      <c r="AJ39" s="1" t="str">
        <f t="shared" si="2"/>
        <v>S</v>
      </c>
      <c r="AK39" s="1" t="str">
        <f t="shared" si="3"/>
        <v>D</v>
      </c>
      <c r="AL39" s="1" t="str">
        <f t="shared" si="4"/>
        <v>P</v>
      </c>
      <c r="AM39" s="1" t="str">
        <f t="shared" si="4"/>
        <v/>
      </c>
      <c r="AN39" s="1" t="str">
        <f t="shared" si="4"/>
        <v/>
      </c>
      <c r="AO39" s="1" t="str">
        <f t="shared" si="4"/>
        <v/>
      </c>
      <c r="AP39" s="1" t="str">
        <f t="shared" si="4"/>
        <v/>
      </c>
    </row>
    <row r="40" spans="1:44" ht="16.2" thickBot="1" x14ac:dyDescent="0.35">
      <c r="A40" s="57">
        <v>2508029</v>
      </c>
      <c r="B40" s="58" t="s">
        <v>137</v>
      </c>
      <c r="C40" s="78">
        <v>2</v>
      </c>
      <c r="D40" s="82">
        <v>5</v>
      </c>
      <c r="E40" s="92">
        <v>2.5</v>
      </c>
      <c r="F40" s="89">
        <v>5</v>
      </c>
      <c r="G40" s="89">
        <v>3</v>
      </c>
      <c r="H40" s="14">
        <v>0</v>
      </c>
      <c r="I40" s="14">
        <v>1</v>
      </c>
      <c r="J40" s="14">
        <v>1</v>
      </c>
      <c r="K40" s="14">
        <v>1</v>
      </c>
      <c r="L40" s="14">
        <v>0</v>
      </c>
      <c r="M40" s="14">
        <v>1</v>
      </c>
      <c r="N40" s="14">
        <v>1</v>
      </c>
      <c r="O40" s="14">
        <v>0</v>
      </c>
      <c r="P40" s="14">
        <v>0</v>
      </c>
      <c r="Q40" s="14">
        <v>0</v>
      </c>
      <c r="R40" s="14">
        <v>1</v>
      </c>
      <c r="S40" s="14">
        <v>0</v>
      </c>
      <c r="T40" s="14">
        <v>1</v>
      </c>
      <c r="U40" s="14">
        <v>0.5</v>
      </c>
      <c r="V40" s="14">
        <v>0</v>
      </c>
      <c r="W40" s="14">
        <v>0</v>
      </c>
      <c r="X40" s="98">
        <v>22</v>
      </c>
      <c r="Y40" s="99">
        <v>8</v>
      </c>
      <c r="Z40" s="89">
        <v>7</v>
      </c>
      <c r="AA40" s="1" cm="1">
        <f t="array" ref="AA40">IF(
   SUMPRODUCT(($C$9:$G$9="CO1")*ISNUMBER($C$10:$G$10)*ISNUMBER(C40:G40)) +
   SUMPRODUCT(($H$9:$Z$9="CO1")*ISNUMBER($H$10:$Z$10)*ISNUMBER(H40:Z40)) = 0,
   "",
   IFERROR(
     (
       IF(
         SUMPRODUCT(($C$9:$G$9="CO1")*ISNUMBER($C$10:$G$10)*ISNUMBER(C40:G40)) = 0,
         0,
         SUMPRODUCT(($C$9:$G$9="CO1")*ISNUMBER($C$10:$G$10)*ISNUMBER(C40:G40)*C40:G40) /
         SUMPRODUCT(($C$9:$G$9="CO1")*ISNUMBER($C$10:$G$10)*ISNUMBER(C40:G40)*$C$10:$G$10) * 0.15
       ) +
       IF(
         SUMPRODUCT(($H$9:$Z$9="CO1")*ISNUMBER($H$10:$Z$10)*ISNUMBER(H40:Z40)) = 0,
         0,
         SUMPRODUCT(($H$9:$Z$9="CO1")*ISNUMBER($H$10:$Z$10)*ISNUMBER(H40:Z40)*H40:Z40) /
         SUMPRODUCT(($H$9:$Z$9="CO1")*ISNUMBER($H$10:$Z$10)*ISNUMBER(H40:Z40)*$H$10:$Z$10) * 0.85
       )
     ) * 100,
     ""
   )
)</f>
        <v>62.666666666666671</v>
      </c>
      <c r="AB40" s="1" cm="1">
        <f t="array" ref="AB40">IF(
   SUMPRODUCT(($C$9:$G$9="CO2")*ISNUMBER($C$10:$G$10)*ISNUMBER(C40:G40)) +
   SUMPRODUCT(($H$9:$Z$9="CO2")*ISNUMBER($H$10:$Z$10)*ISNUMBER(H40:Z40)) = 0,
   "",
   IFERROR(
     (
       IF(
         SUMPRODUCT(($C$9:$G$9="CO2")*ISNUMBER($C$10:$G$10)*ISNUMBER(C40:G40)) = 0,
         0,
         SUMPRODUCT(($C$9:$G$9="CO2")*ISNUMBER($C$10:$G$10)*ISNUMBER(C40:G40)*C40:G40) /
         SUMPRODUCT(($C$9:$G$9="CO2")*ISNUMBER($C$10:$G$10)*ISNUMBER(C40:G40)*$C$10:$G$10) * 0.15
       ) +
       IF(
         SUMPRODUCT(($H$9:$Z$9="CO2")*ISNUMBER($H$10:$Z$10)*ISNUMBER(H40:Z40)) = 0,
         0,
         SUMPRODUCT(($H$9:$Z$9="CO2")*ISNUMBER($H$10:$Z$10)*ISNUMBER(H40:Z40)*H40:Z40) /
         SUMPRODUCT(($H$9:$Z$9="CO2")*ISNUMBER($H$10:$Z$10)*ISNUMBER(H40:Z40)*$H$10:$Z$10) * 0.85
       )
     ) * 100,
     ""
   )
)</f>
        <v>59.062499999999993</v>
      </c>
      <c r="AC40" s="1" cm="1">
        <f t="array" ref="AC40">IF(
   SUMPRODUCT(($C$9:$G$9="CO3")*ISNUMBER($C$10:$G$10)*ISNUMBER(C40:G40)) +
   SUMPRODUCT(($H$9:$Z$9="CO3")*ISNUMBER($H$10:$Z$10)*ISNUMBER(H40:Z40)) = 0,
   "",
   IFERROR(
     (
       IF(
         SUMPRODUCT(($C$9:$G$9="CO3")*ISNUMBER($C$10:$G$10)*ISNUMBER(C40:G40)) = 0,
         0,
         SUMPRODUCT(($C$9:$G$9="CO3")*ISNUMBER($C$10:$G$10)*ISNUMBER(C40:G40)*C40:G40) /
         SUMPRODUCT(($C$9:$G$9="CO3")*ISNUMBER($C$10:$G$10)*ISNUMBER(C40:G40)*$C$10:$G$10) * 0.15
       ) +
       IF(
         SUMPRODUCT(($H$9:$Z$9="CO3")*ISNUMBER($H$10:$Z$10)*ISNUMBER(H40:Z40)) = 0,
         0,
         SUMPRODUCT(($H$9:$Z$9="CO3")*ISNUMBER($H$10:$Z$10)*ISNUMBER(H40:Z40)*H40:Z40) /
         SUMPRODUCT(($H$9:$Z$9="CO3")*ISNUMBER($H$10:$Z$10)*ISNUMBER(H40:Z40)*$H$10:$Z$10) * 0.85
       )
     ) * 100,
     ""
   )
)</f>
        <v>84.821428571428569</v>
      </c>
      <c r="AD40" s="1" cm="1">
        <f t="array" ref="AD40">IF(
   SUMPRODUCT(($C$9:$G$9="CO4")*ISNUMBER($C$10:$G$10)*ISNUMBER(C40:G40)) +
   SUMPRODUCT(($H$9:$Z$9="CO4")*ISNUMBER($H$10:$Z$10)*ISNUMBER(H40:Z40)) = 0,
   "",
   IFERROR(
     (
       IF(
         SUMPRODUCT(($C$9:$G$9="CO4")*ISNUMBER($C$10:$G$10)*ISNUMBER(C40:G40)) = 0,
         0,
         SUMPRODUCT(($C$9:$G$9="CO4")*ISNUMBER($C$10:$G$10)*ISNUMBER(C40:G40)*C40:G40) /
         SUMPRODUCT(($C$9:$G$9="CO4")*ISNUMBER($C$10:$G$10)*ISNUMBER(C40:G40)*$C$10:$G$10) * 0.15
       ) +
       IF(
         SUMPRODUCT(($H$9:$Z$9="CO4")*ISNUMBER($H$10:$Z$10)*ISNUMBER(H40:Z40)) = 0,
         0,
         SUMPRODUCT(($H$9:$Z$9="CO4")*ISNUMBER($H$10:$Z$10)*ISNUMBER(H40:Z40)*H40:Z40) /
         SUMPRODUCT(($H$9:$Z$9="CO4")*ISNUMBER($H$10:$Z$10)*ISNUMBER(H40:Z40)*$H$10:$Z$10) * 0.85
       )
     ) * 100,
     ""
   )
)</f>
        <v>16.083333333333332</v>
      </c>
      <c r="AE40" s="1" t="str" cm="1">
        <f t="array" ref="AE40">IF(
   SUMPRODUCT(($C$9:$G$9="CO5")*ISNUMBER($C$10:$G$10)*ISNUMBER(C40:G40)) +
   SUMPRODUCT(($H$9:$Z$9="CO5")*ISNUMBER($H$10:$Z$10)*ISNUMBER(H40:Z40)) = 0,
   "",
   IFERROR(
     (
       IF(
         SUMPRODUCT(($C$9:$G$9="CO5")*ISNUMBER($C$10:$G$10)*ISNUMBER(C40:G40)) = 0,
         0,
         SUMPRODUCT(($C$9:$G$9="CO5")*ISNUMBER($C$10:$G$10)*ISNUMBER(C40:G40)*C40:G40) /
         SUMPRODUCT(($C$9:$G$9="CO5")*ISNUMBER($C$10:$G$10)*ISNUMBER(C40:G40)*$C$10:$G$10) * 0.15
       ) +
       IF(
         SUMPRODUCT(($H$9:$Z$9="CO5")*ISNUMBER($H$10:$Z$10)*ISNUMBER(H40:Z40)) = 0,
         0,
         SUMPRODUCT(($H$9:$Z$9="CO5")*ISNUMBER($H$10:$Z$10)*ISNUMBER(H40:Z40)*H40:Z40) /
         SUMPRODUCT(($H$9:$Z$9="CO5")*ISNUMBER($H$10:$Z$10)*ISNUMBER(H40:Z40)*$H$10:$Z$10) * 0.85
       )
     ) * 100,
     ""
   )
)</f>
        <v/>
      </c>
      <c r="AF40" s="1" t="str" cm="1">
        <f t="array" ref="AF40">IF(
   SUMPRODUCT(($C$9:$G$9="CO6")*ISNUMBER($C$10:$G$10)*ISNUMBER(C40:G40)) +
   SUMPRODUCT(($H$9:$Z$9="CO6")*ISNUMBER($H$10:$Z$10)*ISNUMBER(H40:Z40)) = 0,
   "",
   IFERROR(
     (
       IF(
         SUMPRODUCT(($C$9:$G$9="CO6")*ISNUMBER($C$10:$G$10)*ISNUMBER(C40:G40)) = 0,
         0,
         SUMPRODUCT(($C$9:$G$9="CO6")*ISNUMBER($C$10:$G$10)*ISNUMBER(C40:G40)*C40:G40) /
         SUMPRODUCT(($C$9:$G$9="CO6")*ISNUMBER($C$10:$G$10)*ISNUMBER(C40:G40)*$C$10:$G$10) * 0.15
       ) +
       IF(
         SUMPRODUCT(($H$9:$Z$9="CO6")*ISNUMBER($H$10:$Z$10)*ISNUMBER(H40:Z40)) = 0,
         0,
         SUMPRODUCT(($H$9:$Z$9="CO6")*ISNUMBER($H$10:$Z$10)*ISNUMBER(H40:Z40)*H40:Z40) /
         SUMPRODUCT(($H$9:$Z$9="CO6")*ISNUMBER($H$10:$Z$10)*ISNUMBER(H40:Z40)*$H$10:$Z$10) * 0.85
       )
     ) * 100,
     ""
   )
)</f>
        <v/>
      </c>
      <c r="AG40" s="1" t="str" cm="1">
        <f t="array" ref="AG40">IF(
   SUMPRODUCT(($C$9:$G$9="CO7")*ISNUMBER($C$10:$G$10)*ISNUMBER(C40:G40)) +
   SUMPRODUCT(($H$9:$Z$9="CO7")*ISNUMBER($H$10:$Z$10)*ISNUMBER(H40:Z40)) = 0,
   "",
   IFERROR(
     (
       IF(
         SUMPRODUCT(($C$9:$G$9="CO7")*ISNUMBER($C$10:$G$10)*ISNUMBER(C40:G40)) = 0,
         0,
         SUMPRODUCT(($C$9:$G$9="CO7")*ISNUMBER($C$10:$G$10)*ISNUMBER(C40:G40)*C40:G40) /
         SUMPRODUCT(($C$9:$G$9="CO7")*ISNUMBER($C$10:$G$10)*ISNUMBER(C40:G40)*$C$10:$G$10) * 0.15
       ) +
       IF(
         SUMPRODUCT(($H$9:$Z$9="CO7")*ISNUMBER($H$10:$Z$10)*ISNUMBER(H40:Z40)) = 0,
         0,
         SUMPRODUCT(($H$9:$Z$9="CO7")*ISNUMBER($H$10:$Z$10)*ISNUMBER(H40:Z40)*H40:Z40) /
         SUMPRODUCT(($H$9:$Z$9="CO7")*ISNUMBER($H$10:$Z$10)*ISNUMBER(H40:Z40)*$H$10:$Z$10) * 0.85
       )
     ) * 100,
     ""
   )
)</f>
        <v/>
      </c>
      <c r="AH40" s="3" t="str" cm="1">
        <f t="array" ref="AH40">IF(
   SUMPRODUCT(($C$9:$G$9="CO8")*ISNUMBER($C$10:$G$10)*ISNUMBER(C40:G40)) +
   SUMPRODUCT(($H$9:$Z$9="CO8")*ISNUMBER($H$10:$Z$10)*ISNUMBER(H40:Z40)) = 0,
   "",
   IFERROR(
     (
       IF(
         SUMPRODUCT(($C$9:$G$9="CO8")*ISNUMBER($C$10:$G$10)*ISNUMBER(C40:G40)) = 0,
         0,
         SUMPRODUCT(($C$9:$G$9="CO8")*ISNUMBER($C$10:$G$10)*ISNUMBER(C40:G40)*C40:G40) /
         SUMPRODUCT(($C$9:$G$9="CO8")*ISNUMBER($C$10:$G$10)*ISNUMBER(C40:G40)*$C$10:$G$10) * 0.15
       ) +
       IF(
         SUMPRODUCT(($H$9:$Z$9="CO8")*ISNUMBER($H$10:$Z$10)*ISNUMBER(H40:Z40)) = 0,
         0,
         SUMPRODUCT(($H$9:$Z$9="CO8")*ISNUMBER($H$10:$Z$10)*ISNUMBER(H40:Z40)*H40:Z40) /
         SUMPRODUCT(($H$9:$Z$9="CO8")*ISNUMBER($H$10:$Z$10)*ISNUMBER(H40:Z40)*$H$10:$Z$10) * 0.85
       )
     ) * 100,
     ""
   )
)</f>
        <v/>
      </c>
      <c r="AI40" s="1" t="str">
        <f t="shared" si="1"/>
        <v>First</v>
      </c>
      <c r="AJ40" s="1" t="str">
        <f t="shared" si="2"/>
        <v>S</v>
      </c>
      <c r="AK40" s="1" t="str">
        <f t="shared" si="3"/>
        <v>D</v>
      </c>
      <c r="AL40" s="1" t="str">
        <f t="shared" si="4"/>
        <v>F</v>
      </c>
      <c r="AM40" s="1" t="str">
        <f t="shared" si="4"/>
        <v/>
      </c>
      <c r="AN40" s="1" t="str">
        <f t="shared" si="4"/>
        <v/>
      </c>
      <c r="AO40" s="1" t="str">
        <f t="shared" si="4"/>
        <v/>
      </c>
      <c r="AP40" s="1" t="str">
        <f t="shared" si="4"/>
        <v/>
      </c>
    </row>
    <row r="41" spans="1:44" ht="16.2" thickBot="1" x14ac:dyDescent="0.35">
      <c r="A41" s="57">
        <v>2508030</v>
      </c>
      <c r="B41" s="58" t="s">
        <v>138</v>
      </c>
      <c r="C41" s="77">
        <v>1.5</v>
      </c>
      <c r="D41" s="82">
        <v>5</v>
      </c>
      <c r="E41" s="92">
        <v>1.5</v>
      </c>
      <c r="F41" s="89">
        <v>5</v>
      </c>
      <c r="G41" s="89">
        <v>2</v>
      </c>
      <c r="H41" s="14">
        <v>0</v>
      </c>
      <c r="I41" s="14">
        <v>1</v>
      </c>
      <c r="J41" s="14">
        <v>0</v>
      </c>
      <c r="K41" s="14">
        <v>0</v>
      </c>
      <c r="L41" s="14">
        <v>0</v>
      </c>
      <c r="M41" s="14">
        <v>1</v>
      </c>
      <c r="N41" s="14">
        <v>1</v>
      </c>
      <c r="O41" s="14">
        <v>0</v>
      </c>
      <c r="P41" s="14">
        <v>1</v>
      </c>
      <c r="Q41" s="14">
        <v>0</v>
      </c>
      <c r="R41" s="14">
        <v>1</v>
      </c>
      <c r="S41" s="14">
        <v>0</v>
      </c>
      <c r="T41" s="14">
        <v>1</v>
      </c>
      <c r="U41" s="14">
        <v>0.5</v>
      </c>
      <c r="V41" s="14">
        <v>0</v>
      </c>
      <c r="W41" s="14">
        <v>0</v>
      </c>
      <c r="X41" s="98">
        <v>12</v>
      </c>
      <c r="Y41" s="99">
        <v>0</v>
      </c>
      <c r="Z41" s="89">
        <v>5</v>
      </c>
      <c r="AA41" s="1" cm="1">
        <f t="array" ref="AA41">IF(
   SUMPRODUCT(($C$9:$G$9="CO1")*ISNUMBER($C$10:$G$10)*ISNUMBER(C41:G41)) +
   SUMPRODUCT(($H$9:$Z$9="CO1")*ISNUMBER($H$10:$Z$10)*ISNUMBER(H41:Z41)) = 0,
   "",
   IFERROR(
     (
       IF(
         SUMPRODUCT(($C$9:$G$9="CO1")*ISNUMBER($C$10:$G$10)*ISNUMBER(C41:G41)) = 0,
         0,
         SUMPRODUCT(($C$9:$G$9="CO1")*ISNUMBER($C$10:$G$10)*ISNUMBER(C41:G41)*C41:G41) /
         SUMPRODUCT(($C$9:$G$9="CO1")*ISNUMBER($C$10:$G$10)*ISNUMBER(C41:G41)*$C$10:$G$10) * 0.15
       ) +
       IF(
         SUMPRODUCT(($H$9:$Z$9="CO1")*ISNUMBER($H$10:$Z$10)*ISNUMBER(H41:Z41)) = 0,
         0,
         SUMPRODUCT(($H$9:$Z$9="CO1")*ISNUMBER($H$10:$Z$10)*ISNUMBER(H41:Z41)*H41:Z41) /
         SUMPRODUCT(($H$9:$Z$9="CO1")*ISNUMBER($H$10:$Z$10)*ISNUMBER(H41:Z41)*$H$10:$Z$10) * 0.85
       )
     ) * 100,
     ""
   )
)</f>
        <v>42.277777777777779</v>
      </c>
      <c r="AB41" s="1" cm="1">
        <f t="array" ref="AB41">IF(
   SUMPRODUCT(($C$9:$G$9="CO2")*ISNUMBER($C$10:$G$10)*ISNUMBER(C41:G41)) +
   SUMPRODUCT(($H$9:$Z$9="CO2")*ISNUMBER($H$10:$Z$10)*ISNUMBER(H41:Z41)) = 0,
   "",
   IFERROR(
     (
       IF(
         SUMPRODUCT(($C$9:$G$9="CO2")*ISNUMBER($C$10:$G$10)*ISNUMBER(C41:G41)) = 0,
         0,
         SUMPRODUCT(($C$9:$G$9="CO2")*ISNUMBER($C$10:$G$10)*ISNUMBER(C41:G41)*C41:G41) /
         SUMPRODUCT(($C$9:$G$9="CO2")*ISNUMBER($C$10:$G$10)*ISNUMBER(C41:G41)*$C$10:$G$10) * 0.15
       ) +
       IF(
         SUMPRODUCT(($H$9:$Z$9="CO2")*ISNUMBER($H$10:$Z$10)*ISNUMBER(H41:Z41)) = 0,
         0,
         SUMPRODUCT(($H$9:$Z$9="CO2")*ISNUMBER($H$10:$Z$10)*ISNUMBER(H41:Z41)*H41:Z41) /
         SUMPRODUCT(($H$9:$Z$9="CO2")*ISNUMBER($H$10:$Z$10)*ISNUMBER(H41:Z41)*$H$10:$Z$10) * 0.85
       )
     ) * 100,
     ""
   )
)</f>
        <v>20.375</v>
      </c>
      <c r="AC41" s="1" cm="1">
        <f t="array" ref="AC41">IF(
   SUMPRODUCT(($C$9:$G$9="CO3")*ISNUMBER($C$10:$G$10)*ISNUMBER(C41:G41)) +
   SUMPRODUCT(($H$9:$Z$9="CO3")*ISNUMBER($H$10:$Z$10)*ISNUMBER(H41:Z41)) = 0,
   "",
   IFERROR(
     (
       IF(
         SUMPRODUCT(($C$9:$G$9="CO3")*ISNUMBER($C$10:$G$10)*ISNUMBER(C41:G41)) = 0,
         0,
         SUMPRODUCT(($C$9:$G$9="CO3")*ISNUMBER($C$10:$G$10)*ISNUMBER(C41:G41)*C41:G41) /
         SUMPRODUCT(($C$9:$G$9="CO3")*ISNUMBER($C$10:$G$10)*ISNUMBER(C41:G41)*$C$10:$G$10) * 0.15
       ) +
       IF(
         SUMPRODUCT(($H$9:$Z$9="CO3")*ISNUMBER($H$10:$Z$10)*ISNUMBER(H41:Z41)) = 0,
         0,
         SUMPRODUCT(($H$9:$Z$9="CO3")*ISNUMBER($H$10:$Z$10)*ISNUMBER(H41:Z41)*H41:Z41) /
         SUMPRODUCT(($H$9:$Z$9="CO3")*ISNUMBER($H$10:$Z$10)*ISNUMBER(H41:Z41)*$H$10:$Z$10) * 0.85
       )
     ) * 100,
     ""
   )
)</f>
        <v>54.464285714285708</v>
      </c>
      <c r="AD41" s="1" cm="1">
        <f t="array" ref="AD41">IF(
   SUMPRODUCT(($C$9:$G$9="CO4")*ISNUMBER($C$10:$G$10)*ISNUMBER(C41:G41)) +
   SUMPRODUCT(($H$9:$Z$9="CO4")*ISNUMBER($H$10:$Z$10)*ISNUMBER(H41:Z41)) = 0,
   "",
   IFERROR(
     (
       IF(
         SUMPRODUCT(($C$9:$G$9="CO4")*ISNUMBER($C$10:$G$10)*ISNUMBER(C41:G41)) = 0,
         0,
         SUMPRODUCT(($C$9:$G$9="CO4")*ISNUMBER($C$10:$G$10)*ISNUMBER(C41:G41)*C41:G41) /
         SUMPRODUCT(($C$9:$G$9="CO4")*ISNUMBER($C$10:$G$10)*ISNUMBER(C41:G41)*$C$10:$G$10) * 0.15
       ) +
       IF(
         SUMPRODUCT(($H$9:$Z$9="CO4")*ISNUMBER($H$10:$Z$10)*ISNUMBER(H41:Z41)) = 0,
         0,
         SUMPRODUCT(($H$9:$Z$9="CO4")*ISNUMBER($H$10:$Z$10)*ISNUMBER(H41:Z41)*H41:Z41) /
         SUMPRODUCT(($H$9:$Z$9="CO4")*ISNUMBER($H$10:$Z$10)*ISNUMBER(H41:Z41)*$H$10:$Z$10) * 0.85
       )
     ) * 100,
     ""
   )
)</f>
        <v>13.083333333333332</v>
      </c>
      <c r="AE41" s="1" t="str" cm="1">
        <f t="array" ref="AE41">IF(
   SUMPRODUCT(($C$9:$G$9="CO5")*ISNUMBER($C$10:$G$10)*ISNUMBER(C41:G41)) +
   SUMPRODUCT(($H$9:$Z$9="CO5")*ISNUMBER($H$10:$Z$10)*ISNUMBER(H41:Z41)) = 0,
   "",
   IFERROR(
     (
       IF(
         SUMPRODUCT(($C$9:$G$9="CO5")*ISNUMBER($C$10:$G$10)*ISNUMBER(C41:G41)) = 0,
         0,
         SUMPRODUCT(($C$9:$G$9="CO5")*ISNUMBER($C$10:$G$10)*ISNUMBER(C41:G41)*C41:G41) /
         SUMPRODUCT(($C$9:$G$9="CO5")*ISNUMBER($C$10:$G$10)*ISNUMBER(C41:G41)*$C$10:$G$10) * 0.15
       ) +
       IF(
         SUMPRODUCT(($H$9:$Z$9="CO5")*ISNUMBER($H$10:$Z$10)*ISNUMBER(H41:Z41)) = 0,
         0,
         SUMPRODUCT(($H$9:$Z$9="CO5")*ISNUMBER($H$10:$Z$10)*ISNUMBER(H41:Z41)*H41:Z41) /
         SUMPRODUCT(($H$9:$Z$9="CO5")*ISNUMBER($H$10:$Z$10)*ISNUMBER(H41:Z41)*$H$10:$Z$10) * 0.85
       )
     ) * 100,
     ""
   )
)</f>
        <v/>
      </c>
      <c r="AF41" s="1" t="str" cm="1">
        <f t="array" ref="AF41">IF(
   SUMPRODUCT(($C$9:$G$9="CO6")*ISNUMBER($C$10:$G$10)*ISNUMBER(C41:G41)) +
   SUMPRODUCT(($H$9:$Z$9="CO6")*ISNUMBER($H$10:$Z$10)*ISNUMBER(H41:Z41)) = 0,
   "",
   IFERROR(
     (
       IF(
         SUMPRODUCT(($C$9:$G$9="CO6")*ISNUMBER($C$10:$G$10)*ISNUMBER(C41:G41)) = 0,
         0,
         SUMPRODUCT(($C$9:$G$9="CO6")*ISNUMBER($C$10:$G$10)*ISNUMBER(C41:G41)*C41:G41) /
         SUMPRODUCT(($C$9:$G$9="CO6")*ISNUMBER($C$10:$G$10)*ISNUMBER(C41:G41)*$C$10:$G$10) * 0.15
       ) +
       IF(
         SUMPRODUCT(($H$9:$Z$9="CO6")*ISNUMBER($H$10:$Z$10)*ISNUMBER(H41:Z41)) = 0,
         0,
         SUMPRODUCT(($H$9:$Z$9="CO6")*ISNUMBER($H$10:$Z$10)*ISNUMBER(H41:Z41)*H41:Z41) /
         SUMPRODUCT(($H$9:$Z$9="CO6")*ISNUMBER($H$10:$Z$10)*ISNUMBER(H41:Z41)*$H$10:$Z$10) * 0.85
       )
     ) * 100,
     ""
   )
)</f>
        <v/>
      </c>
      <c r="AG41" s="1" t="str" cm="1">
        <f t="array" ref="AG41">IF(
   SUMPRODUCT(($C$9:$G$9="CO7")*ISNUMBER($C$10:$G$10)*ISNUMBER(C41:G41)) +
   SUMPRODUCT(($H$9:$Z$9="CO7")*ISNUMBER($H$10:$Z$10)*ISNUMBER(H41:Z41)) = 0,
   "",
   IFERROR(
     (
       IF(
         SUMPRODUCT(($C$9:$G$9="CO7")*ISNUMBER($C$10:$G$10)*ISNUMBER(C41:G41)) = 0,
         0,
         SUMPRODUCT(($C$9:$G$9="CO7")*ISNUMBER($C$10:$G$10)*ISNUMBER(C41:G41)*C41:G41) /
         SUMPRODUCT(($C$9:$G$9="CO7")*ISNUMBER($C$10:$G$10)*ISNUMBER(C41:G41)*$C$10:$G$10) * 0.15
       ) +
       IF(
         SUMPRODUCT(($H$9:$Z$9="CO7")*ISNUMBER($H$10:$Z$10)*ISNUMBER(H41:Z41)) = 0,
         0,
         SUMPRODUCT(($H$9:$Z$9="CO7")*ISNUMBER($H$10:$Z$10)*ISNUMBER(H41:Z41)*H41:Z41) /
         SUMPRODUCT(($H$9:$Z$9="CO7")*ISNUMBER($H$10:$Z$10)*ISNUMBER(H41:Z41)*$H$10:$Z$10) * 0.85
       )
     ) * 100,
     ""
   )
)</f>
        <v/>
      </c>
      <c r="AH41" s="3" t="str" cm="1">
        <f t="array" ref="AH41">IF(
   SUMPRODUCT(($C$9:$G$9="CO8")*ISNUMBER($C$10:$G$10)*ISNUMBER(C41:G41)) +
   SUMPRODUCT(($H$9:$Z$9="CO8")*ISNUMBER($H$10:$Z$10)*ISNUMBER(H41:Z41)) = 0,
   "",
   IFERROR(
     (
       IF(
         SUMPRODUCT(($C$9:$G$9="CO8")*ISNUMBER($C$10:$G$10)*ISNUMBER(C41:G41)) = 0,
         0,
         SUMPRODUCT(($C$9:$G$9="CO8")*ISNUMBER($C$10:$G$10)*ISNUMBER(C41:G41)*C41:G41) /
         SUMPRODUCT(($C$9:$G$9="CO8")*ISNUMBER($C$10:$G$10)*ISNUMBER(C41:G41)*$C$10:$G$10) * 0.15
       ) +
       IF(
         SUMPRODUCT(($H$9:$Z$9="CO8")*ISNUMBER($H$10:$Z$10)*ISNUMBER(H41:Z41)) = 0,
         0,
         SUMPRODUCT(($H$9:$Z$9="CO8")*ISNUMBER($H$10:$Z$10)*ISNUMBER(H41:Z41)*H41:Z41) /
         SUMPRODUCT(($H$9:$Z$9="CO8")*ISNUMBER($H$10:$Z$10)*ISNUMBER(H41:Z41)*$H$10:$Z$10) * 0.85
       )
     ) * 100,
     ""
   )
)</f>
        <v/>
      </c>
      <c r="AI41" s="1" t="str">
        <f t="shared" si="1"/>
        <v>P</v>
      </c>
      <c r="AJ41" s="1" t="str">
        <f t="shared" si="2"/>
        <v>F</v>
      </c>
      <c r="AK41" s="1" t="str">
        <f t="shared" si="3"/>
        <v>S</v>
      </c>
      <c r="AL41" s="1" t="str">
        <f t="shared" si="4"/>
        <v>F</v>
      </c>
      <c r="AM41" s="1" t="str">
        <f t="shared" si="4"/>
        <v/>
      </c>
      <c r="AN41" s="1" t="str">
        <f t="shared" si="4"/>
        <v/>
      </c>
      <c r="AO41" s="1" t="str">
        <f t="shared" si="4"/>
        <v/>
      </c>
      <c r="AP41" s="1" t="str">
        <f t="shared" si="4"/>
        <v/>
      </c>
    </row>
    <row r="42" spans="1:44" ht="16.2" thickBot="1" x14ac:dyDescent="0.35">
      <c r="A42" s="57">
        <v>2508031</v>
      </c>
      <c r="B42" s="58" t="s">
        <v>139</v>
      </c>
      <c r="C42" s="77">
        <v>3.5</v>
      </c>
      <c r="D42" s="82">
        <v>5</v>
      </c>
      <c r="E42" s="88">
        <v>3.5</v>
      </c>
      <c r="F42" s="89">
        <v>5</v>
      </c>
      <c r="G42" s="89">
        <v>3</v>
      </c>
      <c r="H42" s="14">
        <v>1</v>
      </c>
      <c r="I42" s="14">
        <v>1</v>
      </c>
      <c r="J42" s="14">
        <v>1</v>
      </c>
      <c r="K42" s="14">
        <v>1</v>
      </c>
      <c r="L42" s="14">
        <v>1</v>
      </c>
      <c r="M42" s="14">
        <v>1</v>
      </c>
      <c r="N42" s="14">
        <v>2</v>
      </c>
      <c r="O42" s="14">
        <v>2</v>
      </c>
      <c r="P42" s="14">
        <v>2</v>
      </c>
      <c r="Q42" s="14">
        <v>2</v>
      </c>
      <c r="R42" s="14">
        <v>2</v>
      </c>
      <c r="S42" s="14">
        <v>2</v>
      </c>
      <c r="T42" s="14">
        <v>1</v>
      </c>
      <c r="U42" s="14">
        <v>1</v>
      </c>
      <c r="V42" s="14">
        <v>0</v>
      </c>
      <c r="W42" s="14">
        <v>2</v>
      </c>
      <c r="X42" s="98">
        <v>23</v>
      </c>
      <c r="Y42" s="99">
        <v>8</v>
      </c>
      <c r="Z42" s="89">
        <v>7</v>
      </c>
      <c r="AA42" s="1" cm="1">
        <f t="array" ref="AA42">IF(
   SUMPRODUCT(($C$9:$G$9="CO1")*ISNUMBER($C$10:$G$10)*ISNUMBER(C42:G42)) +
   SUMPRODUCT(($H$9:$Z$9="CO1")*ISNUMBER($H$10:$Z$10)*ISNUMBER(H42:Z42)) = 0,
   "",
   IFERROR(
     (
       IF(
         SUMPRODUCT(($C$9:$G$9="CO1")*ISNUMBER($C$10:$G$10)*ISNUMBER(C42:G42)) = 0,
         0,
         SUMPRODUCT(($C$9:$G$9="CO1")*ISNUMBER($C$10:$G$10)*ISNUMBER(C42:G42)*C42:G42) /
         SUMPRODUCT(($C$9:$G$9="CO1")*ISNUMBER($C$10:$G$10)*ISNUMBER(C42:G42)*$C$10:$G$10) * 0.15
       ) +
       IF(
         SUMPRODUCT(($H$9:$Z$9="CO1")*ISNUMBER($H$10:$Z$10)*ISNUMBER(H42:Z42)) = 0,
         0,
         SUMPRODUCT(($H$9:$Z$9="CO1")*ISNUMBER($H$10:$Z$10)*ISNUMBER(H42:Z42)*H42:Z42) /
         SUMPRODUCT(($H$9:$Z$9="CO1")*ISNUMBER($H$10:$Z$10)*ISNUMBER(H42:Z42)*$H$10:$Z$10) * 0.85
       )
     ) * 100,
     ""
   )
)</f>
        <v>81.333333333333329</v>
      </c>
      <c r="AB42" s="1" cm="1">
        <f t="array" ref="AB42">IF(
   SUMPRODUCT(($C$9:$G$9="CO2")*ISNUMBER($C$10:$G$10)*ISNUMBER(C42:G42)) +
   SUMPRODUCT(($H$9:$Z$9="CO2")*ISNUMBER($H$10:$Z$10)*ISNUMBER(H42:Z42)) = 0,
   "",
   IFERROR(
     (
       IF(
         SUMPRODUCT(($C$9:$G$9="CO2")*ISNUMBER($C$10:$G$10)*ISNUMBER(C42:G42)) = 0,
         0,
         SUMPRODUCT(($C$9:$G$9="CO2")*ISNUMBER($C$10:$G$10)*ISNUMBER(C42:G42)*C42:G42) /
         SUMPRODUCT(($C$9:$G$9="CO2")*ISNUMBER($C$10:$G$10)*ISNUMBER(C42:G42)*$C$10:$G$10) * 0.15
       ) +
       IF(
         SUMPRODUCT(($H$9:$Z$9="CO2")*ISNUMBER($H$10:$Z$10)*ISNUMBER(H42:Z42)) = 0,
         0,
         SUMPRODUCT(($H$9:$Z$9="CO2")*ISNUMBER($H$10:$Z$10)*ISNUMBER(H42:Z42)*H42:Z42) /
         SUMPRODUCT(($H$9:$Z$9="CO2")*ISNUMBER($H$10:$Z$10)*ISNUMBER(H42:Z42)*$H$10:$Z$10) * 0.85
       )
     ) * 100,
     ""
   )
)</f>
        <v>97.75</v>
      </c>
      <c r="AC42" s="1" cm="1">
        <f t="array" ref="AC42">IF(
   SUMPRODUCT(($C$9:$G$9="CO3")*ISNUMBER($C$10:$G$10)*ISNUMBER(C42:G42)) +
   SUMPRODUCT(($H$9:$Z$9="CO3")*ISNUMBER($H$10:$Z$10)*ISNUMBER(H42:Z42)) = 0,
   "",
   IFERROR(
     (
       IF(
         SUMPRODUCT(($C$9:$G$9="CO3")*ISNUMBER($C$10:$G$10)*ISNUMBER(C42:G42)) = 0,
         0,
         SUMPRODUCT(($C$9:$G$9="CO3")*ISNUMBER($C$10:$G$10)*ISNUMBER(C42:G42)*C42:G42) /
         SUMPRODUCT(($C$9:$G$9="CO3")*ISNUMBER($C$10:$G$10)*ISNUMBER(C42:G42)*$C$10:$G$10) * 0.15
       ) +
       IF(
         SUMPRODUCT(($H$9:$Z$9="CO3")*ISNUMBER($H$10:$Z$10)*ISNUMBER(H42:Z42)) = 0,
         0,
         SUMPRODUCT(($H$9:$Z$9="CO3")*ISNUMBER($H$10:$Z$10)*ISNUMBER(H42:Z42)*H42:Z42) /
         SUMPRODUCT(($H$9:$Z$9="CO3")*ISNUMBER($H$10:$Z$10)*ISNUMBER(H42:Z42)*$H$10:$Z$10) * 0.85
       )
     ) * 100,
     ""
   )
)</f>
        <v>93.928571428571431</v>
      </c>
      <c r="AD42" s="1" cm="1">
        <f t="array" ref="AD42">IF(
   SUMPRODUCT(($C$9:$G$9="CO4")*ISNUMBER($C$10:$G$10)*ISNUMBER(C42:G42)) +
   SUMPRODUCT(($H$9:$Z$9="CO4")*ISNUMBER($H$10:$Z$10)*ISNUMBER(H42:Z42)) = 0,
   "",
   IFERROR(
     (
       IF(
         SUMPRODUCT(($C$9:$G$9="CO4")*ISNUMBER($C$10:$G$10)*ISNUMBER(C42:G42)) = 0,
         0,
         SUMPRODUCT(($C$9:$G$9="CO4")*ISNUMBER($C$10:$G$10)*ISNUMBER(C42:G42)*C42:G42) /
         SUMPRODUCT(($C$9:$G$9="CO4")*ISNUMBER($C$10:$G$10)*ISNUMBER(C42:G42)*$C$10:$G$10) * 0.15
       ) +
       IF(
         SUMPRODUCT(($H$9:$Z$9="CO4")*ISNUMBER($H$10:$Z$10)*ISNUMBER(H42:Z42)) = 0,
         0,
         SUMPRODUCT(($H$9:$Z$9="CO4")*ISNUMBER($H$10:$Z$10)*ISNUMBER(H42:Z42)*H42:Z42) /
         SUMPRODUCT(($H$9:$Z$9="CO4")*ISNUMBER($H$10:$Z$10)*ISNUMBER(H42:Z42)*$H$10:$Z$10) * 0.85
       )
     ) * 100,
     ""
   )
)</f>
        <v>51.5</v>
      </c>
      <c r="AE42" s="1" t="str" cm="1">
        <f t="array" ref="AE42">IF(
   SUMPRODUCT(($C$9:$G$9="CO5")*ISNUMBER($C$10:$G$10)*ISNUMBER(C42:G42)) +
   SUMPRODUCT(($H$9:$Z$9="CO5")*ISNUMBER($H$10:$Z$10)*ISNUMBER(H42:Z42)) = 0,
   "",
   IFERROR(
     (
       IF(
         SUMPRODUCT(($C$9:$G$9="CO5")*ISNUMBER($C$10:$G$10)*ISNUMBER(C42:G42)) = 0,
         0,
         SUMPRODUCT(($C$9:$G$9="CO5")*ISNUMBER($C$10:$G$10)*ISNUMBER(C42:G42)*C42:G42) /
         SUMPRODUCT(($C$9:$G$9="CO5")*ISNUMBER($C$10:$G$10)*ISNUMBER(C42:G42)*$C$10:$G$10) * 0.15
       ) +
       IF(
         SUMPRODUCT(($H$9:$Z$9="CO5")*ISNUMBER($H$10:$Z$10)*ISNUMBER(H42:Z42)) = 0,
         0,
         SUMPRODUCT(($H$9:$Z$9="CO5")*ISNUMBER($H$10:$Z$10)*ISNUMBER(H42:Z42)*H42:Z42) /
         SUMPRODUCT(($H$9:$Z$9="CO5")*ISNUMBER($H$10:$Z$10)*ISNUMBER(H42:Z42)*$H$10:$Z$10) * 0.85
       )
     ) * 100,
     ""
   )
)</f>
        <v/>
      </c>
      <c r="AF42" s="1" t="str" cm="1">
        <f t="array" ref="AF42">IF(
   SUMPRODUCT(($C$9:$G$9="CO6")*ISNUMBER($C$10:$G$10)*ISNUMBER(C42:G42)) +
   SUMPRODUCT(($H$9:$Z$9="CO6")*ISNUMBER($H$10:$Z$10)*ISNUMBER(H42:Z42)) = 0,
   "",
   IFERROR(
     (
       IF(
         SUMPRODUCT(($C$9:$G$9="CO6")*ISNUMBER($C$10:$G$10)*ISNUMBER(C42:G42)) = 0,
         0,
         SUMPRODUCT(($C$9:$G$9="CO6")*ISNUMBER($C$10:$G$10)*ISNUMBER(C42:G42)*C42:G42) /
         SUMPRODUCT(($C$9:$G$9="CO6")*ISNUMBER($C$10:$G$10)*ISNUMBER(C42:G42)*$C$10:$G$10) * 0.15
       ) +
       IF(
         SUMPRODUCT(($H$9:$Z$9="CO6")*ISNUMBER($H$10:$Z$10)*ISNUMBER(H42:Z42)) = 0,
         0,
         SUMPRODUCT(($H$9:$Z$9="CO6")*ISNUMBER($H$10:$Z$10)*ISNUMBER(H42:Z42)*H42:Z42) /
         SUMPRODUCT(($H$9:$Z$9="CO6")*ISNUMBER($H$10:$Z$10)*ISNUMBER(H42:Z42)*$H$10:$Z$10) * 0.85
       )
     ) * 100,
     ""
   )
)</f>
        <v/>
      </c>
      <c r="AG42" s="1" t="str" cm="1">
        <f t="array" ref="AG42">IF(
   SUMPRODUCT(($C$9:$G$9="CO7")*ISNUMBER($C$10:$G$10)*ISNUMBER(C42:G42)) +
   SUMPRODUCT(($H$9:$Z$9="CO7")*ISNUMBER($H$10:$Z$10)*ISNUMBER(H42:Z42)) = 0,
   "",
   IFERROR(
     (
       IF(
         SUMPRODUCT(($C$9:$G$9="CO7")*ISNUMBER($C$10:$G$10)*ISNUMBER(C42:G42)) = 0,
         0,
         SUMPRODUCT(($C$9:$G$9="CO7")*ISNUMBER($C$10:$G$10)*ISNUMBER(C42:G42)*C42:G42) /
         SUMPRODUCT(($C$9:$G$9="CO7")*ISNUMBER($C$10:$G$10)*ISNUMBER(C42:G42)*$C$10:$G$10) * 0.15
       ) +
       IF(
         SUMPRODUCT(($H$9:$Z$9="CO7")*ISNUMBER($H$10:$Z$10)*ISNUMBER(H42:Z42)) = 0,
         0,
         SUMPRODUCT(($H$9:$Z$9="CO7")*ISNUMBER($H$10:$Z$10)*ISNUMBER(H42:Z42)*H42:Z42) /
         SUMPRODUCT(($H$9:$Z$9="CO7")*ISNUMBER($H$10:$Z$10)*ISNUMBER(H42:Z42)*$H$10:$Z$10) * 0.85
       )
     ) * 100,
     ""
   )
)</f>
        <v/>
      </c>
      <c r="AH42" s="3" t="str" cm="1">
        <f t="array" ref="AH42">IF(
   SUMPRODUCT(($C$9:$G$9="CO8")*ISNUMBER($C$10:$G$10)*ISNUMBER(C42:G42)) +
   SUMPRODUCT(($H$9:$Z$9="CO8")*ISNUMBER($H$10:$Z$10)*ISNUMBER(H42:Z42)) = 0,
   "",
   IFERROR(
     (
       IF(
         SUMPRODUCT(($C$9:$G$9="CO8")*ISNUMBER($C$10:$G$10)*ISNUMBER(C42:G42)) = 0,
         0,
         SUMPRODUCT(($C$9:$G$9="CO8")*ISNUMBER($C$10:$G$10)*ISNUMBER(C42:G42)*C42:G42) /
         SUMPRODUCT(($C$9:$G$9="CO8")*ISNUMBER($C$10:$G$10)*ISNUMBER(C42:G42)*$C$10:$G$10) * 0.15
       ) +
       IF(
         SUMPRODUCT(($H$9:$Z$9="CO8")*ISNUMBER($H$10:$Z$10)*ISNUMBER(H42:Z42)) = 0,
         0,
         SUMPRODUCT(($H$9:$Z$9="CO8")*ISNUMBER($H$10:$Z$10)*ISNUMBER(H42:Z42)*H42:Z42) /
         SUMPRODUCT(($H$9:$Z$9="CO8")*ISNUMBER($H$10:$Z$10)*ISNUMBER(H42:Z42)*$H$10:$Z$10) * 0.85
       )
     ) * 100,
     ""
   )
)</f>
        <v/>
      </c>
      <c r="AI42" s="1" t="str">
        <f t="shared" si="1"/>
        <v>D</v>
      </c>
      <c r="AJ42" s="1" t="str">
        <f t="shared" si="2"/>
        <v>D</v>
      </c>
      <c r="AK42" s="1" t="str">
        <f t="shared" si="3"/>
        <v>D</v>
      </c>
      <c r="AL42" s="1" t="str">
        <f t="shared" si="4"/>
        <v>S</v>
      </c>
      <c r="AM42" s="1" t="str">
        <f t="shared" si="4"/>
        <v/>
      </c>
      <c r="AN42" s="1" t="str">
        <f t="shared" si="4"/>
        <v/>
      </c>
      <c r="AO42" s="1" t="str">
        <f t="shared" si="4"/>
        <v/>
      </c>
      <c r="AP42" s="1" t="str">
        <f t="shared" si="4"/>
        <v/>
      </c>
    </row>
    <row r="43" spans="1:44" ht="16.2" thickBot="1" x14ac:dyDescent="0.35">
      <c r="A43" s="57">
        <v>2508032</v>
      </c>
      <c r="B43" s="58" t="s">
        <v>140</v>
      </c>
      <c r="C43" s="77">
        <v>1</v>
      </c>
      <c r="D43" s="82">
        <v>3</v>
      </c>
      <c r="E43" s="88">
        <v>5</v>
      </c>
      <c r="F43" s="89">
        <v>5</v>
      </c>
      <c r="G43" s="89">
        <v>3</v>
      </c>
      <c r="H43" s="14">
        <v>0</v>
      </c>
      <c r="I43" s="14">
        <v>0.5</v>
      </c>
      <c r="J43" s="14">
        <v>1</v>
      </c>
      <c r="K43" s="14">
        <v>1</v>
      </c>
      <c r="L43" s="14">
        <v>1</v>
      </c>
      <c r="M43" s="14">
        <v>0</v>
      </c>
      <c r="N43" s="14">
        <v>2</v>
      </c>
      <c r="O43" s="14">
        <v>0</v>
      </c>
      <c r="P43" s="14">
        <v>1</v>
      </c>
      <c r="Q43" s="14">
        <v>0</v>
      </c>
      <c r="R43" s="14">
        <v>2</v>
      </c>
      <c r="S43" s="14">
        <v>0</v>
      </c>
      <c r="T43" s="14">
        <v>1</v>
      </c>
      <c r="U43" s="14">
        <v>0.5</v>
      </c>
      <c r="V43" s="14">
        <v>0</v>
      </c>
      <c r="W43" s="14">
        <v>0.5</v>
      </c>
      <c r="X43" s="98">
        <v>19</v>
      </c>
      <c r="Y43" s="99">
        <v>8</v>
      </c>
      <c r="Z43" s="89">
        <v>7</v>
      </c>
      <c r="AA43" s="1" cm="1">
        <f t="array" ref="AA43">IF(
   SUMPRODUCT(($C$9:$G$9="CO1")*ISNUMBER($C$10:$G$10)*ISNUMBER(C43:G43)) +
   SUMPRODUCT(($H$9:$Z$9="CO1")*ISNUMBER($H$10:$Z$10)*ISNUMBER(H43:Z43)) = 0,
   "",
   IFERROR(
     (
       IF(
         SUMPRODUCT(($C$9:$G$9="CO1")*ISNUMBER($C$10:$G$10)*ISNUMBER(C43:G43)) = 0,
         0,
         SUMPRODUCT(($C$9:$G$9="CO1")*ISNUMBER($C$10:$G$10)*ISNUMBER(C43:G43)*C43:G43) /
         SUMPRODUCT(($C$9:$G$9="CO1")*ISNUMBER($C$10:$G$10)*ISNUMBER(C43:G43)*$C$10:$G$10) * 0.15
       ) +
       IF(
         SUMPRODUCT(($H$9:$Z$9="CO1")*ISNUMBER($H$10:$Z$10)*ISNUMBER(H43:Z43)) = 0,
         0,
         SUMPRODUCT(($H$9:$Z$9="CO1")*ISNUMBER($H$10:$Z$10)*ISNUMBER(H43:Z43)*H43:Z43) /
         SUMPRODUCT(($H$9:$Z$9="CO1")*ISNUMBER($H$10:$Z$10)*ISNUMBER(H43:Z43)*$H$10:$Z$10) * 0.85
       )
     ) * 100,
     ""
   )
)</f>
        <v>62.027777777777779</v>
      </c>
      <c r="AB43" s="1" cm="1">
        <f t="array" ref="AB43">IF(
   SUMPRODUCT(($C$9:$G$9="CO2")*ISNUMBER($C$10:$G$10)*ISNUMBER(C43:G43)) +
   SUMPRODUCT(($H$9:$Z$9="CO2")*ISNUMBER($H$10:$Z$10)*ISNUMBER(H43:Z43)) = 0,
   "",
   IFERROR(
     (
       IF(
         SUMPRODUCT(($C$9:$G$9="CO2")*ISNUMBER($C$10:$G$10)*ISNUMBER(C43:G43)) = 0,
         0,
         SUMPRODUCT(($C$9:$G$9="CO2")*ISNUMBER($C$10:$G$10)*ISNUMBER(C43:G43)*C43:G43) /
         SUMPRODUCT(($C$9:$G$9="CO2")*ISNUMBER($C$10:$G$10)*ISNUMBER(C43:G43)*$C$10:$G$10) * 0.15
       ) +
       IF(
         SUMPRODUCT(($H$9:$Z$9="CO2")*ISNUMBER($H$10:$Z$10)*ISNUMBER(H43:Z43)) = 0,
         0,
         SUMPRODUCT(($H$9:$Z$9="CO2")*ISNUMBER($H$10:$Z$10)*ISNUMBER(H43:Z43)*H43:Z43) /
         SUMPRODUCT(($H$9:$Z$9="CO2")*ISNUMBER($H$10:$Z$10)*ISNUMBER(H43:Z43)*$H$10:$Z$10) * 0.85
       )
     ) * 100,
     ""
   )
)</f>
        <v>70.4375</v>
      </c>
      <c r="AC43" s="1" cm="1">
        <f t="array" ref="AC43">IF(
   SUMPRODUCT(($C$9:$G$9="CO3")*ISNUMBER($C$10:$G$10)*ISNUMBER(C43:G43)) +
   SUMPRODUCT(($H$9:$Z$9="CO3")*ISNUMBER($H$10:$Z$10)*ISNUMBER(H43:Z43)) = 0,
   "",
   IFERROR(
     (
       IF(
         SUMPRODUCT(($C$9:$G$9="CO3")*ISNUMBER($C$10:$G$10)*ISNUMBER(C43:G43)) = 0,
         0,
         SUMPRODUCT(($C$9:$G$9="CO3")*ISNUMBER($C$10:$G$10)*ISNUMBER(C43:G43)*C43:G43) /
         SUMPRODUCT(($C$9:$G$9="CO3")*ISNUMBER($C$10:$G$10)*ISNUMBER(C43:G43)*$C$10:$G$10) * 0.15
       ) +
       IF(
         SUMPRODUCT(($H$9:$Z$9="CO3")*ISNUMBER($H$10:$Z$10)*ISNUMBER(H43:Z43)) = 0,
         0,
         SUMPRODUCT(($H$9:$Z$9="CO3")*ISNUMBER($H$10:$Z$10)*ISNUMBER(H43:Z43)*H43:Z43) /
         SUMPRODUCT(($H$9:$Z$9="CO3")*ISNUMBER($H$10:$Z$10)*ISNUMBER(H43:Z43)*$H$10:$Z$10) * 0.85
       )
     ) * 100,
     ""
   )
)</f>
        <v>75.714285714285708</v>
      </c>
      <c r="AD43" s="1" cm="1">
        <f t="array" ref="AD43">IF(
   SUMPRODUCT(($C$9:$G$9="CO4")*ISNUMBER($C$10:$G$10)*ISNUMBER(C43:G43)) +
   SUMPRODUCT(($H$9:$Z$9="CO4")*ISNUMBER($H$10:$Z$10)*ISNUMBER(H43:Z43)) = 0,
   "",
   IFERROR(
     (
       IF(
         SUMPRODUCT(($C$9:$G$9="CO4")*ISNUMBER($C$10:$G$10)*ISNUMBER(C43:G43)) = 0,
         0,
         SUMPRODUCT(($C$9:$G$9="CO4")*ISNUMBER($C$10:$G$10)*ISNUMBER(C43:G43)*C43:G43) /
         SUMPRODUCT(($C$9:$G$9="CO4")*ISNUMBER($C$10:$G$10)*ISNUMBER(C43:G43)*$C$10:$G$10) * 0.15
       ) +
       IF(
         SUMPRODUCT(($H$9:$Z$9="CO4")*ISNUMBER($H$10:$Z$10)*ISNUMBER(H43:Z43)) = 0,
         0,
         SUMPRODUCT(($H$9:$Z$9="CO4")*ISNUMBER($H$10:$Z$10)*ISNUMBER(H43:Z43)*H43:Z43) /
         SUMPRODUCT(($H$9:$Z$9="CO4")*ISNUMBER($H$10:$Z$10)*ISNUMBER(H43:Z43)*$H$10:$Z$10) * 0.85
       )
     ) * 100,
     ""
   )
)</f>
        <v>23.166666666666664</v>
      </c>
      <c r="AE43" s="1" t="str" cm="1">
        <f t="array" ref="AE43">IF(
   SUMPRODUCT(($C$9:$G$9="CO5")*ISNUMBER($C$10:$G$10)*ISNUMBER(C43:G43)) +
   SUMPRODUCT(($H$9:$Z$9="CO5")*ISNUMBER($H$10:$Z$10)*ISNUMBER(H43:Z43)) = 0,
   "",
   IFERROR(
     (
       IF(
         SUMPRODUCT(($C$9:$G$9="CO5")*ISNUMBER($C$10:$G$10)*ISNUMBER(C43:G43)) = 0,
         0,
         SUMPRODUCT(($C$9:$G$9="CO5")*ISNUMBER($C$10:$G$10)*ISNUMBER(C43:G43)*C43:G43) /
         SUMPRODUCT(($C$9:$G$9="CO5")*ISNUMBER($C$10:$G$10)*ISNUMBER(C43:G43)*$C$10:$G$10) * 0.15
       ) +
       IF(
         SUMPRODUCT(($H$9:$Z$9="CO5")*ISNUMBER($H$10:$Z$10)*ISNUMBER(H43:Z43)) = 0,
         0,
         SUMPRODUCT(($H$9:$Z$9="CO5")*ISNUMBER($H$10:$Z$10)*ISNUMBER(H43:Z43)*H43:Z43) /
         SUMPRODUCT(($H$9:$Z$9="CO5")*ISNUMBER($H$10:$Z$10)*ISNUMBER(H43:Z43)*$H$10:$Z$10) * 0.85
       )
     ) * 100,
     ""
   )
)</f>
        <v/>
      </c>
      <c r="AF43" s="1" t="str" cm="1">
        <f t="array" ref="AF43">IF(
   SUMPRODUCT(($C$9:$G$9="CO6")*ISNUMBER($C$10:$G$10)*ISNUMBER(C43:G43)) +
   SUMPRODUCT(($H$9:$Z$9="CO6")*ISNUMBER($H$10:$Z$10)*ISNUMBER(H43:Z43)) = 0,
   "",
   IFERROR(
     (
       IF(
         SUMPRODUCT(($C$9:$G$9="CO6")*ISNUMBER($C$10:$G$10)*ISNUMBER(C43:G43)) = 0,
         0,
         SUMPRODUCT(($C$9:$G$9="CO6")*ISNUMBER($C$10:$G$10)*ISNUMBER(C43:G43)*C43:G43) /
         SUMPRODUCT(($C$9:$G$9="CO6")*ISNUMBER($C$10:$G$10)*ISNUMBER(C43:G43)*$C$10:$G$10) * 0.15
       ) +
       IF(
         SUMPRODUCT(($H$9:$Z$9="CO6")*ISNUMBER($H$10:$Z$10)*ISNUMBER(H43:Z43)) = 0,
         0,
         SUMPRODUCT(($H$9:$Z$9="CO6")*ISNUMBER($H$10:$Z$10)*ISNUMBER(H43:Z43)*H43:Z43) /
         SUMPRODUCT(($H$9:$Z$9="CO6")*ISNUMBER($H$10:$Z$10)*ISNUMBER(H43:Z43)*$H$10:$Z$10) * 0.85
       )
     ) * 100,
     ""
   )
)</f>
        <v/>
      </c>
      <c r="AG43" s="1" t="str" cm="1">
        <f t="array" ref="AG43">IF(
   SUMPRODUCT(($C$9:$G$9="CO7")*ISNUMBER($C$10:$G$10)*ISNUMBER(C43:G43)) +
   SUMPRODUCT(($H$9:$Z$9="CO7")*ISNUMBER($H$10:$Z$10)*ISNUMBER(H43:Z43)) = 0,
   "",
   IFERROR(
     (
       IF(
         SUMPRODUCT(($C$9:$G$9="CO7")*ISNUMBER($C$10:$G$10)*ISNUMBER(C43:G43)) = 0,
         0,
         SUMPRODUCT(($C$9:$G$9="CO7")*ISNUMBER($C$10:$G$10)*ISNUMBER(C43:G43)*C43:G43) /
         SUMPRODUCT(($C$9:$G$9="CO7")*ISNUMBER($C$10:$G$10)*ISNUMBER(C43:G43)*$C$10:$G$10) * 0.15
       ) +
       IF(
         SUMPRODUCT(($H$9:$Z$9="CO7")*ISNUMBER($H$10:$Z$10)*ISNUMBER(H43:Z43)) = 0,
         0,
         SUMPRODUCT(($H$9:$Z$9="CO7")*ISNUMBER($H$10:$Z$10)*ISNUMBER(H43:Z43)*H43:Z43) /
         SUMPRODUCT(($H$9:$Z$9="CO7")*ISNUMBER($H$10:$Z$10)*ISNUMBER(H43:Z43)*$H$10:$Z$10) * 0.85
       )
     ) * 100,
     ""
   )
)</f>
        <v/>
      </c>
      <c r="AH43" s="3" t="str" cm="1">
        <f t="array" ref="AH43">IF(
   SUMPRODUCT(($C$9:$G$9="CO8")*ISNUMBER($C$10:$G$10)*ISNUMBER(C43:G43)) +
   SUMPRODUCT(($H$9:$Z$9="CO8")*ISNUMBER($H$10:$Z$10)*ISNUMBER(H43:Z43)) = 0,
   "",
   IFERROR(
     (
       IF(
         SUMPRODUCT(($C$9:$G$9="CO8")*ISNUMBER($C$10:$G$10)*ISNUMBER(C43:G43)) = 0,
         0,
         SUMPRODUCT(($C$9:$G$9="CO8")*ISNUMBER($C$10:$G$10)*ISNUMBER(C43:G43)*C43:G43) /
         SUMPRODUCT(($C$9:$G$9="CO8")*ISNUMBER($C$10:$G$10)*ISNUMBER(C43:G43)*$C$10:$G$10) * 0.15
       ) +
       IF(
         SUMPRODUCT(($H$9:$Z$9="CO8")*ISNUMBER($H$10:$Z$10)*ISNUMBER(H43:Z43)) = 0,
         0,
         SUMPRODUCT(($H$9:$Z$9="CO8")*ISNUMBER($H$10:$Z$10)*ISNUMBER(H43:Z43)*H43:Z43) /
         SUMPRODUCT(($H$9:$Z$9="CO8")*ISNUMBER($H$10:$Z$10)*ISNUMBER(H43:Z43)*$H$10:$Z$10) * 0.85
       )
     ) * 100,
     ""
   )
)</f>
        <v/>
      </c>
      <c r="AI43" s="1" t="str">
        <f t="shared" si="1"/>
        <v>First</v>
      </c>
      <c r="AJ43" s="1" t="str">
        <f t="shared" si="2"/>
        <v>D</v>
      </c>
      <c r="AK43" s="1" t="str">
        <f t="shared" si="3"/>
        <v>D</v>
      </c>
      <c r="AL43" s="1" t="str">
        <f t="shared" si="4"/>
        <v>F</v>
      </c>
      <c r="AM43" s="1" t="str">
        <f t="shared" si="4"/>
        <v/>
      </c>
      <c r="AN43" s="1" t="str">
        <f t="shared" si="4"/>
        <v/>
      </c>
      <c r="AO43" s="1" t="str">
        <f t="shared" si="4"/>
        <v/>
      </c>
      <c r="AP43" s="1" t="str">
        <f t="shared" si="4"/>
        <v/>
      </c>
    </row>
    <row r="44" spans="1:44" ht="16.2" thickBot="1" x14ac:dyDescent="0.35">
      <c r="A44" s="57">
        <v>2508033</v>
      </c>
      <c r="B44" s="58" t="s">
        <v>141</v>
      </c>
      <c r="C44" s="77">
        <v>3</v>
      </c>
      <c r="D44" s="82">
        <v>4</v>
      </c>
      <c r="E44" s="88">
        <v>5</v>
      </c>
      <c r="F44" s="89">
        <v>3</v>
      </c>
      <c r="G44" s="89">
        <v>3</v>
      </c>
      <c r="H44" s="14">
        <v>0</v>
      </c>
      <c r="I44" s="14" t="s">
        <v>190</v>
      </c>
      <c r="J44" s="14">
        <v>1</v>
      </c>
      <c r="K44" s="14">
        <v>1</v>
      </c>
      <c r="L44" s="14">
        <v>1</v>
      </c>
      <c r="M44" s="14">
        <v>2</v>
      </c>
      <c r="N44" s="14">
        <v>2</v>
      </c>
      <c r="O44" s="14">
        <v>0</v>
      </c>
      <c r="P44" s="14">
        <v>2</v>
      </c>
      <c r="Q44" s="14">
        <v>0</v>
      </c>
      <c r="R44" s="14">
        <v>2</v>
      </c>
      <c r="S44" s="14">
        <v>0</v>
      </c>
      <c r="T44" s="14">
        <v>1</v>
      </c>
      <c r="U44" s="14">
        <v>2</v>
      </c>
      <c r="V44" s="14">
        <v>0</v>
      </c>
      <c r="W44" s="14">
        <v>0</v>
      </c>
      <c r="X44" s="98">
        <v>22</v>
      </c>
      <c r="Y44" s="99">
        <v>8</v>
      </c>
      <c r="Z44" s="89">
        <v>5</v>
      </c>
      <c r="AA44" s="1" t="str" cm="1">
        <f t="array" ref="AA44">IF(
   SUMPRODUCT(($C$9:$G$9="CO1")*ISNUMBER($C$10:$G$10)*ISNUMBER(C44:G44)) +
   SUMPRODUCT(($H$9:$Z$9="CO1")*ISNUMBER($H$10:$Z$10)*ISNUMBER(H44:Z44)) = 0,
   "",
   IFERROR(
     (
       IF(
         SUMPRODUCT(($C$9:$G$9="CO1")*ISNUMBER($C$10:$G$10)*ISNUMBER(C44:G44)) = 0,
         0,
         SUMPRODUCT(($C$9:$G$9="CO1")*ISNUMBER($C$10:$G$10)*ISNUMBER(C44:G44)*C44:G44) /
         SUMPRODUCT(($C$9:$G$9="CO1")*ISNUMBER($C$10:$G$10)*ISNUMBER(C44:G44)*$C$10:$G$10) * 0.15
       ) +
       IF(
         SUMPRODUCT(($H$9:$Z$9="CO1")*ISNUMBER($H$10:$Z$10)*ISNUMBER(H44:Z44)) = 0,
         0,
         SUMPRODUCT(($H$9:$Z$9="CO1")*ISNUMBER($H$10:$Z$10)*ISNUMBER(H44:Z44)*H44:Z44) /
         SUMPRODUCT(($H$9:$Z$9="CO1")*ISNUMBER($H$10:$Z$10)*ISNUMBER(H44:Z44)*$H$10:$Z$10) * 0.85
       )
     ) * 100,
     ""
   )
)</f>
        <v/>
      </c>
      <c r="AB44" s="1" t="str" cm="1">
        <f t="array" ref="AB44">IF(
   SUMPRODUCT(($C$9:$G$9="CO2")*ISNUMBER($C$10:$G$10)*ISNUMBER(C44:G44)) +
   SUMPRODUCT(($H$9:$Z$9="CO2")*ISNUMBER($H$10:$Z$10)*ISNUMBER(H44:Z44)) = 0,
   "",
   IFERROR(
     (
       IF(
         SUMPRODUCT(($C$9:$G$9="CO2")*ISNUMBER($C$10:$G$10)*ISNUMBER(C44:G44)) = 0,
         0,
         SUMPRODUCT(($C$9:$G$9="CO2")*ISNUMBER($C$10:$G$10)*ISNUMBER(C44:G44)*C44:G44) /
         SUMPRODUCT(($C$9:$G$9="CO2")*ISNUMBER($C$10:$G$10)*ISNUMBER(C44:G44)*$C$10:$G$10) * 0.15
       ) +
       IF(
         SUMPRODUCT(($H$9:$Z$9="CO2")*ISNUMBER($H$10:$Z$10)*ISNUMBER(H44:Z44)) = 0,
         0,
         SUMPRODUCT(($H$9:$Z$9="CO2")*ISNUMBER($H$10:$Z$10)*ISNUMBER(H44:Z44)*H44:Z44) /
         SUMPRODUCT(($H$9:$Z$9="CO2")*ISNUMBER($H$10:$Z$10)*ISNUMBER(H44:Z44)*$H$10:$Z$10) * 0.85
       )
     ) * 100,
     ""
   )
)</f>
        <v/>
      </c>
      <c r="AC44" s="1" t="str" cm="1">
        <f t="array" ref="AC44">IF(
   SUMPRODUCT(($C$9:$G$9="CO3")*ISNUMBER($C$10:$G$10)*ISNUMBER(C44:G44)) +
   SUMPRODUCT(($H$9:$Z$9="CO3")*ISNUMBER($H$10:$Z$10)*ISNUMBER(H44:Z44)) = 0,
   "",
   IFERROR(
     (
       IF(
         SUMPRODUCT(($C$9:$G$9="CO3")*ISNUMBER($C$10:$G$10)*ISNUMBER(C44:G44)) = 0,
         0,
         SUMPRODUCT(($C$9:$G$9="CO3")*ISNUMBER($C$10:$G$10)*ISNUMBER(C44:G44)*C44:G44) /
         SUMPRODUCT(($C$9:$G$9="CO3")*ISNUMBER($C$10:$G$10)*ISNUMBER(C44:G44)*$C$10:$G$10) * 0.15
       ) +
       IF(
         SUMPRODUCT(($H$9:$Z$9="CO3")*ISNUMBER($H$10:$Z$10)*ISNUMBER(H44:Z44)) = 0,
         0,
         SUMPRODUCT(($H$9:$Z$9="CO3")*ISNUMBER($H$10:$Z$10)*ISNUMBER(H44:Z44)*H44:Z44) /
         SUMPRODUCT(($H$9:$Z$9="CO3")*ISNUMBER($H$10:$Z$10)*ISNUMBER(H44:Z44)*$H$10:$Z$10) * 0.85
       )
     ) * 100,
     ""
   )
)</f>
        <v/>
      </c>
      <c r="AD44" s="1" t="str" cm="1">
        <f t="array" ref="AD44">IF(
   SUMPRODUCT(($C$9:$G$9="CO4")*ISNUMBER($C$10:$G$10)*ISNUMBER(C44:G44)) +
   SUMPRODUCT(($H$9:$Z$9="CO4")*ISNUMBER($H$10:$Z$10)*ISNUMBER(H44:Z44)) = 0,
   "",
   IFERROR(
     (
       IF(
         SUMPRODUCT(($C$9:$G$9="CO4")*ISNUMBER($C$10:$G$10)*ISNUMBER(C44:G44)) = 0,
         0,
         SUMPRODUCT(($C$9:$G$9="CO4")*ISNUMBER($C$10:$G$10)*ISNUMBER(C44:G44)*C44:G44) /
         SUMPRODUCT(($C$9:$G$9="CO4")*ISNUMBER($C$10:$G$10)*ISNUMBER(C44:G44)*$C$10:$G$10) * 0.15
       ) +
       IF(
         SUMPRODUCT(($H$9:$Z$9="CO4")*ISNUMBER($H$10:$Z$10)*ISNUMBER(H44:Z44)) = 0,
         0,
         SUMPRODUCT(($H$9:$Z$9="CO4")*ISNUMBER($H$10:$Z$10)*ISNUMBER(H44:Z44)*H44:Z44) /
         SUMPRODUCT(($H$9:$Z$9="CO4")*ISNUMBER($H$10:$Z$10)*ISNUMBER(H44:Z44)*$H$10:$Z$10) * 0.85
       )
     ) * 100,
     ""
   )
)</f>
        <v/>
      </c>
      <c r="AE44" s="1" t="str" cm="1">
        <f t="array" ref="AE44">IF(
   SUMPRODUCT(($C$9:$G$9="CO5")*ISNUMBER($C$10:$G$10)*ISNUMBER(C44:G44)) +
   SUMPRODUCT(($H$9:$Z$9="CO5")*ISNUMBER($H$10:$Z$10)*ISNUMBER(H44:Z44)) = 0,
   "",
   IFERROR(
     (
       IF(
         SUMPRODUCT(($C$9:$G$9="CO5")*ISNUMBER($C$10:$G$10)*ISNUMBER(C44:G44)) = 0,
         0,
         SUMPRODUCT(($C$9:$G$9="CO5")*ISNUMBER($C$10:$G$10)*ISNUMBER(C44:G44)*C44:G44) /
         SUMPRODUCT(($C$9:$G$9="CO5")*ISNUMBER($C$10:$G$10)*ISNUMBER(C44:G44)*$C$10:$G$10) * 0.15
       ) +
       IF(
         SUMPRODUCT(($H$9:$Z$9="CO5")*ISNUMBER($H$10:$Z$10)*ISNUMBER(H44:Z44)) = 0,
         0,
         SUMPRODUCT(($H$9:$Z$9="CO5")*ISNUMBER($H$10:$Z$10)*ISNUMBER(H44:Z44)*H44:Z44) /
         SUMPRODUCT(($H$9:$Z$9="CO5")*ISNUMBER($H$10:$Z$10)*ISNUMBER(H44:Z44)*$H$10:$Z$10) * 0.85
       )
     ) * 100,
     ""
   )
)</f>
        <v/>
      </c>
      <c r="AF44" s="1" t="str" cm="1">
        <f t="array" ref="AF44">IF(
   SUMPRODUCT(($C$9:$G$9="CO6")*ISNUMBER($C$10:$G$10)*ISNUMBER(C44:G44)) +
   SUMPRODUCT(($H$9:$Z$9="CO6")*ISNUMBER($H$10:$Z$10)*ISNUMBER(H44:Z44)) = 0,
   "",
   IFERROR(
     (
       IF(
         SUMPRODUCT(($C$9:$G$9="CO6")*ISNUMBER($C$10:$G$10)*ISNUMBER(C44:G44)) = 0,
         0,
         SUMPRODUCT(($C$9:$G$9="CO6")*ISNUMBER($C$10:$G$10)*ISNUMBER(C44:G44)*C44:G44) /
         SUMPRODUCT(($C$9:$G$9="CO6")*ISNUMBER($C$10:$G$10)*ISNUMBER(C44:G44)*$C$10:$G$10) * 0.15
       ) +
       IF(
         SUMPRODUCT(($H$9:$Z$9="CO6")*ISNUMBER($H$10:$Z$10)*ISNUMBER(H44:Z44)) = 0,
         0,
         SUMPRODUCT(($H$9:$Z$9="CO6")*ISNUMBER($H$10:$Z$10)*ISNUMBER(H44:Z44)*H44:Z44) /
         SUMPRODUCT(($H$9:$Z$9="CO6")*ISNUMBER($H$10:$Z$10)*ISNUMBER(H44:Z44)*$H$10:$Z$10) * 0.85
       )
     ) * 100,
     ""
   )
)</f>
        <v/>
      </c>
      <c r="AG44" s="1" t="str" cm="1">
        <f t="array" ref="AG44">IF(
   SUMPRODUCT(($C$9:$G$9="CO7")*ISNUMBER($C$10:$G$10)*ISNUMBER(C44:G44)) +
   SUMPRODUCT(($H$9:$Z$9="CO7")*ISNUMBER($H$10:$Z$10)*ISNUMBER(H44:Z44)) = 0,
   "",
   IFERROR(
     (
       IF(
         SUMPRODUCT(($C$9:$G$9="CO7")*ISNUMBER($C$10:$G$10)*ISNUMBER(C44:G44)) = 0,
         0,
         SUMPRODUCT(($C$9:$G$9="CO7")*ISNUMBER($C$10:$G$10)*ISNUMBER(C44:G44)*C44:G44) /
         SUMPRODUCT(($C$9:$G$9="CO7")*ISNUMBER($C$10:$G$10)*ISNUMBER(C44:G44)*$C$10:$G$10) * 0.15
       ) +
       IF(
         SUMPRODUCT(($H$9:$Z$9="CO7")*ISNUMBER($H$10:$Z$10)*ISNUMBER(H44:Z44)) = 0,
         0,
         SUMPRODUCT(($H$9:$Z$9="CO7")*ISNUMBER($H$10:$Z$10)*ISNUMBER(H44:Z44)*H44:Z44) /
         SUMPRODUCT(($H$9:$Z$9="CO7")*ISNUMBER($H$10:$Z$10)*ISNUMBER(H44:Z44)*$H$10:$Z$10) * 0.85
       )
     ) * 100,
     ""
   )
)</f>
        <v/>
      </c>
      <c r="AH44" s="3" t="str" cm="1">
        <f t="array" ref="AH44">IF(
   SUMPRODUCT(($C$9:$G$9="CO8")*ISNUMBER($C$10:$G$10)*ISNUMBER(C44:G44)) +
   SUMPRODUCT(($H$9:$Z$9="CO8")*ISNUMBER($H$10:$Z$10)*ISNUMBER(H44:Z44)) = 0,
   "",
   IFERROR(
     (
       IF(
         SUMPRODUCT(($C$9:$G$9="CO8")*ISNUMBER($C$10:$G$10)*ISNUMBER(C44:G44)) = 0,
         0,
         SUMPRODUCT(($C$9:$G$9="CO8")*ISNUMBER($C$10:$G$10)*ISNUMBER(C44:G44)*C44:G44) /
         SUMPRODUCT(($C$9:$G$9="CO8")*ISNUMBER($C$10:$G$10)*ISNUMBER(C44:G44)*$C$10:$G$10) * 0.15
       ) +
       IF(
         SUMPRODUCT(($H$9:$Z$9="CO8")*ISNUMBER($H$10:$Z$10)*ISNUMBER(H44:Z44)) = 0,
         0,
         SUMPRODUCT(($H$9:$Z$9="CO8")*ISNUMBER($H$10:$Z$10)*ISNUMBER(H44:Z44)*H44:Z44) /
         SUMPRODUCT(($H$9:$Z$9="CO8")*ISNUMBER($H$10:$Z$10)*ISNUMBER(H44:Z44)*$H$10:$Z$10) * 0.85
       )
     ) * 100,
     ""
   )
)</f>
        <v/>
      </c>
      <c r="AI44" s="1" t="str">
        <f t="shared" si="1"/>
        <v/>
      </c>
      <c r="AJ44" s="1" t="str">
        <f t="shared" si="2"/>
        <v/>
      </c>
      <c r="AK44" s="1" t="str">
        <f t="shared" si="3"/>
        <v/>
      </c>
      <c r="AL44" s="1" t="str">
        <f t="shared" si="4"/>
        <v/>
      </c>
      <c r="AM44" s="1" t="str">
        <f t="shared" si="4"/>
        <v/>
      </c>
      <c r="AN44" s="1" t="str">
        <f t="shared" si="4"/>
        <v/>
      </c>
      <c r="AO44" s="1" t="str">
        <f t="shared" si="4"/>
        <v/>
      </c>
      <c r="AP44" s="1" t="str">
        <f t="shared" si="4"/>
        <v/>
      </c>
    </row>
    <row r="45" spans="1:44" ht="16.2" thickBot="1" x14ac:dyDescent="0.35">
      <c r="A45" s="57">
        <v>2508034</v>
      </c>
      <c r="B45" s="59" t="s">
        <v>142</v>
      </c>
      <c r="C45" s="77">
        <v>3</v>
      </c>
      <c r="D45" s="82">
        <v>5</v>
      </c>
      <c r="E45" s="88">
        <v>5</v>
      </c>
      <c r="F45" s="89">
        <v>5</v>
      </c>
      <c r="G45" s="89">
        <v>2</v>
      </c>
      <c r="H45" s="14">
        <v>0</v>
      </c>
      <c r="I45" s="14">
        <v>1</v>
      </c>
      <c r="J45" s="14">
        <v>1</v>
      </c>
      <c r="K45" s="14">
        <v>0.5</v>
      </c>
      <c r="L45" s="14">
        <v>0</v>
      </c>
      <c r="M45" s="14">
        <v>1</v>
      </c>
      <c r="N45" s="14">
        <v>2</v>
      </c>
      <c r="O45" s="14">
        <v>2</v>
      </c>
      <c r="P45" s="14">
        <v>0</v>
      </c>
      <c r="Q45" s="14">
        <v>2</v>
      </c>
      <c r="R45" s="14">
        <v>2</v>
      </c>
      <c r="S45" s="14">
        <v>0</v>
      </c>
      <c r="T45" s="14">
        <v>1</v>
      </c>
      <c r="U45" s="14">
        <v>1</v>
      </c>
      <c r="V45" s="14">
        <v>0</v>
      </c>
      <c r="W45" s="14">
        <v>1</v>
      </c>
      <c r="X45" s="98">
        <v>17</v>
      </c>
      <c r="Y45" s="99">
        <v>8</v>
      </c>
      <c r="Z45" s="89">
        <v>7</v>
      </c>
      <c r="AA45" s="1" cm="1">
        <f t="array" ref="AA45">IF(
   SUMPRODUCT(($C$9:$G$9="CO1")*ISNUMBER($C$10:$G$10)*ISNUMBER(C45:G45)) +
   SUMPRODUCT(($H$9:$Z$9="CO1")*ISNUMBER($H$10:$Z$10)*ISNUMBER(H45:Z45)) = 0,
   "",
   IFERROR(
     (
       IF(
         SUMPRODUCT(($C$9:$G$9="CO1")*ISNUMBER($C$10:$G$10)*ISNUMBER(C45:G45)) = 0,
         0,
         SUMPRODUCT(($C$9:$G$9="CO1")*ISNUMBER($C$10:$G$10)*ISNUMBER(C45:G45)*C45:G45) /
         SUMPRODUCT(($C$9:$G$9="CO1")*ISNUMBER($C$10:$G$10)*ISNUMBER(C45:G45)*$C$10:$G$10) * 0.15
       ) +
       IF(
         SUMPRODUCT(($H$9:$Z$9="CO1")*ISNUMBER($H$10:$Z$10)*ISNUMBER(H45:Z45)) = 0,
         0,
         SUMPRODUCT(($H$9:$Z$9="CO1")*ISNUMBER($H$10:$Z$10)*ISNUMBER(H45:Z45)*H45:Z45) /
         SUMPRODUCT(($H$9:$Z$9="CO1")*ISNUMBER($H$10:$Z$10)*ISNUMBER(H45:Z45)*$H$10:$Z$10) * 0.85
       )
     ) * 100,
     ""
   )
)</f>
        <v>68.027777777777771</v>
      </c>
      <c r="AB45" s="1" cm="1">
        <f t="array" ref="AB45">IF(
   SUMPRODUCT(($C$9:$G$9="CO2")*ISNUMBER($C$10:$G$10)*ISNUMBER(C45:G45)) +
   SUMPRODUCT(($H$9:$Z$9="CO2")*ISNUMBER($H$10:$Z$10)*ISNUMBER(H45:Z45)) = 0,
   "",
   IFERROR(
     (
       IF(
         SUMPRODUCT(($C$9:$G$9="CO2")*ISNUMBER($C$10:$G$10)*ISNUMBER(C45:G45)) = 0,
         0,
         SUMPRODUCT(($C$9:$G$9="CO2")*ISNUMBER($C$10:$G$10)*ISNUMBER(C45:G45)*C45:G45) /
         SUMPRODUCT(($C$9:$G$9="CO2")*ISNUMBER($C$10:$G$10)*ISNUMBER(C45:G45)*$C$10:$G$10) * 0.15
       ) +
       IF(
         SUMPRODUCT(($H$9:$Z$9="CO2")*ISNUMBER($H$10:$Z$10)*ISNUMBER(H45:Z45)) = 0,
         0,
         SUMPRODUCT(($H$9:$Z$9="CO2")*ISNUMBER($H$10:$Z$10)*ISNUMBER(H45:Z45)*H45:Z45) /
         SUMPRODUCT(($H$9:$Z$9="CO2")*ISNUMBER($H$10:$Z$10)*ISNUMBER(H45:Z45)*$H$10:$Z$10) * 0.85
       )
     ) * 100,
     ""
   )
)</f>
        <v>78.75</v>
      </c>
      <c r="AC45" s="1" cm="1">
        <f t="array" ref="AC45">IF(
   SUMPRODUCT(($C$9:$G$9="CO3")*ISNUMBER($C$10:$G$10)*ISNUMBER(C45:G45)) +
   SUMPRODUCT(($H$9:$Z$9="CO3")*ISNUMBER($H$10:$Z$10)*ISNUMBER(H45:Z45)) = 0,
   "",
   IFERROR(
     (
       IF(
         SUMPRODUCT(($C$9:$G$9="CO3")*ISNUMBER($C$10:$G$10)*ISNUMBER(C45:G45)) = 0,
         0,
         SUMPRODUCT(($C$9:$G$9="CO3")*ISNUMBER($C$10:$G$10)*ISNUMBER(C45:G45)*C45:G45) /
         SUMPRODUCT(($C$9:$G$9="CO3")*ISNUMBER($C$10:$G$10)*ISNUMBER(C45:G45)*$C$10:$G$10) * 0.15
       ) +
       IF(
         SUMPRODUCT(($H$9:$Z$9="CO3")*ISNUMBER($H$10:$Z$10)*ISNUMBER(H45:Z45)) = 0,
         0,
         SUMPRODUCT(($H$9:$Z$9="CO3")*ISNUMBER($H$10:$Z$10)*ISNUMBER(H45:Z45)*H45:Z45) /
         SUMPRODUCT(($H$9:$Z$9="CO3")*ISNUMBER($H$10:$Z$10)*ISNUMBER(H45:Z45)*$H$10:$Z$10) * 0.85
       )
     ) * 100,
     ""
   )
)</f>
        <v>75.714285714285708</v>
      </c>
      <c r="AD45" s="1" cm="1">
        <f t="array" ref="AD45">IF(
   SUMPRODUCT(($C$9:$G$9="CO4")*ISNUMBER($C$10:$G$10)*ISNUMBER(C45:G45)) +
   SUMPRODUCT(($H$9:$Z$9="CO4")*ISNUMBER($H$10:$Z$10)*ISNUMBER(H45:Z45)) = 0,
   "",
   IFERROR(
     (
       IF(
         SUMPRODUCT(($C$9:$G$9="CO4")*ISNUMBER($C$10:$G$10)*ISNUMBER(C45:G45)) = 0,
         0,
         SUMPRODUCT(($C$9:$G$9="CO4")*ISNUMBER($C$10:$G$10)*ISNUMBER(C45:G45)*C45:G45) /
         SUMPRODUCT(($C$9:$G$9="CO4")*ISNUMBER($C$10:$G$10)*ISNUMBER(C45:G45)*$C$10:$G$10) * 0.15
       ) +
       IF(
         SUMPRODUCT(($H$9:$Z$9="CO4")*ISNUMBER($H$10:$Z$10)*ISNUMBER(H45:Z45)) = 0,
         0,
         SUMPRODUCT(($H$9:$Z$9="CO4")*ISNUMBER($H$10:$Z$10)*ISNUMBER(H45:Z45)*H45:Z45) /
         SUMPRODUCT(($H$9:$Z$9="CO4")*ISNUMBER($H$10:$Z$10)*ISNUMBER(H45:Z45)*$H$10:$Z$10) * 0.85
       )
     ) * 100,
     ""
   )
)</f>
        <v>34.333333333333336</v>
      </c>
      <c r="AE45" s="1" t="str" cm="1">
        <f t="array" ref="AE45">IF(
   SUMPRODUCT(($C$9:$G$9="CO5")*ISNUMBER($C$10:$G$10)*ISNUMBER(C45:G45)) +
   SUMPRODUCT(($H$9:$Z$9="CO5")*ISNUMBER($H$10:$Z$10)*ISNUMBER(H45:Z45)) = 0,
   "",
   IFERROR(
     (
       IF(
         SUMPRODUCT(($C$9:$G$9="CO5")*ISNUMBER($C$10:$G$10)*ISNUMBER(C45:G45)) = 0,
         0,
         SUMPRODUCT(($C$9:$G$9="CO5")*ISNUMBER($C$10:$G$10)*ISNUMBER(C45:G45)*C45:G45) /
         SUMPRODUCT(($C$9:$G$9="CO5")*ISNUMBER($C$10:$G$10)*ISNUMBER(C45:G45)*$C$10:$G$10) * 0.15
       ) +
       IF(
         SUMPRODUCT(($H$9:$Z$9="CO5")*ISNUMBER($H$10:$Z$10)*ISNUMBER(H45:Z45)) = 0,
         0,
         SUMPRODUCT(($H$9:$Z$9="CO5")*ISNUMBER($H$10:$Z$10)*ISNUMBER(H45:Z45)*H45:Z45) /
         SUMPRODUCT(($H$9:$Z$9="CO5")*ISNUMBER($H$10:$Z$10)*ISNUMBER(H45:Z45)*$H$10:$Z$10) * 0.85
       )
     ) * 100,
     ""
   )
)</f>
        <v/>
      </c>
      <c r="AF45" s="1" t="str" cm="1">
        <f t="array" ref="AF45">IF(
   SUMPRODUCT(($C$9:$G$9="CO6")*ISNUMBER($C$10:$G$10)*ISNUMBER(C45:G45)) +
   SUMPRODUCT(($H$9:$Z$9="CO6")*ISNUMBER($H$10:$Z$10)*ISNUMBER(H45:Z45)) = 0,
   "",
   IFERROR(
     (
       IF(
         SUMPRODUCT(($C$9:$G$9="CO6")*ISNUMBER($C$10:$G$10)*ISNUMBER(C45:G45)) = 0,
         0,
         SUMPRODUCT(($C$9:$G$9="CO6")*ISNUMBER($C$10:$G$10)*ISNUMBER(C45:G45)*C45:G45) /
         SUMPRODUCT(($C$9:$G$9="CO6")*ISNUMBER($C$10:$G$10)*ISNUMBER(C45:G45)*$C$10:$G$10) * 0.15
       ) +
       IF(
         SUMPRODUCT(($H$9:$Z$9="CO6")*ISNUMBER($H$10:$Z$10)*ISNUMBER(H45:Z45)) = 0,
         0,
         SUMPRODUCT(($H$9:$Z$9="CO6")*ISNUMBER($H$10:$Z$10)*ISNUMBER(H45:Z45)*H45:Z45) /
         SUMPRODUCT(($H$9:$Z$9="CO6")*ISNUMBER($H$10:$Z$10)*ISNUMBER(H45:Z45)*$H$10:$Z$10) * 0.85
       )
     ) * 100,
     ""
   )
)</f>
        <v/>
      </c>
      <c r="AG45" s="1" t="str" cm="1">
        <f t="array" ref="AG45">IF(
   SUMPRODUCT(($C$9:$G$9="CO7")*ISNUMBER($C$10:$G$10)*ISNUMBER(C45:G45)) +
   SUMPRODUCT(($H$9:$Z$9="CO7")*ISNUMBER($H$10:$Z$10)*ISNUMBER(H45:Z45)) = 0,
   "",
   IFERROR(
     (
       IF(
         SUMPRODUCT(($C$9:$G$9="CO7")*ISNUMBER($C$10:$G$10)*ISNUMBER(C45:G45)) = 0,
         0,
         SUMPRODUCT(($C$9:$G$9="CO7")*ISNUMBER($C$10:$G$10)*ISNUMBER(C45:G45)*C45:G45) /
         SUMPRODUCT(($C$9:$G$9="CO7")*ISNUMBER($C$10:$G$10)*ISNUMBER(C45:G45)*$C$10:$G$10) * 0.15
       ) +
       IF(
         SUMPRODUCT(($H$9:$Z$9="CO7")*ISNUMBER($H$10:$Z$10)*ISNUMBER(H45:Z45)) = 0,
         0,
         SUMPRODUCT(($H$9:$Z$9="CO7")*ISNUMBER($H$10:$Z$10)*ISNUMBER(H45:Z45)*H45:Z45) /
         SUMPRODUCT(($H$9:$Z$9="CO7")*ISNUMBER($H$10:$Z$10)*ISNUMBER(H45:Z45)*$H$10:$Z$10) * 0.85
       )
     ) * 100,
     ""
   )
)</f>
        <v/>
      </c>
      <c r="AH45" s="3" t="str" cm="1">
        <f t="array" ref="AH45">IF(
   SUMPRODUCT(($C$9:$G$9="CO8")*ISNUMBER($C$10:$G$10)*ISNUMBER(C45:G45)) +
   SUMPRODUCT(($H$9:$Z$9="CO8")*ISNUMBER($H$10:$Z$10)*ISNUMBER(H45:Z45)) = 0,
   "",
   IFERROR(
     (
       IF(
         SUMPRODUCT(($C$9:$G$9="CO8")*ISNUMBER($C$10:$G$10)*ISNUMBER(C45:G45)) = 0,
         0,
         SUMPRODUCT(($C$9:$G$9="CO8")*ISNUMBER($C$10:$G$10)*ISNUMBER(C45:G45)*C45:G45) /
         SUMPRODUCT(($C$9:$G$9="CO8")*ISNUMBER($C$10:$G$10)*ISNUMBER(C45:G45)*$C$10:$G$10) * 0.15
       ) +
       IF(
         SUMPRODUCT(($H$9:$Z$9="CO8")*ISNUMBER($H$10:$Z$10)*ISNUMBER(H45:Z45)) = 0,
         0,
         SUMPRODUCT(($H$9:$Z$9="CO8")*ISNUMBER($H$10:$Z$10)*ISNUMBER(H45:Z45)*H45:Z45) /
         SUMPRODUCT(($H$9:$Z$9="CO8")*ISNUMBER($H$10:$Z$10)*ISNUMBER(H45:Z45)*$H$10:$Z$10) * 0.85
       )
     ) * 100,
     ""
   )
)</f>
        <v/>
      </c>
      <c r="AI45" s="1" t="str">
        <f t="shared" ref="AI45:AI76" si="10">IF(AA45="", "", IF(AA45&lt;40, "F", IF(AA45&lt;50, "P", IF(AA45&lt;60, "S", IF(AA45&lt;70, "First", "D")))))</f>
        <v>First</v>
      </c>
      <c r="AJ45" s="1" t="str">
        <f t="shared" ref="AJ45:AJ76" si="11">IF(AB45="", "", IF(AB45&lt;40, "F", IF(AB45&lt;50, "P", IF(AB45&lt;60, "S", IF(AB45&lt;70, "First", "D")))))</f>
        <v>D</v>
      </c>
      <c r="AK45" s="1" t="str">
        <f t="shared" ref="AK45:AK76" si="12">IF(AC45="", "", IF(AC45&lt;40, "F", IF(AC45&lt;50, "P", IF(AC45&lt;60, "S", IF(AC45&lt;70, "First", "D")))))</f>
        <v>D</v>
      </c>
      <c r="AL45" s="1" t="str">
        <f t="shared" si="4"/>
        <v>F</v>
      </c>
      <c r="AM45" s="1" t="str">
        <f t="shared" si="4"/>
        <v/>
      </c>
      <c r="AN45" s="1" t="str">
        <f t="shared" si="4"/>
        <v/>
      </c>
      <c r="AO45" s="1" t="str">
        <f t="shared" si="4"/>
        <v/>
      </c>
      <c r="AP45" s="1" t="str">
        <f t="shared" si="4"/>
        <v/>
      </c>
    </row>
    <row r="46" spans="1:44" ht="16.2" thickBot="1" x14ac:dyDescent="0.35">
      <c r="A46" s="57">
        <v>2508035</v>
      </c>
      <c r="B46" s="59" t="s">
        <v>143</v>
      </c>
      <c r="C46" s="77">
        <v>4</v>
      </c>
      <c r="D46" s="82">
        <v>5</v>
      </c>
      <c r="E46" s="88">
        <v>3.5</v>
      </c>
      <c r="F46" s="89">
        <v>5</v>
      </c>
      <c r="G46" s="89">
        <v>2</v>
      </c>
      <c r="H46" s="14">
        <v>0</v>
      </c>
      <c r="I46" s="14">
        <v>1</v>
      </c>
      <c r="J46" s="14">
        <v>1</v>
      </c>
      <c r="K46" s="14">
        <v>0</v>
      </c>
      <c r="L46" s="14">
        <v>0</v>
      </c>
      <c r="M46" s="14">
        <v>2</v>
      </c>
      <c r="N46" s="14">
        <v>2</v>
      </c>
      <c r="O46" s="14">
        <v>2</v>
      </c>
      <c r="P46" s="14">
        <v>0</v>
      </c>
      <c r="Q46" s="14">
        <v>0</v>
      </c>
      <c r="R46" s="14">
        <v>2</v>
      </c>
      <c r="S46" s="14">
        <v>0</v>
      </c>
      <c r="T46" s="14">
        <v>2</v>
      </c>
      <c r="U46" s="14">
        <v>2</v>
      </c>
      <c r="V46" s="14">
        <v>0</v>
      </c>
      <c r="W46" s="14">
        <v>1</v>
      </c>
      <c r="X46" s="98">
        <v>21</v>
      </c>
      <c r="Y46" s="99">
        <v>8</v>
      </c>
      <c r="Z46" s="89">
        <v>8</v>
      </c>
      <c r="AA46" s="1" cm="1">
        <f t="array" ref="AA46">IF(
   SUMPRODUCT(($C$9:$G$9="CO1")*ISNUMBER($C$10:$G$10)*ISNUMBER(C46:G46)) +
   SUMPRODUCT(($H$9:$Z$9="CO1")*ISNUMBER($H$10:$Z$10)*ISNUMBER(H46:Z46)) = 0,
   "",
   IFERROR(
     (
       IF(
         SUMPRODUCT(($C$9:$G$9="CO1")*ISNUMBER($C$10:$G$10)*ISNUMBER(C46:G46)) = 0,
         0,
         SUMPRODUCT(($C$9:$G$9="CO1")*ISNUMBER($C$10:$G$10)*ISNUMBER(C46:G46)*C46:G46) /
         SUMPRODUCT(($C$9:$G$9="CO1")*ISNUMBER($C$10:$G$10)*ISNUMBER(C46:G46)*$C$10:$G$10) * 0.15
       ) +
       IF(
         SUMPRODUCT(($H$9:$Z$9="CO1")*ISNUMBER($H$10:$Z$10)*ISNUMBER(H46:Z46)) = 0,
         0,
         SUMPRODUCT(($H$9:$Z$9="CO1")*ISNUMBER($H$10:$Z$10)*ISNUMBER(H46:Z46)*H46:Z46) /
         SUMPRODUCT(($H$9:$Z$9="CO1")*ISNUMBER($H$10:$Z$10)*ISNUMBER(H46:Z46)*$H$10:$Z$10) * 0.85
       )
     ) * 100,
     ""
   )
)</f>
        <v>78.111111111111114</v>
      </c>
      <c r="AB46" s="1" cm="1">
        <f t="array" ref="AB46">IF(
   SUMPRODUCT(($C$9:$G$9="CO2")*ISNUMBER($C$10:$G$10)*ISNUMBER(C46:G46)) +
   SUMPRODUCT(($H$9:$Z$9="CO2")*ISNUMBER($H$10:$Z$10)*ISNUMBER(H46:Z46)) = 0,
   "",
   IFERROR(
     (
       IF(
         SUMPRODUCT(($C$9:$G$9="CO2")*ISNUMBER($C$10:$G$10)*ISNUMBER(C46:G46)) = 0,
         0,
         SUMPRODUCT(($C$9:$G$9="CO2")*ISNUMBER($C$10:$G$10)*ISNUMBER(C46:G46)*C46:G46) /
         SUMPRODUCT(($C$9:$G$9="CO2")*ISNUMBER($C$10:$G$10)*ISNUMBER(C46:G46)*$C$10:$G$10) * 0.15
       ) +
       IF(
         SUMPRODUCT(($H$9:$Z$9="CO2")*ISNUMBER($H$10:$Z$10)*ISNUMBER(H46:Z46)) = 0,
         0,
         SUMPRODUCT(($H$9:$Z$9="CO2")*ISNUMBER($H$10:$Z$10)*ISNUMBER(H46:Z46)*H46:Z46) /
         SUMPRODUCT(($H$9:$Z$9="CO2")*ISNUMBER($H$10:$Z$10)*ISNUMBER(H46:Z46)*$H$10:$Z$10) * 0.85
       )
     ) * 100,
     ""
   )
)</f>
        <v>76.499999999999986</v>
      </c>
      <c r="AC46" s="1" cm="1">
        <f t="array" ref="AC46">IF(
   SUMPRODUCT(($C$9:$G$9="CO3")*ISNUMBER($C$10:$G$10)*ISNUMBER(C46:G46)) +
   SUMPRODUCT(($H$9:$Z$9="CO3")*ISNUMBER($H$10:$Z$10)*ISNUMBER(H46:Z46)) = 0,
   "",
   IFERROR(
     (
       IF(
         SUMPRODUCT(($C$9:$G$9="CO3")*ISNUMBER($C$10:$G$10)*ISNUMBER(C46:G46)) = 0,
         0,
         SUMPRODUCT(($C$9:$G$9="CO3")*ISNUMBER($C$10:$G$10)*ISNUMBER(C46:G46)*C46:G46) /
         SUMPRODUCT(($C$9:$G$9="CO3")*ISNUMBER($C$10:$G$10)*ISNUMBER(C46:G46)*$C$10:$G$10) * 0.15
       ) +
       IF(
         SUMPRODUCT(($H$9:$Z$9="CO3")*ISNUMBER($H$10:$Z$10)*ISNUMBER(H46:Z46)) = 0,
         0,
         SUMPRODUCT(($H$9:$Z$9="CO3")*ISNUMBER($H$10:$Z$10)*ISNUMBER(H46:Z46)*H46:Z46) /
         SUMPRODUCT(($H$9:$Z$9="CO3")*ISNUMBER($H$10:$Z$10)*ISNUMBER(H46:Z46)*$H$10:$Z$10) * 0.85
       )
     ) * 100,
     ""
   )
)</f>
        <v>84.821428571428569</v>
      </c>
      <c r="AD46" s="1" cm="1">
        <f t="array" ref="AD46">IF(
   SUMPRODUCT(($C$9:$G$9="CO4")*ISNUMBER($C$10:$G$10)*ISNUMBER(C46:G46)) +
   SUMPRODUCT(($H$9:$Z$9="CO4")*ISNUMBER($H$10:$Z$10)*ISNUMBER(H46:Z46)) = 0,
   "",
   IFERROR(
     (
       IF(
         SUMPRODUCT(($C$9:$G$9="CO4")*ISNUMBER($C$10:$G$10)*ISNUMBER(C46:G46)) = 0,
         0,
         SUMPRODUCT(($C$9:$G$9="CO4")*ISNUMBER($C$10:$G$10)*ISNUMBER(C46:G46)*C46:G46) /
         SUMPRODUCT(($C$9:$G$9="CO4")*ISNUMBER($C$10:$G$10)*ISNUMBER(C46:G46)*$C$10:$G$10) * 0.15
       ) +
       IF(
         SUMPRODUCT(($H$9:$Z$9="CO4")*ISNUMBER($H$10:$Z$10)*ISNUMBER(H46:Z46)) = 0,
         0,
         SUMPRODUCT(($H$9:$Z$9="CO4")*ISNUMBER($H$10:$Z$10)*ISNUMBER(H46:Z46)*H46:Z46) /
         SUMPRODUCT(($H$9:$Z$9="CO4")*ISNUMBER($H$10:$Z$10)*ISNUMBER(H46:Z46)*$H$10:$Z$10) * 0.85
       )
     ) * 100,
     ""
   )
)</f>
        <v>48.5</v>
      </c>
      <c r="AE46" s="1" t="str" cm="1">
        <f t="array" ref="AE46">IF(
   SUMPRODUCT(($C$9:$G$9="CO5")*ISNUMBER($C$10:$G$10)*ISNUMBER(C46:G46)) +
   SUMPRODUCT(($H$9:$Z$9="CO5")*ISNUMBER($H$10:$Z$10)*ISNUMBER(H46:Z46)) = 0,
   "",
   IFERROR(
     (
       IF(
         SUMPRODUCT(($C$9:$G$9="CO5")*ISNUMBER($C$10:$G$10)*ISNUMBER(C46:G46)) = 0,
         0,
         SUMPRODUCT(($C$9:$G$9="CO5")*ISNUMBER($C$10:$G$10)*ISNUMBER(C46:G46)*C46:G46) /
         SUMPRODUCT(($C$9:$G$9="CO5")*ISNUMBER($C$10:$G$10)*ISNUMBER(C46:G46)*$C$10:$G$10) * 0.15
       ) +
       IF(
         SUMPRODUCT(($H$9:$Z$9="CO5")*ISNUMBER($H$10:$Z$10)*ISNUMBER(H46:Z46)) = 0,
         0,
         SUMPRODUCT(($H$9:$Z$9="CO5")*ISNUMBER($H$10:$Z$10)*ISNUMBER(H46:Z46)*H46:Z46) /
         SUMPRODUCT(($H$9:$Z$9="CO5")*ISNUMBER($H$10:$Z$10)*ISNUMBER(H46:Z46)*$H$10:$Z$10) * 0.85
       )
     ) * 100,
     ""
   )
)</f>
        <v/>
      </c>
      <c r="AF46" s="1" t="str" cm="1">
        <f t="array" ref="AF46">IF(
   SUMPRODUCT(($C$9:$G$9="CO6")*ISNUMBER($C$10:$G$10)*ISNUMBER(C46:G46)) +
   SUMPRODUCT(($H$9:$Z$9="CO6")*ISNUMBER($H$10:$Z$10)*ISNUMBER(H46:Z46)) = 0,
   "",
   IFERROR(
     (
       IF(
         SUMPRODUCT(($C$9:$G$9="CO6")*ISNUMBER($C$10:$G$10)*ISNUMBER(C46:G46)) = 0,
         0,
         SUMPRODUCT(($C$9:$G$9="CO6")*ISNUMBER($C$10:$G$10)*ISNUMBER(C46:G46)*C46:G46) /
         SUMPRODUCT(($C$9:$G$9="CO6")*ISNUMBER($C$10:$G$10)*ISNUMBER(C46:G46)*$C$10:$G$10) * 0.15
       ) +
       IF(
         SUMPRODUCT(($H$9:$Z$9="CO6")*ISNUMBER($H$10:$Z$10)*ISNUMBER(H46:Z46)) = 0,
         0,
         SUMPRODUCT(($H$9:$Z$9="CO6")*ISNUMBER($H$10:$Z$10)*ISNUMBER(H46:Z46)*H46:Z46) /
         SUMPRODUCT(($H$9:$Z$9="CO6")*ISNUMBER($H$10:$Z$10)*ISNUMBER(H46:Z46)*$H$10:$Z$10) * 0.85
       )
     ) * 100,
     ""
   )
)</f>
        <v/>
      </c>
      <c r="AG46" s="1" t="str" cm="1">
        <f t="array" ref="AG46">IF(
   SUMPRODUCT(($C$9:$G$9="CO7")*ISNUMBER($C$10:$G$10)*ISNUMBER(C46:G46)) +
   SUMPRODUCT(($H$9:$Z$9="CO7")*ISNUMBER($H$10:$Z$10)*ISNUMBER(H46:Z46)) = 0,
   "",
   IFERROR(
     (
       IF(
         SUMPRODUCT(($C$9:$G$9="CO7")*ISNUMBER($C$10:$G$10)*ISNUMBER(C46:G46)) = 0,
         0,
         SUMPRODUCT(($C$9:$G$9="CO7")*ISNUMBER($C$10:$G$10)*ISNUMBER(C46:G46)*C46:G46) /
         SUMPRODUCT(($C$9:$G$9="CO7")*ISNUMBER($C$10:$G$10)*ISNUMBER(C46:G46)*$C$10:$G$10) * 0.15
       ) +
       IF(
         SUMPRODUCT(($H$9:$Z$9="CO7")*ISNUMBER($H$10:$Z$10)*ISNUMBER(H46:Z46)) = 0,
         0,
         SUMPRODUCT(($H$9:$Z$9="CO7")*ISNUMBER($H$10:$Z$10)*ISNUMBER(H46:Z46)*H46:Z46) /
         SUMPRODUCT(($H$9:$Z$9="CO7")*ISNUMBER($H$10:$Z$10)*ISNUMBER(H46:Z46)*$H$10:$Z$10) * 0.85
       )
     ) * 100,
     ""
   )
)</f>
        <v/>
      </c>
      <c r="AH46" s="3" t="str" cm="1">
        <f t="array" ref="AH46">IF(
   SUMPRODUCT(($C$9:$G$9="CO8")*ISNUMBER($C$10:$G$10)*ISNUMBER(C46:G46)) +
   SUMPRODUCT(($H$9:$Z$9="CO8")*ISNUMBER($H$10:$Z$10)*ISNUMBER(H46:Z46)) = 0,
   "",
   IFERROR(
     (
       IF(
         SUMPRODUCT(($C$9:$G$9="CO8")*ISNUMBER($C$10:$G$10)*ISNUMBER(C46:G46)) = 0,
         0,
         SUMPRODUCT(($C$9:$G$9="CO8")*ISNUMBER($C$10:$G$10)*ISNUMBER(C46:G46)*C46:G46) /
         SUMPRODUCT(($C$9:$G$9="CO8")*ISNUMBER($C$10:$G$10)*ISNUMBER(C46:G46)*$C$10:$G$10) * 0.15
       ) +
       IF(
         SUMPRODUCT(($H$9:$Z$9="CO8")*ISNUMBER($H$10:$Z$10)*ISNUMBER(H46:Z46)) = 0,
         0,
         SUMPRODUCT(($H$9:$Z$9="CO8")*ISNUMBER($H$10:$Z$10)*ISNUMBER(H46:Z46)*H46:Z46) /
         SUMPRODUCT(($H$9:$Z$9="CO8")*ISNUMBER($H$10:$Z$10)*ISNUMBER(H46:Z46)*$H$10:$Z$10) * 0.85
       )
     ) * 100,
     ""
   )
)</f>
        <v/>
      </c>
      <c r="AI46" s="1" t="str">
        <f t="shared" si="10"/>
        <v>D</v>
      </c>
      <c r="AJ46" s="1" t="str">
        <f t="shared" si="11"/>
        <v>D</v>
      </c>
      <c r="AK46" s="1" t="str">
        <f t="shared" si="12"/>
        <v>D</v>
      </c>
      <c r="AL46" s="1" t="str">
        <f t="shared" si="4"/>
        <v>P</v>
      </c>
      <c r="AM46" s="1" t="str">
        <f t="shared" si="4"/>
        <v/>
      </c>
      <c r="AN46" s="1" t="str">
        <f t="shared" si="4"/>
        <v/>
      </c>
      <c r="AO46" s="1" t="str">
        <f t="shared" si="4"/>
        <v/>
      </c>
      <c r="AP46" s="1" t="str">
        <f t="shared" si="4"/>
        <v/>
      </c>
    </row>
    <row r="47" spans="1:44" ht="18.600000000000001" thickBot="1" x14ac:dyDescent="0.4">
      <c r="A47" s="57">
        <v>2508036</v>
      </c>
      <c r="B47" s="60" t="s">
        <v>144</v>
      </c>
      <c r="C47" s="78" t="s">
        <v>180</v>
      </c>
      <c r="D47" s="82">
        <v>5</v>
      </c>
      <c r="E47" s="92" t="s">
        <v>180</v>
      </c>
      <c r="F47" s="89">
        <v>5</v>
      </c>
      <c r="G47" s="89">
        <v>3</v>
      </c>
      <c r="H47" s="14">
        <v>0</v>
      </c>
      <c r="I47" s="14">
        <v>0.5</v>
      </c>
      <c r="J47" s="14">
        <v>0</v>
      </c>
      <c r="K47" s="14">
        <v>0</v>
      </c>
      <c r="L47" s="14">
        <v>0</v>
      </c>
      <c r="M47" s="14">
        <v>1</v>
      </c>
      <c r="N47" s="14">
        <v>1</v>
      </c>
      <c r="O47" s="14">
        <v>1</v>
      </c>
      <c r="P47" s="14">
        <v>1</v>
      </c>
      <c r="Q47" s="14">
        <v>0</v>
      </c>
      <c r="R47" s="14">
        <v>1</v>
      </c>
      <c r="S47" s="14">
        <v>1</v>
      </c>
      <c r="T47" s="14">
        <v>0</v>
      </c>
      <c r="U47" s="14">
        <v>0.5</v>
      </c>
      <c r="V47" s="14">
        <v>0.5</v>
      </c>
      <c r="W47" s="14">
        <v>0.5</v>
      </c>
      <c r="X47" s="101" t="s">
        <v>180</v>
      </c>
      <c r="Y47" s="102" t="s">
        <v>180</v>
      </c>
      <c r="Z47" s="102" t="s">
        <v>180</v>
      </c>
      <c r="AA47" s="1" t="str" cm="1">
        <f t="array" ref="AA47">IF(
   SUMPRODUCT(($C$9:$G$9="CO1")*ISNUMBER($C$10:$G$10)*ISNUMBER(C47:G47)) +
   SUMPRODUCT(($H$9:$Z$9="CO1")*ISNUMBER($H$10:$Z$10)*ISNUMBER(H47:Z47)) = 0,
   "",
   IFERROR(
     (
       IF(
         SUMPRODUCT(($C$9:$G$9="CO1")*ISNUMBER($C$10:$G$10)*ISNUMBER(C47:G47)) = 0,
         0,
         SUMPRODUCT(($C$9:$G$9="CO1")*ISNUMBER($C$10:$G$10)*ISNUMBER(C47:G47)*C47:G47) /
         SUMPRODUCT(($C$9:$G$9="CO1")*ISNUMBER($C$10:$G$10)*ISNUMBER(C47:G47)*$C$10:$G$10) * 0.15
       ) +
       IF(
         SUMPRODUCT(($H$9:$Z$9="CO1")*ISNUMBER($H$10:$Z$10)*ISNUMBER(H47:Z47)) = 0,
         0,
         SUMPRODUCT(($H$9:$Z$9="CO1")*ISNUMBER($H$10:$Z$10)*ISNUMBER(H47:Z47)*H47:Z47) /
         SUMPRODUCT(($H$9:$Z$9="CO1")*ISNUMBER($H$10:$Z$10)*ISNUMBER(H47:Z47)*$H$10:$Z$10) * 0.85
       )
     ) * 100,
     ""
   )
)</f>
        <v/>
      </c>
      <c r="AB47" s="1" t="str" cm="1">
        <f t="array" ref="AB47">IF(
   SUMPRODUCT(($C$9:$G$9="CO2")*ISNUMBER($C$10:$G$10)*ISNUMBER(C47:G47)) +
   SUMPRODUCT(($H$9:$Z$9="CO2")*ISNUMBER($H$10:$Z$10)*ISNUMBER(H47:Z47)) = 0,
   "",
   IFERROR(
     (
       IF(
         SUMPRODUCT(($C$9:$G$9="CO2")*ISNUMBER($C$10:$G$10)*ISNUMBER(C47:G47)) = 0,
         0,
         SUMPRODUCT(($C$9:$G$9="CO2")*ISNUMBER($C$10:$G$10)*ISNUMBER(C47:G47)*C47:G47) /
         SUMPRODUCT(($C$9:$G$9="CO2")*ISNUMBER($C$10:$G$10)*ISNUMBER(C47:G47)*$C$10:$G$10) * 0.15
       ) +
       IF(
         SUMPRODUCT(($H$9:$Z$9="CO2")*ISNUMBER($H$10:$Z$10)*ISNUMBER(H47:Z47)) = 0,
         0,
         SUMPRODUCT(($H$9:$Z$9="CO2")*ISNUMBER($H$10:$Z$10)*ISNUMBER(H47:Z47)*H47:Z47) /
         SUMPRODUCT(($H$9:$Z$9="CO2")*ISNUMBER($H$10:$Z$10)*ISNUMBER(H47:Z47)*$H$10:$Z$10) * 0.85
       )
     ) * 100,
     ""
   )
)</f>
        <v/>
      </c>
      <c r="AC47" s="1" t="str" cm="1">
        <f t="array" ref="AC47">IF(
   SUMPRODUCT(($C$9:$G$9="CO3")*ISNUMBER($C$10:$G$10)*ISNUMBER(C47:G47)) +
   SUMPRODUCT(($H$9:$Z$9="CO3")*ISNUMBER($H$10:$Z$10)*ISNUMBER(H47:Z47)) = 0,
   "",
   IFERROR(
     (
       IF(
         SUMPRODUCT(($C$9:$G$9="CO3")*ISNUMBER($C$10:$G$10)*ISNUMBER(C47:G47)) = 0,
         0,
         SUMPRODUCT(($C$9:$G$9="CO3")*ISNUMBER($C$10:$G$10)*ISNUMBER(C47:G47)*C47:G47) /
         SUMPRODUCT(($C$9:$G$9="CO3")*ISNUMBER($C$10:$G$10)*ISNUMBER(C47:G47)*$C$10:$G$10) * 0.15
       ) +
       IF(
         SUMPRODUCT(($H$9:$Z$9="CO3")*ISNUMBER($H$10:$Z$10)*ISNUMBER(H47:Z47)) = 0,
         0,
         SUMPRODUCT(($H$9:$Z$9="CO3")*ISNUMBER($H$10:$Z$10)*ISNUMBER(H47:Z47)*H47:Z47) /
         SUMPRODUCT(($H$9:$Z$9="CO3")*ISNUMBER($H$10:$Z$10)*ISNUMBER(H47:Z47)*$H$10:$Z$10) * 0.85
       )
     ) * 100,
     ""
   )
)</f>
        <v/>
      </c>
      <c r="AD47" s="1" t="str" cm="1">
        <f t="array" ref="AD47">IF(
   SUMPRODUCT(($C$9:$G$9="CO4")*ISNUMBER($C$10:$G$10)*ISNUMBER(C47:G47)) +
   SUMPRODUCT(($H$9:$Z$9="CO4")*ISNUMBER($H$10:$Z$10)*ISNUMBER(H47:Z47)) = 0,
   "",
   IFERROR(
     (
       IF(
         SUMPRODUCT(($C$9:$G$9="CO4")*ISNUMBER($C$10:$G$10)*ISNUMBER(C47:G47)) = 0,
         0,
         SUMPRODUCT(($C$9:$G$9="CO4")*ISNUMBER($C$10:$G$10)*ISNUMBER(C47:G47)*C47:G47) /
         SUMPRODUCT(($C$9:$G$9="CO4")*ISNUMBER($C$10:$G$10)*ISNUMBER(C47:G47)*$C$10:$G$10) * 0.15
       ) +
       IF(
         SUMPRODUCT(($H$9:$Z$9="CO4")*ISNUMBER($H$10:$Z$10)*ISNUMBER(H47:Z47)) = 0,
         0,
         SUMPRODUCT(($H$9:$Z$9="CO4")*ISNUMBER($H$10:$Z$10)*ISNUMBER(H47:Z47)*H47:Z47) /
         SUMPRODUCT(($H$9:$Z$9="CO4")*ISNUMBER($H$10:$Z$10)*ISNUMBER(H47:Z47)*$H$10:$Z$10) * 0.85
       )
     ) * 100,
     ""
   )
)</f>
        <v/>
      </c>
      <c r="AE47" s="1" t="str" cm="1">
        <f t="array" ref="AE47">IF(
   SUMPRODUCT(($C$9:$G$9="CO5")*ISNUMBER($C$10:$G$10)*ISNUMBER(C47:G47)) +
   SUMPRODUCT(($H$9:$Z$9="CO5")*ISNUMBER($H$10:$Z$10)*ISNUMBER(H47:Z47)) = 0,
   "",
   IFERROR(
     (
       IF(
         SUMPRODUCT(($C$9:$G$9="CO5")*ISNUMBER($C$10:$G$10)*ISNUMBER(C47:G47)) = 0,
         0,
         SUMPRODUCT(($C$9:$G$9="CO5")*ISNUMBER($C$10:$G$10)*ISNUMBER(C47:G47)*C47:G47) /
         SUMPRODUCT(($C$9:$G$9="CO5")*ISNUMBER($C$10:$G$10)*ISNUMBER(C47:G47)*$C$10:$G$10) * 0.15
       ) +
       IF(
         SUMPRODUCT(($H$9:$Z$9="CO5")*ISNUMBER($H$10:$Z$10)*ISNUMBER(H47:Z47)) = 0,
         0,
         SUMPRODUCT(($H$9:$Z$9="CO5")*ISNUMBER($H$10:$Z$10)*ISNUMBER(H47:Z47)*H47:Z47) /
         SUMPRODUCT(($H$9:$Z$9="CO5")*ISNUMBER($H$10:$Z$10)*ISNUMBER(H47:Z47)*$H$10:$Z$10) * 0.85
       )
     ) * 100,
     ""
   )
)</f>
        <v/>
      </c>
      <c r="AF47" s="1" t="str" cm="1">
        <f t="array" ref="AF47">IF(
   SUMPRODUCT(($C$9:$G$9="CO6")*ISNUMBER($C$10:$G$10)*ISNUMBER(C47:G47)) +
   SUMPRODUCT(($H$9:$Z$9="CO6")*ISNUMBER($H$10:$Z$10)*ISNUMBER(H47:Z47)) = 0,
   "",
   IFERROR(
     (
       IF(
         SUMPRODUCT(($C$9:$G$9="CO6")*ISNUMBER($C$10:$G$10)*ISNUMBER(C47:G47)) = 0,
         0,
         SUMPRODUCT(($C$9:$G$9="CO6")*ISNUMBER($C$10:$G$10)*ISNUMBER(C47:G47)*C47:G47) /
         SUMPRODUCT(($C$9:$G$9="CO6")*ISNUMBER($C$10:$G$10)*ISNUMBER(C47:G47)*$C$10:$G$10) * 0.15
       ) +
       IF(
         SUMPRODUCT(($H$9:$Z$9="CO6")*ISNUMBER($H$10:$Z$10)*ISNUMBER(H47:Z47)) = 0,
         0,
         SUMPRODUCT(($H$9:$Z$9="CO6")*ISNUMBER($H$10:$Z$10)*ISNUMBER(H47:Z47)*H47:Z47) /
         SUMPRODUCT(($H$9:$Z$9="CO6")*ISNUMBER($H$10:$Z$10)*ISNUMBER(H47:Z47)*$H$10:$Z$10) * 0.85
       )
     ) * 100,
     ""
   )
)</f>
        <v/>
      </c>
      <c r="AG47" s="1" t="str" cm="1">
        <f t="array" ref="AG47">IF(
   SUMPRODUCT(($C$9:$G$9="CO7")*ISNUMBER($C$10:$G$10)*ISNUMBER(C47:G47)) +
   SUMPRODUCT(($H$9:$Z$9="CO7")*ISNUMBER($H$10:$Z$10)*ISNUMBER(H47:Z47)) = 0,
   "",
   IFERROR(
     (
       IF(
         SUMPRODUCT(($C$9:$G$9="CO7")*ISNUMBER($C$10:$G$10)*ISNUMBER(C47:G47)) = 0,
         0,
         SUMPRODUCT(($C$9:$G$9="CO7")*ISNUMBER($C$10:$G$10)*ISNUMBER(C47:G47)*C47:G47) /
         SUMPRODUCT(($C$9:$G$9="CO7")*ISNUMBER($C$10:$G$10)*ISNUMBER(C47:G47)*$C$10:$G$10) * 0.15
       ) +
       IF(
         SUMPRODUCT(($H$9:$Z$9="CO7")*ISNUMBER($H$10:$Z$10)*ISNUMBER(H47:Z47)) = 0,
         0,
         SUMPRODUCT(($H$9:$Z$9="CO7")*ISNUMBER($H$10:$Z$10)*ISNUMBER(H47:Z47)*H47:Z47) /
         SUMPRODUCT(($H$9:$Z$9="CO7")*ISNUMBER($H$10:$Z$10)*ISNUMBER(H47:Z47)*$H$10:$Z$10) * 0.85
       )
     ) * 100,
     ""
   )
)</f>
        <v/>
      </c>
      <c r="AH47" s="3" t="str" cm="1">
        <f t="array" ref="AH47">IF(
   SUMPRODUCT(($C$9:$G$9="CO8")*ISNUMBER($C$10:$G$10)*ISNUMBER(C47:G47)) +
   SUMPRODUCT(($H$9:$Z$9="CO8")*ISNUMBER($H$10:$Z$10)*ISNUMBER(H47:Z47)) = 0,
   "",
   IFERROR(
     (
       IF(
         SUMPRODUCT(($C$9:$G$9="CO8")*ISNUMBER($C$10:$G$10)*ISNUMBER(C47:G47)) = 0,
         0,
         SUMPRODUCT(($C$9:$G$9="CO8")*ISNUMBER($C$10:$G$10)*ISNUMBER(C47:G47)*C47:G47) /
         SUMPRODUCT(($C$9:$G$9="CO8")*ISNUMBER($C$10:$G$10)*ISNUMBER(C47:G47)*$C$10:$G$10) * 0.15
       ) +
       IF(
         SUMPRODUCT(($H$9:$Z$9="CO8")*ISNUMBER($H$10:$Z$10)*ISNUMBER(H47:Z47)) = 0,
         0,
         SUMPRODUCT(($H$9:$Z$9="CO8")*ISNUMBER($H$10:$Z$10)*ISNUMBER(H47:Z47)*H47:Z47) /
         SUMPRODUCT(($H$9:$Z$9="CO8")*ISNUMBER($H$10:$Z$10)*ISNUMBER(H47:Z47)*$H$10:$Z$10) * 0.85
       )
     ) * 100,
     ""
   )
)</f>
        <v/>
      </c>
      <c r="AI47" s="1" t="str">
        <f t="shared" si="10"/>
        <v/>
      </c>
      <c r="AJ47" s="1" t="str">
        <f t="shared" si="11"/>
        <v/>
      </c>
      <c r="AK47" s="1" t="str">
        <f t="shared" si="12"/>
        <v/>
      </c>
      <c r="AL47" s="1" t="str">
        <f t="shared" si="4"/>
        <v/>
      </c>
      <c r="AM47" s="1" t="str">
        <f t="shared" si="4"/>
        <v/>
      </c>
      <c r="AN47" s="1" t="str">
        <f t="shared" si="4"/>
        <v/>
      </c>
      <c r="AO47" s="1" t="str">
        <f t="shared" si="4"/>
        <v/>
      </c>
      <c r="AP47" s="1" t="str">
        <f t="shared" si="4"/>
        <v/>
      </c>
    </row>
    <row r="48" spans="1:44" ht="16.2" thickBot="1" x14ac:dyDescent="0.35">
      <c r="A48" s="61">
        <v>2508101</v>
      </c>
      <c r="B48" s="56" t="s">
        <v>145</v>
      </c>
      <c r="C48" s="79">
        <v>4</v>
      </c>
      <c r="D48" s="84">
        <v>3</v>
      </c>
      <c r="E48" s="88">
        <v>5</v>
      </c>
      <c r="F48" s="90">
        <v>0</v>
      </c>
      <c r="G48" s="90" t="s">
        <v>180</v>
      </c>
      <c r="H48" s="14">
        <v>0</v>
      </c>
      <c r="I48" s="14">
        <v>1</v>
      </c>
      <c r="J48" s="14">
        <v>1</v>
      </c>
      <c r="K48" s="14">
        <v>1</v>
      </c>
      <c r="L48" s="14">
        <v>0</v>
      </c>
      <c r="M48" s="14">
        <v>1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1</v>
      </c>
      <c r="U48" s="14">
        <v>0</v>
      </c>
      <c r="V48" s="14">
        <v>1</v>
      </c>
      <c r="W48" s="14">
        <v>0</v>
      </c>
      <c r="X48" s="98">
        <v>21</v>
      </c>
      <c r="Y48" s="99">
        <v>7</v>
      </c>
      <c r="Z48" s="89">
        <v>2</v>
      </c>
      <c r="AA48" s="1" t="str" cm="1">
        <f t="array" ref="AA48">IF(
   SUMPRODUCT(($C$9:$G$9="CO1")*ISNUMBER($C$10:$G$10)*ISNUMBER(C48:G48)) +
   SUMPRODUCT(($H$9:$Z$9="CO1")*ISNUMBER($H$10:$Z$10)*ISNUMBER(H48:Z48)) = 0,
   "",
   IFERROR(
     (
       IF(
         SUMPRODUCT(($C$9:$G$9="CO1")*ISNUMBER($C$10:$G$10)*ISNUMBER(C48:G48)) = 0,
         0,
         SUMPRODUCT(($C$9:$G$9="CO1")*ISNUMBER($C$10:$G$10)*ISNUMBER(C48:G48)*C48:G48) /
         SUMPRODUCT(($C$9:$G$9="CO1")*ISNUMBER($C$10:$G$10)*ISNUMBER(C48:G48)*$C$10:$G$10) * 0.15
       ) +
       IF(
         SUMPRODUCT(($H$9:$Z$9="CO1")*ISNUMBER($H$10:$Z$10)*ISNUMBER(H48:Z48)) = 0,
         0,
         SUMPRODUCT(($H$9:$Z$9="CO1")*ISNUMBER($H$10:$Z$10)*ISNUMBER(H48:Z48)*H48:Z48) /
         SUMPRODUCT(($H$9:$Z$9="CO1")*ISNUMBER($H$10:$Z$10)*ISNUMBER(H48:Z48)*$H$10:$Z$10) * 0.85
       )
     ) * 100,
     ""
   )
)</f>
        <v/>
      </c>
      <c r="AB48" s="1" t="str" cm="1">
        <f t="array" ref="AB48">IF(
   SUMPRODUCT(($C$9:$G$9="CO2")*ISNUMBER($C$10:$G$10)*ISNUMBER(C48:G48)) +
   SUMPRODUCT(($H$9:$Z$9="CO2")*ISNUMBER($H$10:$Z$10)*ISNUMBER(H48:Z48)) = 0,
   "",
   IFERROR(
     (
       IF(
         SUMPRODUCT(($C$9:$G$9="CO2")*ISNUMBER($C$10:$G$10)*ISNUMBER(C48:G48)) = 0,
         0,
         SUMPRODUCT(($C$9:$G$9="CO2")*ISNUMBER($C$10:$G$10)*ISNUMBER(C48:G48)*C48:G48) /
         SUMPRODUCT(($C$9:$G$9="CO2")*ISNUMBER($C$10:$G$10)*ISNUMBER(C48:G48)*$C$10:$G$10) * 0.15
       ) +
       IF(
         SUMPRODUCT(($H$9:$Z$9="CO2")*ISNUMBER($H$10:$Z$10)*ISNUMBER(H48:Z48)) = 0,
         0,
         SUMPRODUCT(($H$9:$Z$9="CO2")*ISNUMBER($H$10:$Z$10)*ISNUMBER(H48:Z48)*H48:Z48) /
         SUMPRODUCT(($H$9:$Z$9="CO2")*ISNUMBER($H$10:$Z$10)*ISNUMBER(H48:Z48)*$H$10:$Z$10) * 0.85
       )
     ) * 100,
     ""
   )
)</f>
        <v/>
      </c>
      <c r="AC48" s="1" t="str" cm="1">
        <f t="array" ref="AC48">IF(
   SUMPRODUCT(($C$9:$G$9="CO3")*ISNUMBER($C$10:$G$10)*ISNUMBER(C48:G48)) +
   SUMPRODUCT(($H$9:$Z$9="CO3")*ISNUMBER($H$10:$Z$10)*ISNUMBER(H48:Z48)) = 0,
   "",
   IFERROR(
     (
       IF(
         SUMPRODUCT(($C$9:$G$9="CO3")*ISNUMBER($C$10:$G$10)*ISNUMBER(C48:G48)) = 0,
         0,
         SUMPRODUCT(($C$9:$G$9="CO3")*ISNUMBER($C$10:$G$10)*ISNUMBER(C48:G48)*C48:G48) /
         SUMPRODUCT(($C$9:$G$9="CO3")*ISNUMBER($C$10:$G$10)*ISNUMBER(C48:G48)*$C$10:$G$10) * 0.15
       ) +
       IF(
         SUMPRODUCT(($H$9:$Z$9="CO3")*ISNUMBER($H$10:$Z$10)*ISNUMBER(H48:Z48)) = 0,
         0,
         SUMPRODUCT(($H$9:$Z$9="CO3")*ISNUMBER($H$10:$Z$10)*ISNUMBER(H48:Z48)*H48:Z48) /
         SUMPRODUCT(($H$9:$Z$9="CO3")*ISNUMBER($H$10:$Z$10)*ISNUMBER(H48:Z48)*$H$10:$Z$10) * 0.85
       )
     ) * 100,
     ""
   )
)</f>
        <v/>
      </c>
      <c r="AD48" s="1" cm="1">
        <f t="array" ref="AD48">IF(
   SUMPRODUCT(($C$9:$G$9="CO4")*ISNUMBER($C$10:$G$10)*ISNUMBER(C48:G48)) +
   SUMPRODUCT(($H$9:$Z$9="CO4")*ISNUMBER($H$10:$Z$10)*ISNUMBER(H48:Z48)) = 0,
   "",
   IFERROR(
     (
       IF(
         SUMPRODUCT(($C$9:$G$9="CO4")*ISNUMBER($C$10:$G$10)*ISNUMBER(C48:G48)) = 0,
         0,
         SUMPRODUCT(($C$9:$G$9="CO4")*ISNUMBER($C$10:$G$10)*ISNUMBER(C48:G48)*C48:G48) /
         SUMPRODUCT(($C$9:$G$9="CO4")*ISNUMBER($C$10:$G$10)*ISNUMBER(C48:G48)*$C$10:$G$10) * 0.15
       ) +
       IF(
         SUMPRODUCT(($H$9:$Z$9="CO4")*ISNUMBER($H$10:$Z$10)*ISNUMBER(H48:Z48)) = 0,
         0,
         SUMPRODUCT(($H$9:$Z$9="CO4")*ISNUMBER($H$10:$Z$10)*ISNUMBER(H48:Z48)*H48:Z48) /
         SUMPRODUCT(($H$9:$Z$9="CO4")*ISNUMBER($H$10:$Z$10)*ISNUMBER(H48:Z48)*$H$10:$Z$10) * 0.85
       )
     ) * 100,
     ""
   )
)</f>
        <v>14.166666666666666</v>
      </c>
      <c r="AE48" s="1" t="str" cm="1">
        <f t="array" ref="AE48">IF(
   SUMPRODUCT(($C$9:$G$9="CO5")*ISNUMBER($C$10:$G$10)*ISNUMBER(C48:G48)) +
   SUMPRODUCT(($H$9:$Z$9="CO5")*ISNUMBER($H$10:$Z$10)*ISNUMBER(H48:Z48)) = 0,
   "",
   IFERROR(
     (
       IF(
         SUMPRODUCT(($C$9:$G$9="CO5")*ISNUMBER($C$10:$G$10)*ISNUMBER(C48:G48)) = 0,
         0,
         SUMPRODUCT(($C$9:$G$9="CO5")*ISNUMBER($C$10:$G$10)*ISNUMBER(C48:G48)*C48:G48) /
         SUMPRODUCT(($C$9:$G$9="CO5")*ISNUMBER($C$10:$G$10)*ISNUMBER(C48:G48)*$C$10:$G$10) * 0.15
       ) +
       IF(
         SUMPRODUCT(($H$9:$Z$9="CO5")*ISNUMBER($H$10:$Z$10)*ISNUMBER(H48:Z48)) = 0,
         0,
         SUMPRODUCT(($H$9:$Z$9="CO5")*ISNUMBER($H$10:$Z$10)*ISNUMBER(H48:Z48)*H48:Z48) /
         SUMPRODUCT(($H$9:$Z$9="CO5")*ISNUMBER($H$10:$Z$10)*ISNUMBER(H48:Z48)*$H$10:$Z$10) * 0.85
       )
     ) * 100,
     ""
   )
)</f>
        <v/>
      </c>
      <c r="AF48" s="1" t="str" cm="1">
        <f t="array" ref="AF48">IF(
   SUMPRODUCT(($C$9:$G$9="CO6")*ISNUMBER($C$10:$G$10)*ISNUMBER(C48:G48)) +
   SUMPRODUCT(($H$9:$Z$9="CO6")*ISNUMBER($H$10:$Z$10)*ISNUMBER(H48:Z48)) = 0,
   "",
   IFERROR(
     (
       IF(
         SUMPRODUCT(($C$9:$G$9="CO6")*ISNUMBER($C$10:$G$10)*ISNUMBER(C48:G48)) = 0,
         0,
         SUMPRODUCT(($C$9:$G$9="CO6")*ISNUMBER($C$10:$G$10)*ISNUMBER(C48:G48)*C48:G48) /
         SUMPRODUCT(($C$9:$G$9="CO6")*ISNUMBER($C$10:$G$10)*ISNUMBER(C48:G48)*$C$10:$G$10) * 0.15
       ) +
       IF(
         SUMPRODUCT(($H$9:$Z$9="CO6")*ISNUMBER($H$10:$Z$10)*ISNUMBER(H48:Z48)) = 0,
         0,
         SUMPRODUCT(($H$9:$Z$9="CO6")*ISNUMBER($H$10:$Z$10)*ISNUMBER(H48:Z48)*H48:Z48) /
         SUMPRODUCT(($H$9:$Z$9="CO6")*ISNUMBER($H$10:$Z$10)*ISNUMBER(H48:Z48)*$H$10:$Z$10) * 0.85
       )
     ) * 100,
     ""
   )
)</f>
        <v/>
      </c>
      <c r="AG48" s="1" t="str" cm="1">
        <f t="array" ref="AG48">IF(
   SUMPRODUCT(($C$9:$G$9="CO7")*ISNUMBER($C$10:$G$10)*ISNUMBER(C48:G48)) +
   SUMPRODUCT(($H$9:$Z$9="CO7")*ISNUMBER($H$10:$Z$10)*ISNUMBER(H48:Z48)) = 0,
   "",
   IFERROR(
     (
       IF(
         SUMPRODUCT(($C$9:$G$9="CO7")*ISNUMBER($C$10:$G$10)*ISNUMBER(C48:G48)) = 0,
         0,
         SUMPRODUCT(($C$9:$G$9="CO7")*ISNUMBER($C$10:$G$10)*ISNUMBER(C48:G48)*C48:G48) /
         SUMPRODUCT(($C$9:$G$9="CO7")*ISNUMBER($C$10:$G$10)*ISNUMBER(C48:G48)*$C$10:$G$10) * 0.15
       ) +
       IF(
         SUMPRODUCT(($H$9:$Z$9="CO7")*ISNUMBER($H$10:$Z$10)*ISNUMBER(H48:Z48)) = 0,
         0,
         SUMPRODUCT(($H$9:$Z$9="CO7")*ISNUMBER($H$10:$Z$10)*ISNUMBER(H48:Z48)*H48:Z48) /
         SUMPRODUCT(($H$9:$Z$9="CO7")*ISNUMBER($H$10:$Z$10)*ISNUMBER(H48:Z48)*$H$10:$Z$10) * 0.85
       )
     ) * 100,
     ""
   )
)</f>
        <v/>
      </c>
      <c r="AH48" s="3" t="str" cm="1">
        <f t="array" ref="AH48">IF(
   SUMPRODUCT(($C$9:$G$9="CO8")*ISNUMBER($C$10:$G$10)*ISNUMBER(C48:G48)) +
   SUMPRODUCT(($H$9:$Z$9="CO8")*ISNUMBER($H$10:$Z$10)*ISNUMBER(H48:Z48)) = 0,
   "",
   IFERROR(
     (
       IF(
         SUMPRODUCT(($C$9:$G$9="CO8")*ISNUMBER($C$10:$G$10)*ISNUMBER(C48:G48)) = 0,
         0,
         SUMPRODUCT(($C$9:$G$9="CO8")*ISNUMBER($C$10:$G$10)*ISNUMBER(C48:G48)*C48:G48) /
         SUMPRODUCT(($C$9:$G$9="CO8")*ISNUMBER($C$10:$G$10)*ISNUMBER(C48:G48)*$C$10:$G$10) * 0.15
       ) +
       IF(
         SUMPRODUCT(($H$9:$Z$9="CO8")*ISNUMBER($H$10:$Z$10)*ISNUMBER(H48:Z48)) = 0,
         0,
         SUMPRODUCT(($H$9:$Z$9="CO8")*ISNUMBER($H$10:$Z$10)*ISNUMBER(H48:Z48)*H48:Z48) /
         SUMPRODUCT(($H$9:$Z$9="CO8")*ISNUMBER($H$10:$Z$10)*ISNUMBER(H48:Z48)*$H$10:$Z$10) * 0.85
       )
     ) * 100,
     ""
   )
)</f>
        <v/>
      </c>
      <c r="AI48" s="1" t="str">
        <f t="shared" si="10"/>
        <v/>
      </c>
      <c r="AJ48" s="1" t="str">
        <f t="shared" si="11"/>
        <v/>
      </c>
      <c r="AK48" s="1" t="str">
        <f t="shared" si="12"/>
        <v/>
      </c>
      <c r="AL48" s="1" t="str">
        <f t="shared" si="4"/>
        <v>F</v>
      </c>
      <c r="AM48" s="1" t="str">
        <f t="shared" si="4"/>
        <v/>
      </c>
      <c r="AN48" s="1" t="str">
        <f t="shared" si="4"/>
        <v/>
      </c>
      <c r="AO48" s="1" t="str">
        <f t="shared" si="4"/>
        <v/>
      </c>
      <c r="AP48" s="1" t="str">
        <f t="shared" si="4"/>
        <v/>
      </c>
    </row>
    <row r="49" spans="1:42" ht="16.2" thickBot="1" x14ac:dyDescent="0.35">
      <c r="A49" s="62">
        <v>2508102</v>
      </c>
      <c r="B49" s="58" t="s">
        <v>146</v>
      </c>
      <c r="C49" s="77">
        <v>3.5</v>
      </c>
      <c r="D49" s="82">
        <v>4</v>
      </c>
      <c r="E49" s="88">
        <v>5</v>
      </c>
      <c r="F49" s="89">
        <v>5</v>
      </c>
      <c r="G49" s="89">
        <v>4</v>
      </c>
      <c r="H49" s="14">
        <v>1</v>
      </c>
      <c r="I49" s="14">
        <v>1</v>
      </c>
      <c r="J49" s="14">
        <v>1</v>
      </c>
      <c r="K49" s="14">
        <v>1</v>
      </c>
      <c r="L49" s="14">
        <v>1</v>
      </c>
      <c r="M49" s="14">
        <v>0</v>
      </c>
      <c r="N49" s="14">
        <v>2</v>
      </c>
      <c r="O49" s="14">
        <v>0</v>
      </c>
      <c r="P49" s="14">
        <v>2</v>
      </c>
      <c r="Q49" s="14">
        <v>0</v>
      </c>
      <c r="R49" s="14">
        <v>1</v>
      </c>
      <c r="S49" s="14">
        <v>0</v>
      </c>
      <c r="T49" s="14">
        <v>1</v>
      </c>
      <c r="U49" s="14">
        <v>0</v>
      </c>
      <c r="V49" s="14">
        <v>1</v>
      </c>
      <c r="W49" s="14">
        <v>0</v>
      </c>
      <c r="X49" s="98">
        <v>17</v>
      </c>
      <c r="Y49" s="99">
        <v>8</v>
      </c>
      <c r="Z49" s="89">
        <v>8</v>
      </c>
      <c r="AA49" s="1" cm="1">
        <f t="array" ref="AA49">IF(
   SUMPRODUCT(($C$9:$G$9="CO1")*ISNUMBER($C$10:$G$10)*ISNUMBER(C49:G49)) +
   SUMPRODUCT(($H$9:$Z$9="CO1")*ISNUMBER($H$10:$Z$10)*ISNUMBER(H49:Z49)) = 0,
   "",
   IFERROR(
     (
       IF(
         SUMPRODUCT(($C$9:$G$9="CO1")*ISNUMBER($C$10:$G$10)*ISNUMBER(C49:G49)) = 0,
         0,
         SUMPRODUCT(($C$9:$G$9="CO1")*ISNUMBER($C$10:$G$10)*ISNUMBER(C49:G49)*C49:G49) /
         SUMPRODUCT(($C$9:$G$9="CO1")*ISNUMBER($C$10:$G$10)*ISNUMBER(C49:G49)*$C$10:$G$10) * 0.15
       ) +
       IF(
         SUMPRODUCT(($H$9:$Z$9="CO1")*ISNUMBER($H$10:$Z$10)*ISNUMBER(H49:Z49)) = 0,
         0,
         SUMPRODUCT(($H$9:$Z$9="CO1")*ISNUMBER($H$10:$Z$10)*ISNUMBER(H49:Z49)*H49:Z49) /
         SUMPRODUCT(($H$9:$Z$9="CO1")*ISNUMBER($H$10:$Z$10)*ISNUMBER(H49:Z49)*$H$10:$Z$10) * 0.85
       )
     ) * 100,
     ""
   )
)</f>
        <v>81.333333333333329</v>
      </c>
      <c r="AB49" s="1" cm="1">
        <f t="array" ref="AB49">IF(
   SUMPRODUCT(($C$9:$G$9="CO2")*ISNUMBER($C$10:$G$10)*ISNUMBER(C49:G49)) +
   SUMPRODUCT(($H$9:$Z$9="CO2")*ISNUMBER($H$10:$Z$10)*ISNUMBER(H49:Z49)) = 0,
   "",
   IFERROR(
     (
       IF(
         SUMPRODUCT(($C$9:$G$9="CO2")*ISNUMBER($C$10:$G$10)*ISNUMBER(C49:G49)) = 0,
         0,
         SUMPRODUCT(($C$9:$G$9="CO2")*ISNUMBER($C$10:$G$10)*ISNUMBER(C49:G49)*C49:G49) /
         SUMPRODUCT(($C$9:$G$9="CO2")*ISNUMBER($C$10:$G$10)*ISNUMBER(C49:G49)*$C$10:$G$10) * 0.15
       ) +
       IF(
         SUMPRODUCT(($H$9:$Z$9="CO2")*ISNUMBER($H$10:$Z$10)*ISNUMBER(H49:Z49)) = 0,
         0,
         SUMPRODUCT(($H$9:$Z$9="CO2")*ISNUMBER($H$10:$Z$10)*ISNUMBER(H49:Z49)*H49:Z49) /
         SUMPRODUCT(($H$9:$Z$9="CO2")*ISNUMBER($H$10:$Z$10)*ISNUMBER(H49:Z49)*$H$10:$Z$10) * 0.85
       )
     ) * 100,
     ""
   )
)</f>
        <v>71.9375</v>
      </c>
      <c r="AC49" s="1" cm="1">
        <f t="array" ref="AC49">IF(
   SUMPRODUCT(($C$9:$G$9="CO3")*ISNUMBER($C$10:$G$10)*ISNUMBER(C49:G49)) +
   SUMPRODUCT(($H$9:$Z$9="CO3")*ISNUMBER($H$10:$Z$10)*ISNUMBER(H49:Z49)) = 0,
   "",
   IFERROR(
     (
       IF(
         SUMPRODUCT(($C$9:$G$9="CO3")*ISNUMBER($C$10:$G$10)*ISNUMBER(C49:G49)) = 0,
         0,
         SUMPRODUCT(($C$9:$G$9="CO3")*ISNUMBER($C$10:$G$10)*ISNUMBER(C49:G49)*C49:G49) /
         SUMPRODUCT(($C$9:$G$9="CO3")*ISNUMBER($C$10:$G$10)*ISNUMBER(C49:G49)*$C$10:$G$10) * 0.15
       ) +
       IF(
         SUMPRODUCT(($H$9:$Z$9="CO3")*ISNUMBER($H$10:$Z$10)*ISNUMBER(H49:Z49)) = 0,
         0,
         SUMPRODUCT(($H$9:$Z$9="CO3")*ISNUMBER($H$10:$Z$10)*ISNUMBER(H49:Z49)*H49:Z49) /
         SUMPRODUCT(($H$9:$Z$9="CO3")*ISNUMBER($H$10:$Z$10)*ISNUMBER(H49:Z49)*$H$10:$Z$10) * 0.85
       )
     ) * 100,
     ""
   )
)</f>
        <v>69.642857142857153</v>
      </c>
      <c r="AD49" s="1" cm="1">
        <f t="array" ref="AD49">IF(
   SUMPRODUCT(($C$9:$G$9="CO4")*ISNUMBER($C$10:$G$10)*ISNUMBER(C49:G49)) +
   SUMPRODUCT(($H$9:$Z$9="CO4")*ISNUMBER($H$10:$Z$10)*ISNUMBER(H49:Z49)) = 0,
   "",
   IFERROR(
     (
       IF(
         SUMPRODUCT(($C$9:$G$9="CO4")*ISNUMBER($C$10:$G$10)*ISNUMBER(C49:G49)) = 0,
         0,
         SUMPRODUCT(($C$9:$G$9="CO4")*ISNUMBER($C$10:$G$10)*ISNUMBER(C49:G49)*C49:G49) /
         SUMPRODUCT(($C$9:$G$9="CO4")*ISNUMBER($C$10:$G$10)*ISNUMBER(C49:G49)*$C$10:$G$10) * 0.15
       ) +
       IF(
         SUMPRODUCT(($H$9:$Z$9="CO4")*ISNUMBER($H$10:$Z$10)*ISNUMBER(H49:Z49)) = 0,
         0,
         SUMPRODUCT(($H$9:$Z$9="CO4")*ISNUMBER($H$10:$Z$10)*ISNUMBER(H49:Z49)*H49:Z49) /
         SUMPRODUCT(($H$9:$Z$9="CO4")*ISNUMBER($H$10:$Z$10)*ISNUMBER(H49:Z49)*$H$10:$Z$10) * 0.85
       )
     ) * 100,
     ""
   )
)</f>
        <v>26.166666666666664</v>
      </c>
      <c r="AE49" s="1" t="str" cm="1">
        <f t="array" ref="AE49">IF(
   SUMPRODUCT(($C$9:$G$9="CO5")*ISNUMBER($C$10:$G$10)*ISNUMBER(C49:G49)) +
   SUMPRODUCT(($H$9:$Z$9="CO5")*ISNUMBER($H$10:$Z$10)*ISNUMBER(H49:Z49)) = 0,
   "",
   IFERROR(
     (
       IF(
         SUMPRODUCT(($C$9:$G$9="CO5")*ISNUMBER($C$10:$G$10)*ISNUMBER(C49:G49)) = 0,
         0,
         SUMPRODUCT(($C$9:$G$9="CO5")*ISNUMBER($C$10:$G$10)*ISNUMBER(C49:G49)*C49:G49) /
         SUMPRODUCT(($C$9:$G$9="CO5")*ISNUMBER($C$10:$G$10)*ISNUMBER(C49:G49)*$C$10:$G$10) * 0.15
       ) +
       IF(
         SUMPRODUCT(($H$9:$Z$9="CO5")*ISNUMBER($H$10:$Z$10)*ISNUMBER(H49:Z49)) = 0,
         0,
         SUMPRODUCT(($H$9:$Z$9="CO5")*ISNUMBER($H$10:$Z$10)*ISNUMBER(H49:Z49)*H49:Z49) /
         SUMPRODUCT(($H$9:$Z$9="CO5")*ISNUMBER($H$10:$Z$10)*ISNUMBER(H49:Z49)*$H$10:$Z$10) * 0.85
       )
     ) * 100,
     ""
   )
)</f>
        <v/>
      </c>
      <c r="AF49" s="1" t="str" cm="1">
        <f t="array" ref="AF49">IF(
   SUMPRODUCT(($C$9:$G$9="CO6")*ISNUMBER($C$10:$G$10)*ISNUMBER(C49:G49)) +
   SUMPRODUCT(($H$9:$Z$9="CO6")*ISNUMBER($H$10:$Z$10)*ISNUMBER(H49:Z49)) = 0,
   "",
   IFERROR(
     (
       IF(
         SUMPRODUCT(($C$9:$G$9="CO6")*ISNUMBER($C$10:$G$10)*ISNUMBER(C49:G49)) = 0,
         0,
         SUMPRODUCT(($C$9:$G$9="CO6")*ISNUMBER($C$10:$G$10)*ISNUMBER(C49:G49)*C49:G49) /
         SUMPRODUCT(($C$9:$G$9="CO6")*ISNUMBER($C$10:$G$10)*ISNUMBER(C49:G49)*$C$10:$G$10) * 0.15
       ) +
       IF(
         SUMPRODUCT(($H$9:$Z$9="CO6")*ISNUMBER($H$10:$Z$10)*ISNUMBER(H49:Z49)) = 0,
         0,
         SUMPRODUCT(($H$9:$Z$9="CO6")*ISNUMBER($H$10:$Z$10)*ISNUMBER(H49:Z49)*H49:Z49) /
         SUMPRODUCT(($H$9:$Z$9="CO6")*ISNUMBER($H$10:$Z$10)*ISNUMBER(H49:Z49)*$H$10:$Z$10) * 0.85
       )
     ) * 100,
     ""
   )
)</f>
        <v/>
      </c>
      <c r="AG49" s="1" t="str" cm="1">
        <f t="array" ref="AG49">IF(
   SUMPRODUCT(($C$9:$G$9="CO7")*ISNUMBER($C$10:$G$10)*ISNUMBER(C49:G49)) +
   SUMPRODUCT(($H$9:$Z$9="CO7")*ISNUMBER($H$10:$Z$10)*ISNUMBER(H49:Z49)) = 0,
   "",
   IFERROR(
     (
       IF(
         SUMPRODUCT(($C$9:$G$9="CO7")*ISNUMBER($C$10:$G$10)*ISNUMBER(C49:G49)) = 0,
         0,
         SUMPRODUCT(($C$9:$G$9="CO7")*ISNUMBER($C$10:$G$10)*ISNUMBER(C49:G49)*C49:G49) /
         SUMPRODUCT(($C$9:$G$9="CO7")*ISNUMBER($C$10:$G$10)*ISNUMBER(C49:G49)*$C$10:$G$10) * 0.15
       ) +
       IF(
         SUMPRODUCT(($H$9:$Z$9="CO7")*ISNUMBER($H$10:$Z$10)*ISNUMBER(H49:Z49)) = 0,
         0,
         SUMPRODUCT(($H$9:$Z$9="CO7")*ISNUMBER($H$10:$Z$10)*ISNUMBER(H49:Z49)*H49:Z49) /
         SUMPRODUCT(($H$9:$Z$9="CO7")*ISNUMBER($H$10:$Z$10)*ISNUMBER(H49:Z49)*$H$10:$Z$10) * 0.85
       )
     ) * 100,
     ""
   )
)</f>
        <v/>
      </c>
      <c r="AH49" s="3" t="str" cm="1">
        <f t="array" ref="AH49">IF(
   SUMPRODUCT(($C$9:$G$9="CO8")*ISNUMBER($C$10:$G$10)*ISNUMBER(C49:G49)) +
   SUMPRODUCT(($H$9:$Z$9="CO8")*ISNUMBER($H$10:$Z$10)*ISNUMBER(H49:Z49)) = 0,
   "",
   IFERROR(
     (
       IF(
         SUMPRODUCT(($C$9:$G$9="CO8")*ISNUMBER($C$10:$G$10)*ISNUMBER(C49:G49)) = 0,
         0,
         SUMPRODUCT(($C$9:$G$9="CO8")*ISNUMBER($C$10:$G$10)*ISNUMBER(C49:G49)*C49:G49) /
         SUMPRODUCT(($C$9:$G$9="CO8")*ISNUMBER($C$10:$G$10)*ISNUMBER(C49:G49)*$C$10:$G$10) * 0.15
       ) +
       IF(
         SUMPRODUCT(($H$9:$Z$9="CO8")*ISNUMBER($H$10:$Z$10)*ISNUMBER(H49:Z49)) = 0,
         0,
         SUMPRODUCT(($H$9:$Z$9="CO8")*ISNUMBER($H$10:$Z$10)*ISNUMBER(H49:Z49)*H49:Z49) /
         SUMPRODUCT(($H$9:$Z$9="CO8")*ISNUMBER($H$10:$Z$10)*ISNUMBER(H49:Z49)*$H$10:$Z$10) * 0.85
       )
     ) * 100,
     ""
   )
)</f>
        <v/>
      </c>
      <c r="AI49" s="1" t="str">
        <f t="shared" si="10"/>
        <v>D</v>
      </c>
      <c r="AJ49" s="1" t="str">
        <f t="shared" si="11"/>
        <v>D</v>
      </c>
      <c r="AK49" s="1" t="str">
        <f t="shared" si="12"/>
        <v>First</v>
      </c>
      <c r="AL49" s="1" t="str">
        <f t="shared" si="4"/>
        <v>F</v>
      </c>
      <c r="AM49" s="1" t="str">
        <f t="shared" si="4"/>
        <v/>
      </c>
      <c r="AN49" s="1" t="str">
        <f t="shared" si="4"/>
        <v/>
      </c>
      <c r="AO49" s="1" t="str">
        <f t="shared" si="4"/>
        <v/>
      </c>
      <c r="AP49" s="1" t="str">
        <f t="shared" si="4"/>
        <v/>
      </c>
    </row>
    <row r="50" spans="1:42" ht="16.2" thickBot="1" x14ac:dyDescent="0.35">
      <c r="A50" s="62">
        <v>2508103</v>
      </c>
      <c r="B50" s="58" t="s">
        <v>147</v>
      </c>
      <c r="C50" s="77">
        <v>4.5</v>
      </c>
      <c r="D50" s="82">
        <v>4</v>
      </c>
      <c r="E50" s="88">
        <v>5</v>
      </c>
      <c r="F50" s="89">
        <v>5</v>
      </c>
      <c r="G50" s="89">
        <v>4</v>
      </c>
      <c r="H50" s="14">
        <v>1</v>
      </c>
      <c r="I50" s="14">
        <v>1</v>
      </c>
      <c r="J50" s="14">
        <v>1</v>
      </c>
      <c r="K50" s="14">
        <v>1</v>
      </c>
      <c r="L50" s="14">
        <v>1</v>
      </c>
      <c r="M50" s="14">
        <v>0</v>
      </c>
      <c r="N50" s="14">
        <v>2</v>
      </c>
      <c r="O50" s="14">
        <v>2</v>
      </c>
      <c r="P50" s="14">
        <v>0</v>
      </c>
      <c r="Q50" s="14">
        <v>0</v>
      </c>
      <c r="R50" s="14">
        <v>2</v>
      </c>
      <c r="S50" s="14">
        <v>0</v>
      </c>
      <c r="T50" s="14">
        <v>1</v>
      </c>
      <c r="U50" s="14">
        <v>1</v>
      </c>
      <c r="V50" s="14">
        <v>0</v>
      </c>
      <c r="W50" s="14">
        <v>0</v>
      </c>
      <c r="X50" s="98">
        <v>20</v>
      </c>
      <c r="Y50" s="99">
        <v>8</v>
      </c>
      <c r="Z50" s="89">
        <v>6</v>
      </c>
      <c r="AA50" s="1" cm="1">
        <f t="array" ref="AA50">IF(
   SUMPRODUCT(($C$9:$G$9="CO1")*ISNUMBER($C$10:$G$10)*ISNUMBER(C50:G50)) +
   SUMPRODUCT(($H$9:$Z$9="CO1")*ISNUMBER($H$10:$Z$10)*ISNUMBER(H50:Z50)) = 0,
   "",
   IFERROR(
     (
       IF(
         SUMPRODUCT(($C$9:$G$9="CO1")*ISNUMBER($C$10:$G$10)*ISNUMBER(C50:G50)) = 0,
         0,
         SUMPRODUCT(($C$9:$G$9="CO1")*ISNUMBER($C$10:$G$10)*ISNUMBER(C50:G50)*C50:G50) /
         SUMPRODUCT(($C$9:$G$9="CO1")*ISNUMBER($C$10:$G$10)*ISNUMBER(C50:G50)*$C$10:$G$10) * 0.15
       ) +
       IF(
         SUMPRODUCT(($H$9:$Z$9="CO1")*ISNUMBER($H$10:$Z$10)*ISNUMBER(H50:Z50)) = 0,
         0,
         SUMPRODUCT(($H$9:$Z$9="CO1")*ISNUMBER($H$10:$Z$10)*ISNUMBER(H50:Z50)*H50:Z50) /
         SUMPRODUCT(($H$9:$Z$9="CO1")*ISNUMBER($H$10:$Z$10)*ISNUMBER(H50:Z50)*$H$10:$Z$10) * 0.85
       )
     ) * 100,
     ""
   )
)</f>
        <v>74.888888888888886</v>
      </c>
      <c r="AB50" s="1" cm="1">
        <f t="array" ref="AB50">IF(
   SUMPRODUCT(($C$9:$G$9="CO2")*ISNUMBER($C$10:$G$10)*ISNUMBER(C50:G50)) +
   SUMPRODUCT(($H$9:$Z$9="CO2")*ISNUMBER($H$10:$Z$10)*ISNUMBER(H50:Z50)) = 0,
   "",
   IFERROR(
     (
       IF(
         SUMPRODUCT(($C$9:$G$9="CO2")*ISNUMBER($C$10:$G$10)*ISNUMBER(C50:G50)) = 0,
         0,
         SUMPRODUCT(($C$9:$G$9="CO2")*ISNUMBER($C$10:$G$10)*ISNUMBER(C50:G50)*C50:G50) /
         SUMPRODUCT(($C$9:$G$9="CO2")*ISNUMBER($C$10:$G$10)*ISNUMBER(C50:G50)*$C$10:$G$10) * 0.15
       ) +
       IF(
         SUMPRODUCT(($H$9:$Z$9="CO2")*ISNUMBER($H$10:$Z$10)*ISNUMBER(H50:Z50)) = 0,
         0,
         SUMPRODUCT(($H$9:$Z$9="CO2")*ISNUMBER($H$10:$Z$10)*ISNUMBER(H50:Z50)*H50:Z50) /
         SUMPRODUCT(($H$9:$Z$9="CO2")*ISNUMBER($H$10:$Z$10)*ISNUMBER(H50:Z50)*$H$10:$Z$10) * 0.85
       )
     ) * 100,
     ""
   )
)</f>
        <v>77.25</v>
      </c>
      <c r="AC50" s="1" cm="1">
        <f t="array" ref="AC50">IF(
   SUMPRODUCT(($C$9:$G$9="CO3")*ISNUMBER($C$10:$G$10)*ISNUMBER(C50:G50)) +
   SUMPRODUCT(($H$9:$Z$9="CO3")*ISNUMBER($H$10:$Z$10)*ISNUMBER(H50:Z50)) = 0,
   "",
   IFERROR(
     (
       IF(
         SUMPRODUCT(($C$9:$G$9="CO3")*ISNUMBER($C$10:$G$10)*ISNUMBER(C50:G50)) = 0,
         0,
         SUMPRODUCT(($C$9:$G$9="CO3")*ISNUMBER($C$10:$G$10)*ISNUMBER(C50:G50)*C50:G50) /
         SUMPRODUCT(($C$9:$G$9="CO3")*ISNUMBER($C$10:$G$10)*ISNUMBER(C50:G50)*$C$10:$G$10) * 0.15
       ) +
       IF(
         SUMPRODUCT(($H$9:$Z$9="CO3")*ISNUMBER($H$10:$Z$10)*ISNUMBER(H50:Z50)) = 0,
         0,
         SUMPRODUCT(($H$9:$Z$9="CO3")*ISNUMBER($H$10:$Z$10)*ISNUMBER(H50:Z50)*H50:Z50) /
         SUMPRODUCT(($H$9:$Z$9="CO3")*ISNUMBER($H$10:$Z$10)*ISNUMBER(H50:Z50)*$H$10:$Z$10) * 0.85
       )
     ) * 100,
     ""
   )
)</f>
        <v>78.75</v>
      </c>
      <c r="AD50" s="1" cm="1">
        <f t="array" ref="AD50">IF(
   SUMPRODUCT(($C$9:$G$9="CO4")*ISNUMBER($C$10:$G$10)*ISNUMBER(C50:G50)) +
   SUMPRODUCT(($H$9:$Z$9="CO4")*ISNUMBER($H$10:$Z$10)*ISNUMBER(H50:Z50)) = 0,
   "",
   IFERROR(
     (
       IF(
         SUMPRODUCT(($C$9:$G$9="CO4")*ISNUMBER($C$10:$G$10)*ISNUMBER(C50:G50)) = 0,
         0,
         SUMPRODUCT(($C$9:$G$9="CO4")*ISNUMBER($C$10:$G$10)*ISNUMBER(C50:G50)*C50:G50) /
         SUMPRODUCT(($C$9:$G$9="CO4")*ISNUMBER($C$10:$G$10)*ISNUMBER(C50:G50)*$C$10:$G$10) * 0.15
       ) +
       IF(
         SUMPRODUCT(($H$9:$Z$9="CO4")*ISNUMBER($H$10:$Z$10)*ISNUMBER(H50:Z50)) = 0,
         0,
         SUMPRODUCT(($H$9:$Z$9="CO4")*ISNUMBER($H$10:$Z$10)*ISNUMBER(H50:Z50)*H50:Z50) /
         SUMPRODUCT(($H$9:$Z$9="CO4")*ISNUMBER($H$10:$Z$10)*ISNUMBER(H50:Z50)*$H$10:$Z$10) * 0.85
       )
     ) * 100,
     ""
   )
)</f>
        <v>26.166666666666664</v>
      </c>
      <c r="AE50" s="1" t="str" cm="1">
        <f t="array" ref="AE50">IF(
   SUMPRODUCT(($C$9:$G$9="CO5")*ISNUMBER($C$10:$G$10)*ISNUMBER(C50:G50)) +
   SUMPRODUCT(($H$9:$Z$9="CO5")*ISNUMBER($H$10:$Z$10)*ISNUMBER(H50:Z50)) = 0,
   "",
   IFERROR(
     (
       IF(
         SUMPRODUCT(($C$9:$G$9="CO5")*ISNUMBER($C$10:$G$10)*ISNUMBER(C50:G50)) = 0,
         0,
         SUMPRODUCT(($C$9:$G$9="CO5")*ISNUMBER($C$10:$G$10)*ISNUMBER(C50:G50)*C50:G50) /
         SUMPRODUCT(($C$9:$G$9="CO5")*ISNUMBER($C$10:$G$10)*ISNUMBER(C50:G50)*$C$10:$G$10) * 0.15
       ) +
       IF(
         SUMPRODUCT(($H$9:$Z$9="CO5")*ISNUMBER($H$10:$Z$10)*ISNUMBER(H50:Z50)) = 0,
         0,
         SUMPRODUCT(($H$9:$Z$9="CO5")*ISNUMBER($H$10:$Z$10)*ISNUMBER(H50:Z50)*H50:Z50) /
         SUMPRODUCT(($H$9:$Z$9="CO5")*ISNUMBER($H$10:$Z$10)*ISNUMBER(H50:Z50)*$H$10:$Z$10) * 0.85
       )
     ) * 100,
     ""
   )
)</f>
        <v/>
      </c>
      <c r="AF50" s="1" t="str" cm="1">
        <f t="array" ref="AF50">IF(
   SUMPRODUCT(($C$9:$G$9="CO6")*ISNUMBER($C$10:$G$10)*ISNUMBER(C50:G50)) +
   SUMPRODUCT(($H$9:$Z$9="CO6")*ISNUMBER($H$10:$Z$10)*ISNUMBER(H50:Z50)) = 0,
   "",
   IFERROR(
     (
       IF(
         SUMPRODUCT(($C$9:$G$9="CO6")*ISNUMBER($C$10:$G$10)*ISNUMBER(C50:G50)) = 0,
         0,
         SUMPRODUCT(($C$9:$G$9="CO6")*ISNUMBER($C$10:$G$10)*ISNUMBER(C50:G50)*C50:G50) /
         SUMPRODUCT(($C$9:$G$9="CO6")*ISNUMBER($C$10:$G$10)*ISNUMBER(C50:G50)*$C$10:$G$10) * 0.15
       ) +
       IF(
         SUMPRODUCT(($H$9:$Z$9="CO6")*ISNUMBER($H$10:$Z$10)*ISNUMBER(H50:Z50)) = 0,
         0,
         SUMPRODUCT(($H$9:$Z$9="CO6")*ISNUMBER($H$10:$Z$10)*ISNUMBER(H50:Z50)*H50:Z50) /
         SUMPRODUCT(($H$9:$Z$9="CO6")*ISNUMBER($H$10:$Z$10)*ISNUMBER(H50:Z50)*$H$10:$Z$10) * 0.85
       )
     ) * 100,
     ""
   )
)</f>
        <v/>
      </c>
      <c r="AG50" s="1" t="str" cm="1">
        <f t="array" ref="AG50">IF(
   SUMPRODUCT(($C$9:$G$9="CO7")*ISNUMBER($C$10:$G$10)*ISNUMBER(C50:G50)) +
   SUMPRODUCT(($H$9:$Z$9="CO7")*ISNUMBER($H$10:$Z$10)*ISNUMBER(H50:Z50)) = 0,
   "",
   IFERROR(
     (
       IF(
         SUMPRODUCT(($C$9:$G$9="CO7")*ISNUMBER($C$10:$G$10)*ISNUMBER(C50:G50)) = 0,
         0,
         SUMPRODUCT(($C$9:$G$9="CO7")*ISNUMBER($C$10:$G$10)*ISNUMBER(C50:G50)*C50:G50) /
         SUMPRODUCT(($C$9:$G$9="CO7")*ISNUMBER($C$10:$G$10)*ISNUMBER(C50:G50)*$C$10:$G$10) * 0.15
       ) +
       IF(
         SUMPRODUCT(($H$9:$Z$9="CO7")*ISNUMBER($H$10:$Z$10)*ISNUMBER(H50:Z50)) = 0,
         0,
         SUMPRODUCT(($H$9:$Z$9="CO7")*ISNUMBER($H$10:$Z$10)*ISNUMBER(H50:Z50)*H50:Z50) /
         SUMPRODUCT(($H$9:$Z$9="CO7")*ISNUMBER($H$10:$Z$10)*ISNUMBER(H50:Z50)*$H$10:$Z$10) * 0.85
       )
     ) * 100,
     ""
   )
)</f>
        <v/>
      </c>
      <c r="AH50" s="3" t="str" cm="1">
        <f t="array" ref="AH50">IF(
   SUMPRODUCT(($C$9:$G$9="CO8")*ISNUMBER($C$10:$G$10)*ISNUMBER(C50:G50)) +
   SUMPRODUCT(($H$9:$Z$9="CO8")*ISNUMBER($H$10:$Z$10)*ISNUMBER(H50:Z50)) = 0,
   "",
   IFERROR(
     (
       IF(
         SUMPRODUCT(($C$9:$G$9="CO8")*ISNUMBER($C$10:$G$10)*ISNUMBER(C50:G50)) = 0,
         0,
         SUMPRODUCT(($C$9:$G$9="CO8")*ISNUMBER($C$10:$G$10)*ISNUMBER(C50:G50)*C50:G50) /
         SUMPRODUCT(($C$9:$G$9="CO8")*ISNUMBER($C$10:$G$10)*ISNUMBER(C50:G50)*$C$10:$G$10) * 0.15
       ) +
       IF(
         SUMPRODUCT(($H$9:$Z$9="CO8")*ISNUMBER($H$10:$Z$10)*ISNUMBER(H50:Z50)) = 0,
         0,
         SUMPRODUCT(($H$9:$Z$9="CO8")*ISNUMBER($H$10:$Z$10)*ISNUMBER(H50:Z50)*H50:Z50) /
         SUMPRODUCT(($H$9:$Z$9="CO8")*ISNUMBER($H$10:$Z$10)*ISNUMBER(H50:Z50)*$H$10:$Z$10) * 0.85
       )
     ) * 100,
     ""
   )
)</f>
        <v/>
      </c>
      <c r="AI50" s="1" t="str">
        <f t="shared" si="10"/>
        <v>D</v>
      </c>
      <c r="AJ50" s="1" t="str">
        <f t="shared" si="11"/>
        <v>D</v>
      </c>
      <c r="AK50" s="1" t="str">
        <f t="shared" si="12"/>
        <v>D</v>
      </c>
      <c r="AL50" s="1" t="str">
        <f t="shared" si="4"/>
        <v>F</v>
      </c>
      <c r="AM50" s="1" t="str">
        <f t="shared" si="4"/>
        <v/>
      </c>
      <c r="AN50" s="1" t="str">
        <f t="shared" si="4"/>
        <v/>
      </c>
      <c r="AO50" s="1" t="str">
        <f t="shared" si="4"/>
        <v/>
      </c>
      <c r="AP50" s="1" t="str">
        <f t="shared" si="4"/>
        <v/>
      </c>
    </row>
    <row r="51" spans="1:42" ht="16.2" thickBot="1" x14ac:dyDescent="0.35">
      <c r="A51" s="62">
        <v>2508104</v>
      </c>
      <c r="B51" s="58" t="s">
        <v>148</v>
      </c>
      <c r="C51" s="77">
        <v>2.5</v>
      </c>
      <c r="D51" s="83" t="s">
        <v>180</v>
      </c>
      <c r="E51" s="88">
        <v>2.5</v>
      </c>
      <c r="F51" s="90">
        <v>0</v>
      </c>
      <c r="G51" s="90" t="s">
        <v>180</v>
      </c>
      <c r="H51" s="14">
        <v>1</v>
      </c>
      <c r="I51" s="14">
        <v>1</v>
      </c>
      <c r="J51" s="14">
        <v>1</v>
      </c>
      <c r="K51" s="14">
        <v>1</v>
      </c>
      <c r="L51" s="14">
        <v>1</v>
      </c>
      <c r="M51" s="14">
        <v>0</v>
      </c>
      <c r="N51" s="14">
        <v>2</v>
      </c>
      <c r="O51" s="14">
        <v>2</v>
      </c>
      <c r="P51" s="14">
        <v>0</v>
      </c>
      <c r="Q51" s="14">
        <v>0</v>
      </c>
      <c r="R51" s="14">
        <v>1</v>
      </c>
      <c r="S51" s="14">
        <v>0</v>
      </c>
      <c r="T51" s="14">
        <v>1</v>
      </c>
      <c r="U51" s="14">
        <v>2</v>
      </c>
      <c r="V51" s="14">
        <v>0</v>
      </c>
      <c r="W51" s="14">
        <v>0</v>
      </c>
      <c r="X51" s="98">
        <v>18</v>
      </c>
      <c r="Y51" s="99">
        <v>0</v>
      </c>
      <c r="Z51" s="89">
        <v>8</v>
      </c>
      <c r="AA51" s="1" t="str" cm="1">
        <f t="array" ref="AA51">IF(
   SUMPRODUCT(($C$9:$G$9="CO1")*ISNUMBER($C$10:$G$10)*ISNUMBER(C51:G51)) +
   SUMPRODUCT(($H$9:$Z$9="CO1")*ISNUMBER($H$10:$Z$10)*ISNUMBER(H51:Z51)) = 0,
   "",
   IFERROR(
     (
       IF(
         SUMPRODUCT(($C$9:$G$9="CO1")*ISNUMBER($C$10:$G$10)*ISNUMBER(C51:G51)) = 0,
         0,
         SUMPRODUCT(($C$9:$G$9="CO1")*ISNUMBER($C$10:$G$10)*ISNUMBER(C51:G51)*C51:G51) /
         SUMPRODUCT(($C$9:$G$9="CO1")*ISNUMBER($C$10:$G$10)*ISNUMBER(C51:G51)*$C$10:$G$10) * 0.15
       ) +
       IF(
         SUMPRODUCT(($H$9:$Z$9="CO1")*ISNUMBER($H$10:$Z$10)*ISNUMBER(H51:Z51)) = 0,
         0,
         SUMPRODUCT(($H$9:$Z$9="CO1")*ISNUMBER($H$10:$Z$10)*ISNUMBER(H51:Z51)*H51:Z51) /
         SUMPRODUCT(($H$9:$Z$9="CO1")*ISNUMBER($H$10:$Z$10)*ISNUMBER(H51:Z51)*$H$10:$Z$10) * 0.85
       )
     ) * 100,
     ""
   )
)</f>
        <v/>
      </c>
      <c r="AB51" s="1" t="str" cm="1">
        <f t="array" ref="AB51">IF(
   SUMPRODUCT(($C$9:$G$9="CO2")*ISNUMBER($C$10:$G$10)*ISNUMBER(C51:G51)) +
   SUMPRODUCT(($H$9:$Z$9="CO2")*ISNUMBER($H$10:$Z$10)*ISNUMBER(H51:Z51)) = 0,
   "",
   IFERROR(
     (
       IF(
         SUMPRODUCT(($C$9:$G$9="CO2")*ISNUMBER($C$10:$G$10)*ISNUMBER(C51:G51)) = 0,
         0,
         SUMPRODUCT(($C$9:$G$9="CO2")*ISNUMBER($C$10:$G$10)*ISNUMBER(C51:G51)*C51:G51) /
         SUMPRODUCT(($C$9:$G$9="CO2")*ISNUMBER($C$10:$G$10)*ISNUMBER(C51:G51)*$C$10:$G$10) * 0.15
       ) +
       IF(
         SUMPRODUCT(($H$9:$Z$9="CO2")*ISNUMBER($H$10:$Z$10)*ISNUMBER(H51:Z51)) = 0,
         0,
         SUMPRODUCT(($H$9:$Z$9="CO2")*ISNUMBER($H$10:$Z$10)*ISNUMBER(H51:Z51)*H51:Z51) /
         SUMPRODUCT(($H$9:$Z$9="CO2")*ISNUMBER($H$10:$Z$10)*ISNUMBER(H51:Z51)*$H$10:$Z$10) * 0.85
       )
     ) * 100,
     ""
   )
)</f>
        <v/>
      </c>
      <c r="AC51" s="1" t="str" cm="1">
        <f t="array" ref="AC51">IF(
   SUMPRODUCT(($C$9:$G$9="CO3")*ISNUMBER($C$10:$G$10)*ISNUMBER(C51:G51)) +
   SUMPRODUCT(($H$9:$Z$9="CO3")*ISNUMBER($H$10:$Z$10)*ISNUMBER(H51:Z51)) = 0,
   "",
   IFERROR(
     (
       IF(
         SUMPRODUCT(($C$9:$G$9="CO3")*ISNUMBER($C$10:$G$10)*ISNUMBER(C51:G51)) = 0,
         0,
         SUMPRODUCT(($C$9:$G$9="CO3")*ISNUMBER($C$10:$G$10)*ISNUMBER(C51:G51)*C51:G51) /
         SUMPRODUCT(($C$9:$G$9="CO3")*ISNUMBER($C$10:$G$10)*ISNUMBER(C51:G51)*$C$10:$G$10) * 0.15
       ) +
       IF(
         SUMPRODUCT(($H$9:$Z$9="CO3")*ISNUMBER($H$10:$Z$10)*ISNUMBER(H51:Z51)) = 0,
         0,
         SUMPRODUCT(($H$9:$Z$9="CO3")*ISNUMBER($H$10:$Z$10)*ISNUMBER(H51:Z51)*H51:Z51) /
         SUMPRODUCT(($H$9:$Z$9="CO3")*ISNUMBER($H$10:$Z$10)*ISNUMBER(H51:Z51)*$H$10:$Z$10) * 0.85
       )
     ) * 100,
     ""
   )
)</f>
        <v/>
      </c>
      <c r="AD51" s="1" cm="1">
        <f t="array" ref="AD51">IF(
   SUMPRODUCT(($C$9:$G$9="CO4")*ISNUMBER($C$10:$G$10)*ISNUMBER(C51:G51)) +
   SUMPRODUCT(($H$9:$Z$9="CO4")*ISNUMBER($H$10:$Z$10)*ISNUMBER(H51:Z51)) = 0,
   "",
   IFERROR(
     (
       IF(
         SUMPRODUCT(($C$9:$G$9="CO4")*ISNUMBER($C$10:$G$10)*ISNUMBER(C51:G51)) = 0,
         0,
         SUMPRODUCT(($C$9:$G$9="CO4")*ISNUMBER($C$10:$G$10)*ISNUMBER(C51:G51)*C51:G51) /
         SUMPRODUCT(($C$9:$G$9="CO4")*ISNUMBER($C$10:$G$10)*ISNUMBER(C51:G51)*$C$10:$G$10) * 0.15
       ) +
       IF(
         SUMPRODUCT(($H$9:$Z$9="CO4")*ISNUMBER($H$10:$Z$10)*ISNUMBER(H51:Z51)) = 0,
         0,
         SUMPRODUCT(($H$9:$Z$9="CO4")*ISNUMBER($H$10:$Z$10)*ISNUMBER(H51:Z51)*H51:Z51) /
         SUMPRODUCT(($H$9:$Z$9="CO4")*ISNUMBER($H$10:$Z$10)*ISNUMBER(H51:Z51)*$H$10:$Z$10) * 0.85
       )
     ) * 100,
     ""
   )
)</f>
        <v>28.333333333333332</v>
      </c>
      <c r="AE51" s="1" t="str" cm="1">
        <f t="array" ref="AE51">IF(
   SUMPRODUCT(($C$9:$G$9="CO5")*ISNUMBER($C$10:$G$10)*ISNUMBER(C51:G51)) +
   SUMPRODUCT(($H$9:$Z$9="CO5")*ISNUMBER($H$10:$Z$10)*ISNUMBER(H51:Z51)) = 0,
   "",
   IFERROR(
     (
       IF(
         SUMPRODUCT(($C$9:$G$9="CO5")*ISNUMBER($C$10:$G$10)*ISNUMBER(C51:G51)) = 0,
         0,
         SUMPRODUCT(($C$9:$G$9="CO5")*ISNUMBER($C$10:$G$10)*ISNUMBER(C51:G51)*C51:G51) /
         SUMPRODUCT(($C$9:$G$9="CO5")*ISNUMBER($C$10:$G$10)*ISNUMBER(C51:G51)*$C$10:$G$10) * 0.15
       ) +
       IF(
         SUMPRODUCT(($H$9:$Z$9="CO5")*ISNUMBER($H$10:$Z$10)*ISNUMBER(H51:Z51)) = 0,
         0,
         SUMPRODUCT(($H$9:$Z$9="CO5")*ISNUMBER($H$10:$Z$10)*ISNUMBER(H51:Z51)*H51:Z51) /
         SUMPRODUCT(($H$9:$Z$9="CO5")*ISNUMBER($H$10:$Z$10)*ISNUMBER(H51:Z51)*$H$10:$Z$10) * 0.85
       )
     ) * 100,
     ""
   )
)</f>
        <v/>
      </c>
      <c r="AF51" s="1" t="str" cm="1">
        <f t="array" ref="AF51">IF(
   SUMPRODUCT(($C$9:$G$9="CO6")*ISNUMBER($C$10:$G$10)*ISNUMBER(C51:G51)) +
   SUMPRODUCT(($H$9:$Z$9="CO6")*ISNUMBER($H$10:$Z$10)*ISNUMBER(H51:Z51)) = 0,
   "",
   IFERROR(
     (
       IF(
         SUMPRODUCT(($C$9:$G$9="CO6")*ISNUMBER($C$10:$G$10)*ISNUMBER(C51:G51)) = 0,
         0,
         SUMPRODUCT(($C$9:$G$9="CO6")*ISNUMBER($C$10:$G$10)*ISNUMBER(C51:G51)*C51:G51) /
         SUMPRODUCT(($C$9:$G$9="CO6")*ISNUMBER($C$10:$G$10)*ISNUMBER(C51:G51)*$C$10:$G$10) * 0.15
       ) +
       IF(
         SUMPRODUCT(($H$9:$Z$9="CO6")*ISNUMBER($H$10:$Z$10)*ISNUMBER(H51:Z51)) = 0,
         0,
         SUMPRODUCT(($H$9:$Z$9="CO6")*ISNUMBER($H$10:$Z$10)*ISNUMBER(H51:Z51)*H51:Z51) /
         SUMPRODUCT(($H$9:$Z$9="CO6")*ISNUMBER($H$10:$Z$10)*ISNUMBER(H51:Z51)*$H$10:$Z$10) * 0.85
       )
     ) * 100,
     ""
   )
)</f>
        <v/>
      </c>
      <c r="AG51" s="1" t="str" cm="1">
        <f t="array" ref="AG51">IF(
   SUMPRODUCT(($C$9:$G$9="CO7")*ISNUMBER($C$10:$G$10)*ISNUMBER(C51:G51)) +
   SUMPRODUCT(($H$9:$Z$9="CO7")*ISNUMBER($H$10:$Z$10)*ISNUMBER(H51:Z51)) = 0,
   "",
   IFERROR(
     (
       IF(
         SUMPRODUCT(($C$9:$G$9="CO7")*ISNUMBER($C$10:$G$10)*ISNUMBER(C51:G51)) = 0,
         0,
         SUMPRODUCT(($C$9:$G$9="CO7")*ISNUMBER($C$10:$G$10)*ISNUMBER(C51:G51)*C51:G51) /
         SUMPRODUCT(($C$9:$G$9="CO7")*ISNUMBER($C$10:$G$10)*ISNUMBER(C51:G51)*$C$10:$G$10) * 0.15
       ) +
       IF(
         SUMPRODUCT(($H$9:$Z$9="CO7")*ISNUMBER($H$10:$Z$10)*ISNUMBER(H51:Z51)) = 0,
         0,
         SUMPRODUCT(($H$9:$Z$9="CO7")*ISNUMBER($H$10:$Z$10)*ISNUMBER(H51:Z51)*H51:Z51) /
         SUMPRODUCT(($H$9:$Z$9="CO7")*ISNUMBER($H$10:$Z$10)*ISNUMBER(H51:Z51)*$H$10:$Z$10) * 0.85
       )
     ) * 100,
     ""
   )
)</f>
        <v/>
      </c>
      <c r="AH51" s="3" t="str" cm="1">
        <f t="array" ref="AH51">IF(
   SUMPRODUCT(($C$9:$G$9="CO8")*ISNUMBER($C$10:$G$10)*ISNUMBER(C51:G51)) +
   SUMPRODUCT(($H$9:$Z$9="CO8")*ISNUMBER($H$10:$Z$10)*ISNUMBER(H51:Z51)) = 0,
   "",
   IFERROR(
     (
       IF(
         SUMPRODUCT(($C$9:$G$9="CO8")*ISNUMBER($C$10:$G$10)*ISNUMBER(C51:G51)) = 0,
         0,
         SUMPRODUCT(($C$9:$G$9="CO8")*ISNUMBER($C$10:$G$10)*ISNUMBER(C51:G51)*C51:G51) /
         SUMPRODUCT(($C$9:$G$9="CO8")*ISNUMBER($C$10:$G$10)*ISNUMBER(C51:G51)*$C$10:$G$10) * 0.15
       ) +
       IF(
         SUMPRODUCT(($H$9:$Z$9="CO8")*ISNUMBER($H$10:$Z$10)*ISNUMBER(H51:Z51)) = 0,
         0,
         SUMPRODUCT(($H$9:$Z$9="CO8")*ISNUMBER($H$10:$Z$10)*ISNUMBER(H51:Z51)*H51:Z51) /
         SUMPRODUCT(($H$9:$Z$9="CO8")*ISNUMBER($H$10:$Z$10)*ISNUMBER(H51:Z51)*$H$10:$Z$10) * 0.85
       )
     ) * 100,
     ""
   )
)</f>
        <v/>
      </c>
      <c r="AI51" s="1" t="str">
        <f t="shared" si="10"/>
        <v/>
      </c>
      <c r="AJ51" s="1" t="str">
        <f t="shared" si="11"/>
        <v/>
      </c>
      <c r="AK51" s="1" t="str">
        <f t="shared" si="12"/>
        <v/>
      </c>
      <c r="AL51" s="1" t="str">
        <f t="shared" si="4"/>
        <v>F</v>
      </c>
      <c r="AM51" s="1" t="str">
        <f t="shared" si="4"/>
        <v/>
      </c>
      <c r="AN51" s="1" t="str">
        <f t="shared" si="4"/>
        <v/>
      </c>
      <c r="AO51" s="1" t="str">
        <f t="shared" si="4"/>
        <v/>
      </c>
      <c r="AP51" s="1" t="str">
        <f t="shared" si="4"/>
        <v/>
      </c>
    </row>
    <row r="52" spans="1:42" ht="16.2" thickBot="1" x14ac:dyDescent="0.35">
      <c r="A52" s="62">
        <v>2508105</v>
      </c>
      <c r="B52" s="58" t="s">
        <v>149</v>
      </c>
      <c r="C52" s="77">
        <v>4.5</v>
      </c>
      <c r="D52" s="82">
        <v>3</v>
      </c>
      <c r="E52" s="88">
        <v>2.5</v>
      </c>
      <c r="F52" s="89">
        <v>5</v>
      </c>
      <c r="G52" s="89">
        <v>3</v>
      </c>
      <c r="H52" s="14">
        <v>0.5</v>
      </c>
      <c r="I52" s="14">
        <v>1</v>
      </c>
      <c r="J52" s="14">
        <v>1</v>
      </c>
      <c r="K52" s="14">
        <v>1</v>
      </c>
      <c r="L52" s="14">
        <v>0</v>
      </c>
      <c r="M52" s="14">
        <v>1</v>
      </c>
      <c r="N52" s="14">
        <v>2</v>
      </c>
      <c r="O52" s="14">
        <v>1</v>
      </c>
      <c r="P52" s="14">
        <v>2</v>
      </c>
      <c r="Q52" s="14">
        <v>0</v>
      </c>
      <c r="R52" s="14">
        <v>1</v>
      </c>
      <c r="S52" s="14">
        <v>0</v>
      </c>
      <c r="T52" s="14">
        <v>1</v>
      </c>
      <c r="U52" s="14">
        <v>1</v>
      </c>
      <c r="V52" s="14">
        <v>0</v>
      </c>
      <c r="W52" s="14">
        <v>0</v>
      </c>
      <c r="X52" s="98">
        <v>21</v>
      </c>
      <c r="Y52" s="99">
        <v>7</v>
      </c>
      <c r="Z52" s="89">
        <v>6</v>
      </c>
      <c r="AA52" s="1" cm="1">
        <f t="array" ref="AA52">IF(
   SUMPRODUCT(($C$9:$G$9="CO1")*ISNUMBER($C$10:$G$10)*ISNUMBER(C52:G52)) +
   SUMPRODUCT(($H$9:$Z$9="CO1")*ISNUMBER($H$10:$Z$10)*ISNUMBER(H52:Z52)) = 0,
   "",
   IFERROR(
     (
       IF(
         SUMPRODUCT(($C$9:$G$9="CO1")*ISNUMBER($C$10:$G$10)*ISNUMBER(C52:G52)) = 0,
         0,
         SUMPRODUCT(($C$9:$G$9="CO1")*ISNUMBER($C$10:$G$10)*ISNUMBER(C52:G52)*C52:G52) /
         SUMPRODUCT(($C$9:$G$9="CO1")*ISNUMBER($C$10:$G$10)*ISNUMBER(C52:G52)*$C$10:$G$10) * 0.15
       ) +
       IF(
         SUMPRODUCT(($H$9:$Z$9="CO1")*ISNUMBER($H$10:$Z$10)*ISNUMBER(H52:Z52)) = 0,
         0,
         SUMPRODUCT(($H$9:$Z$9="CO1")*ISNUMBER($H$10:$Z$10)*ISNUMBER(H52:Z52)*H52:Z52) /
         SUMPRODUCT(($H$9:$Z$9="CO1")*ISNUMBER($H$10:$Z$10)*ISNUMBER(H52:Z52)*$H$10:$Z$10) * 0.85
       )
     ) * 100,
     ""
   )
)</f>
        <v>72.527777777777786</v>
      </c>
      <c r="AB52" s="1" cm="1">
        <f t="array" ref="AB52">IF(
   SUMPRODUCT(($C$9:$G$9="CO2")*ISNUMBER($C$10:$G$10)*ISNUMBER(C52:G52)) +
   SUMPRODUCT(($H$9:$Z$9="CO2")*ISNUMBER($H$10:$Z$10)*ISNUMBER(H52:Z52)) = 0,
   "",
   IFERROR(
     (
       IF(
         SUMPRODUCT(($C$9:$G$9="CO2")*ISNUMBER($C$10:$G$10)*ISNUMBER(C52:G52)) = 0,
         0,
         SUMPRODUCT(($C$9:$G$9="CO2")*ISNUMBER($C$10:$G$10)*ISNUMBER(C52:G52)*C52:G52) /
         SUMPRODUCT(($C$9:$G$9="CO2")*ISNUMBER($C$10:$G$10)*ISNUMBER(C52:G52)*$C$10:$G$10) * 0.15
       ) +
       IF(
         SUMPRODUCT(($H$9:$Z$9="CO2")*ISNUMBER($H$10:$Z$10)*ISNUMBER(H52:Z52)) = 0,
         0,
         SUMPRODUCT(($H$9:$Z$9="CO2")*ISNUMBER($H$10:$Z$10)*ISNUMBER(H52:Z52)*H52:Z52) /
         SUMPRODUCT(($H$9:$Z$9="CO2")*ISNUMBER($H$10:$Z$10)*ISNUMBER(H52:Z52)*$H$10:$Z$10) * 0.85
       )
     ) * 100,
     ""
   )
)</f>
        <v>66.6875</v>
      </c>
      <c r="AC52" s="1" cm="1">
        <f t="array" ref="AC52">IF(
   SUMPRODUCT(($C$9:$G$9="CO3")*ISNUMBER($C$10:$G$10)*ISNUMBER(C52:G52)) +
   SUMPRODUCT(($H$9:$Z$9="CO3")*ISNUMBER($H$10:$Z$10)*ISNUMBER(H52:Z52)) = 0,
   "",
   IFERROR(
     (
       IF(
         SUMPRODUCT(($C$9:$G$9="CO3")*ISNUMBER($C$10:$G$10)*ISNUMBER(C52:G52)) = 0,
         0,
         SUMPRODUCT(($C$9:$G$9="CO3")*ISNUMBER($C$10:$G$10)*ISNUMBER(C52:G52)*C52:G52) /
         SUMPRODUCT(($C$9:$G$9="CO3")*ISNUMBER($C$10:$G$10)*ISNUMBER(C52:G52)*$C$10:$G$10) * 0.15
       ) +
       IF(
         SUMPRODUCT(($H$9:$Z$9="CO3")*ISNUMBER($H$10:$Z$10)*ISNUMBER(H52:Z52)) = 0,
         0,
         SUMPRODUCT(($H$9:$Z$9="CO3")*ISNUMBER($H$10:$Z$10)*ISNUMBER(H52:Z52)*H52:Z52) /
         SUMPRODUCT(($H$9:$Z$9="CO3")*ISNUMBER($H$10:$Z$10)*ISNUMBER(H52:Z52)*$H$10:$Z$10) * 0.85
       )
     ) * 100,
     ""
   )
)</f>
        <v>81.785714285714278</v>
      </c>
      <c r="AD52" s="1" cm="1">
        <f t="array" ref="AD52">IF(
   SUMPRODUCT(($C$9:$G$9="CO4")*ISNUMBER($C$10:$G$10)*ISNUMBER(C52:G52)) +
   SUMPRODUCT(($H$9:$Z$9="CO4")*ISNUMBER($H$10:$Z$10)*ISNUMBER(H52:Z52)) = 0,
   "",
   IFERROR(
     (
       IF(
         SUMPRODUCT(($C$9:$G$9="CO4")*ISNUMBER($C$10:$G$10)*ISNUMBER(C52:G52)) = 0,
         0,
         SUMPRODUCT(($C$9:$G$9="CO4")*ISNUMBER($C$10:$G$10)*ISNUMBER(C52:G52)*C52:G52) /
         SUMPRODUCT(($C$9:$G$9="CO4")*ISNUMBER($C$10:$G$10)*ISNUMBER(C52:G52)*$C$10:$G$10) * 0.15
       ) +
       IF(
         SUMPRODUCT(($H$9:$Z$9="CO4")*ISNUMBER($H$10:$Z$10)*ISNUMBER(H52:Z52)) = 0,
         0,
         SUMPRODUCT(($H$9:$Z$9="CO4")*ISNUMBER($H$10:$Z$10)*ISNUMBER(H52:Z52)*H52:Z52) /
         SUMPRODUCT(($H$9:$Z$9="CO4")*ISNUMBER($H$10:$Z$10)*ISNUMBER(H52:Z52)*$H$10:$Z$10) * 0.85
       )
     ) * 100,
     ""
   )
)</f>
        <v>23.166666666666664</v>
      </c>
      <c r="AE52" s="1" t="str" cm="1">
        <f t="array" ref="AE52">IF(
   SUMPRODUCT(($C$9:$G$9="CO5")*ISNUMBER($C$10:$G$10)*ISNUMBER(C52:G52)) +
   SUMPRODUCT(($H$9:$Z$9="CO5")*ISNUMBER($H$10:$Z$10)*ISNUMBER(H52:Z52)) = 0,
   "",
   IFERROR(
     (
       IF(
         SUMPRODUCT(($C$9:$G$9="CO5")*ISNUMBER($C$10:$G$10)*ISNUMBER(C52:G52)) = 0,
         0,
         SUMPRODUCT(($C$9:$G$9="CO5")*ISNUMBER($C$10:$G$10)*ISNUMBER(C52:G52)*C52:G52) /
         SUMPRODUCT(($C$9:$G$9="CO5")*ISNUMBER($C$10:$G$10)*ISNUMBER(C52:G52)*$C$10:$G$10) * 0.15
       ) +
       IF(
         SUMPRODUCT(($H$9:$Z$9="CO5")*ISNUMBER($H$10:$Z$10)*ISNUMBER(H52:Z52)) = 0,
         0,
         SUMPRODUCT(($H$9:$Z$9="CO5")*ISNUMBER($H$10:$Z$10)*ISNUMBER(H52:Z52)*H52:Z52) /
         SUMPRODUCT(($H$9:$Z$9="CO5")*ISNUMBER($H$10:$Z$10)*ISNUMBER(H52:Z52)*$H$10:$Z$10) * 0.85
       )
     ) * 100,
     ""
   )
)</f>
        <v/>
      </c>
      <c r="AF52" s="1" t="str" cm="1">
        <f t="array" ref="AF52">IF(
   SUMPRODUCT(($C$9:$G$9="CO6")*ISNUMBER($C$10:$G$10)*ISNUMBER(C52:G52)) +
   SUMPRODUCT(($H$9:$Z$9="CO6")*ISNUMBER($H$10:$Z$10)*ISNUMBER(H52:Z52)) = 0,
   "",
   IFERROR(
     (
       IF(
         SUMPRODUCT(($C$9:$G$9="CO6")*ISNUMBER($C$10:$G$10)*ISNUMBER(C52:G52)) = 0,
         0,
         SUMPRODUCT(($C$9:$G$9="CO6")*ISNUMBER($C$10:$G$10)*ISNUMBER(C52:G52)*C52:G52) /
         SUMPRODUCT(($C$9:$G$9="CO6")*ISNUMBER($C$10:$G$10)*ISNUMBER(C52:G52)*$C$10:$G$10) * 0.15
       ) +
       IF(
         SUMPRODUCT(($H$9:$Z$9="CO6")*ISNUMBER($H$10:$Z$10)*ISNUMBER(H52:Z52)) = 0,
         0,
         SUMPRODUCT(($H$9:$Z$9="CO6")*ISNUMBER($H$10:$Z$10)*ISNUMBER(H52:Z52)*H52:Z52) /
         SUMPRODUCT(($H$9:$Z$9="CO6")*ISNUMBER($H$10:$Z$10)*ISNUMBER(H52:Z52)*$H$10:$Z$10) * 0.85
       )
     ) * 100,
     ""
   )
)</f>
        <v/>
      </c>
      <c r="AG52" s="1" t="str" cm="1">
        <f t="array" ref="AG52">IF(
   SUMPRODUCT(($C$9:$G$9="CO7")*ISNUMBER($C$10:$G$10)*ISNUMBER(C52:G52)) +
   SUMPRODUCT(($H$9:$Z$9="CO7")*ISNUMBER($H$10:$Z$10)*ISNUMBER(H52:Z52)) = 0,
   "",
   IFERROR(
     (
       IF(
         SUMPRODUCT(($C$9:$G$9="CO7")*ISNUMBER($C$10:$G$10)*ISNUMBER(C52:G52)) = 0,
         0,
         SUMPRODUCT(($C$9:$G$9="CO7")*ISNUMBER($C$10:$G$10)*ISNUMBER(C52:G52)*C52:G52) /
         SUMPRODUCT(($C$9:$G$9="CO7")*ISNUMBER($C$10:$G$10)*ISNUMBER(C52:G52)*$C$10:$G$10) * 0.15
       ) +
       IF(
         SUMPRODUCT(($H$9:$Z$9="CO7")*ISNUMBER($H$10:$Z$10)*ISNUMBER(H52:Z52)) = 0,
         0,
         SUMPRODUCT(($H$9:$Z$9="CO7")*ISNUMBER($H$10:$Z$10)*ISNUMBER(H52:Z52)*H52:Z52) /
         SUMPRODUCT(($H$9:$Z$9="CO7")*ISNUMBER($H$10:$Z$10)*ISNUMBER(H52:Z52)*$H$10:$Z$10) * 0.85
       )
     ) * 100,
     ""
   )
)</f>
        <v/>
      </c>
      <c r="AH52" s="3" t="str" cm="1">
        <f t="array" ref="AH52">IF(
   SUMPRODUCT(($C$9:$G$9="CO8")*ISNUMBER($C$10:$G$10)*ISNUMBER(C52:G52)) +
   SUMPRODUCT(($H$9:$Z$9="CO8")*ISNUMBER($H$10:$Z$10)*ISNUMBER(H52:Z52)) = 0,
   "",
   IFERROR(
     (
       IF(
         SUMPRODUCT(($C$9:$G$9="CO8")*ISNUMBER($C$10:$G$10)*ISNUMBER(C52:G52)) = 0,
         0,
         SUMPRODUCT(($C$9:$G$9="CO8")*ISNUMBER($C$10:$G$10)*ISNUMBER(C52:G52)*C52:G52) /
         SUMPRODUCT(($C$9:$G$9="CO8")*ISNUMBER($C$10:$G$10)*ISNUMBER(C52:G52)*$C$10:$G$10) * 0.15
       ) +
       IF(
         SUMPRODUCT(($H$9:$Z$9="CO8")*ISNUMBER($H$10:$Z$10)*ISNUMBER(H52:Z52)) = 0,
         0,
         SUMPRODUCT(($H$9:$Z$9="CO8")*ISNUMBER($H$10:$Z$10)*ISNUMBER(H52:Z52)*H52:Z52) /
         SUMPRODUCT(($H$9:$Z$9="CO8")*ISNUMBER($H$10:$Z$10)*ISNUMBER(H52:Z52)*$H$10:$Z$10) * 0.85
       )
     ) * 100,
     ""
   )
)</f>
        <v/>
      </c>
      <c r="AI52" s="1" t="str">
        <f t="shared" si="10"/>
        <v>D</v>
      </c>
      <c r="AJ52" s="1" t="str">
        <f t="shared" si="11"/>
        <v>First</v>
      </c>
      <c r="AK52" s="1" t="str">
        <f t="shared" si="12"/>
        <v>D</v>
      </c>
      <c r="AL52" s="1" t="str">
        <f t="shared" si="4"/>
        <v>F</v>
      </c>
      <c r="AM52" s="1" t="str">
        <f t="shared" si="4"/>
        <v/>
      </c>
      <c r="AN52" s="1" t="str">
        <f t="shared" si="4"/>
        <v/>
      </c>
      <c r="AO52" s="1" t="str">
        <f t="shared" si="4"/>
        <v/>
      </c>
      <c r="AP52" s="1" t="str">
        <f t="shared" si="4"/>
        <v/>
      </c>
    </row>
    <row r="53" spans="1:42" ht="16.2" thickBot="1" x14ac:dyDescent="0.35">
      <c r="A53" s="62">
        <v>2508106</v>
      </c>
      <c r="B53" s="59" t="s">
        <v>150</v>
      </c>
      <c r="C53" s="77">
        <v>4</v>
      </c>
      <c r="D53" s="83" t="s">
        <v>180</v>
      </c>
      <c r="E53" s="92">
        <v>5</v>
      </c>
      <c r="F53" s="90" t="s">
        <v>180</v>
      </c>
      <c r="G53" s="89">
        <v>4</v>
      </c>
      <c r="H53" s="14">
        <v>1</v>
      </c>
      <c r="I53" s="14">
        <v>1</v>
      </c>
      <c r="J53" s="14">
        <v>1</v>
      </c>
      <c r="K53" s="14">
        <v>1</v>
      </c>
      <c r="L53" s="14">
        <v>0</v>
      </c>
      <c r="M53" s="14">
        <v>1</v>
      </c>
      <c r="N53" s="14">
        <v>1</v>
      </c>
      <c r="O53" s="14">
        <v>1</v>
      </c>
      <c r="P53" s="14">
        <v>0</v>
      </c>
      <c r="Q53" s="14">
        <v>0.5</v>
      </c>
      <c r="R53" s="14">
        <v>1</v>
      </c>
      <c r="S53" s="14">
        <v>0</v>
      </c>
      <c r="T53" s="14">
        <v>1</v>
      </c>
      <c r="U53" s="14">
        <v>0</v>
      </c>
      <c r="V53" s="14">
        <v>0</v>
      </c>
      <c r="W53" s="14">
        <v>0</v>
      </c>
      <c r="X53" s="98">
        <v>16</v>
      </c>
      <c r="Y53" s="99">
        <v>0</v>
      </c>
      <c r="Z53" s="89">
        <v>5</v>
      </c>
      <c r="AA53" s="1" t="str" cm="1">
        <f t="array" ref="AA53">IF(
   SUMPRODUCT(($C$9:$G$9="CO1")*ISNUMBER($C$10:$G$10)*ISNUMBER(C53:G53)) +
   SUMPRODUCT(($H$9:$Z$9="CO1")*ISNUMBER($H$10:$Z$10)*ISNUMBER(H53:Z53)) = 0,
   "",
   IFERROR(
     (
       IF(
         SUMPRODUCT(($C$9:$G$9="CO1")*ISNUMBER($C$10:$G$10)*ISNUMBER(C53:G53)) = 0,
         0,
         SUMPRODUCT(($C$9:$G$9="CO1")*ISNUMBER($C$10:$G$10)*ISNUMBER(C53:G53)*C53:G53) /
         SUMPRODUCT(($C$9:$G$9="CO1")*ISNUMBER($C$10:$G$10)*ISNUMBER(C53:G53)*$C$10:$G$10) * 0.15
       ) +
       IF(
         SUMPRODUCT(($H$9:$Z$9="CO1")*ISNUMBER($H$10:$Z$10)*ISNUMBER(H53:Z53)) = 0,
         0,
         SUMPRODUCT(($H$9:$Z$9="CO1")*ISNUMBER($H$10:$Z$10)*ISNUMBER(H53:Z53)*H53:Z53) /
         SUMPRODUCT(($H$9:$Z$9="CO1")*ISNUMBER($H$10:$Z$10)*ISNUMBER(H53:Z53)*$H$10:$Z$10) * 0.85
       )
     ) * 100,
     ""
   )
)</f>
        <v/>
      </c>
      <c r="AB53" s="1" t="str" cm="1">
        <f t="array" ref="AB53">IF(
   SUMPRODUCT(($C$9:$G$9="CO2")*ISNUMBER($C$10:$G$10)*ISNUMBER(C53:G53)) +
   SUMPRODUCT(($H$9:$Z$9="CO2")*ISNUMBER($H$10:$Z$10)*ISNUMBER(H53:Z53)) = 0,
   "",
   IFERROR(
     (
       IF(
         SUMPRODUCT(($C$9:$G$9="CO2")*ISNUMBER($C$10:$G$10)*ISNUMBER(C53:G53)) = 0,
         0,
         SUMPRODUCT(($C$9:$G$9="CO2")*ISNUMBER($C$10:$G$10)*ISNUMBER(C53:G53)*C53:G53) /
         SUMPRODUCT(($C$9:$G$9="CO2")*ISNUMBER($C$10:$G$10)*ISNUMBER(C53:G53)*$C$10:$G$10) * 0.15
       ) +
       IF(
         SUMPRODUCT(($H$9:$Z$9="CO2")*ISNUMBER($H$10:$Z$10)*ISNUMBER(H53:Z53)) = 0,
         0,
         SUMPRODUCT(($H$9:$Z$9="CO2")*ISNUMBER($H$10:$Z$10)*ISNUMBER(H53:Z53)*H53:Z53) /
         SUMPRODUCT(($H$9:$Z$9="CO2")*ISNUMBER($H$10:$Z$10)*ISNUMBER(H53:Z53)*$H$10:$Z$10) * 0.85
       )
     ) * 100,
     ""
   )
)</f>
        <v/>
      </c>
      <c r="AC53" s="1" cm="1">
        <f t="array" ref="AC53">IF(
   SUMPRODUCT(($C$9:$G$9="CO3")*ISNUMBER($C$10:$G$10)*ISNUMBER(C53:G53)) +
   SUMPRODUCT(($H$9:$Z$9="CO3")*ISNUMBER($H$10:$Z$10)*ISNUMBER(H53:Z53)) = 0,
   "",
   IFERROR(
     (
       IF(
         SUMPRODUCT(($C$9:$G$9="CO3")*ISNUMBER($C$10:$G$10)*ISNUMBER(C53:G53)) = 0,
         0,
         SUMPRODUCT(($C$9:$G$9="CO3")*ISNUMBER($C$10:$G$10)*ISNUMBER(C53:G53)*C53:G53) /
         SUMPRODUCT(($C$9:$G$9="CO3")*ISNUMBER($C$10:$G$10)*ISNUMBER(C53:G53)*$C$10:$G$10) * 0.15
       ) +
       IF(
         SUMPRODUCT(($H$9:$Z$9="CO3")*ISNUMBER($H$10:$Z$10)*ISNUMBER(H53:Z53)) = 0,
         0,
         SUMPRODUCT(($H$9:$Z$9="CO3")*ISNUMBER($H$10:$Z$10)*ISNUMBER(H53:Z53)*H53:Z53) /
         SUMPRODUCT(($H$9:$Z$9="CO3")*ISNUMBER($H$10:$Z$10)*ISNUMBER(H53:Z53)*$H$10:$Z$10) * 0.85
       )
     ) * 100,
     ""
   )
)</f>
        <v>53.125</v>
      </c>
      <c r="AD53" s="1" t="str" cm="1">
        <f t="array" ref="AD53">IF(
   SUMPRODUCT(($C$9:$G$9="CO4")*ISNUMBER($C$10:$G$10)*ISNUMBER(C53:G53)) +
   SUMPRODUCT(($H$9:$Z$9="CO4")*ISNUMBER($H$10:$Z$10)*ISNUMBER(H53:Z53)) = 0,
   "",
   IFERROR(
     (
       IF(
         SUMPRODUCT(($C$9:$G$9="CO4")*ISNUMBER($C$10:$G$10)*ISNUMBER(C53:G53)) = 0,
         0,
         SUMPRODUCT(($C$9:$G$9="CO4")*ISNUMBER($C$10:$G$10)*ISNUMBER(C53:G53)*C53:G53) /
         SUMPRODUCT(($C$9:$G$9="CO4")*ISNUMBER($C$10:$G$10)*ISNUMBER(C53:G53)*$C$10:$G$10) * 0.15
       ) +
       IF(
         SUMPRODUCT(($H$9:$Z$9="CO4")*ISNUMBER($H$10:$Z$10)*ISNUMBER(H53:Z53)) = 0,
         0,
         SUMPRODUCT(($H$9:$Z$9="CO4")*ISNUMBER($H$10:$Z$10)*ISNUMBER(H53:Z53)*H53:Z53) /
         SUMPRODUCT(($H$9:$Z$9="CO4")*ISNUMBER($H$10:$Z$10)*ISNUMBER(H53:Z53)*$H$10:$Z$10) * 0.85
       )
     ) * 100,
     ""
   )
)</f>
        <v/>
      </c>
      <c r="AE53" s="1" t="str" cm="1">
        <f t="array" ref="AE53">IF(
   SUMPRODUCT(($C$9:$G$9="CO5")*ISNUMBER($C$10:$G$10)*ISNUMBER(C53:G53)) +
   SUMPRODUCT(($H$9:$Z$9="CO5")*ISNUMBER($H$10:$Z$10)*ISNUMBER(H53:Z53)) = 0,
   "",
   IFERROR(
     (
       IF(
         SUMPRODUCT(($C$9:$G$9="CO5")*ISNUMBER($C$10:$G$10)*ISNUMBER(C53:G53)) = 0,
         0,
         SUMPRODUCT(($C$9:$G$9="CO5")*ISNUMBER($C$10:$G$10)*ISNUMBER(C53:G53)*C53:G53) /
         SUMPRODUCT(($C$9:$G$9="CO5")*ISNUMBER($C$10:$G$10)*ISNUMBER(C53:G53)*$C$10:$G$10) * 0.15
       ) +
       IF(
         SUMPRODUCT(($H$9:$Z$9="CO5")*ISNUMBER($H$10:$Z$10)*ISNUMBER(H53:Z53)) = 0,
         0,
         SUMPRODUCT(($H$9:$Z$9="CO5")*ISNUMBER($H$10:$Z$10)*ISNUMBER(H53:Z53)*H53:Z53) /
         SUMPRODUCT(($H$9:$Z$9="CO5")*ISNUMBER($H$10:$Z$10)*ISNUMBER(H53:Z53)*$H$10:$Z$10) * 0.85
       )
     ) * 100,
     ""
   )
)</f>
        <v/>
      </c>
      <c r="AF53" s="1" t="str" cm="1">
        <f t="array" ref="AF53">IF(
   SUMPRODUCT(($C$9:$G$9="CO6")*ISNUMBER($C$10:$G$10)*ISNUMBER(C53:G53)) +
   SUMPRODUCT(($H$9:$Z$9="CO6")*ISNUMBER($H$10:$Z$10)*ISNUMBER(H53:Z53)) = 0,
   "",
   IFERROR(
     (
       IF(
         SUMPRODUCT(($C$9:$G$9="CO6")*ISNUMBER($C$10:$G$10)*ISNUMBER(C53:G53)) = 0,
         0,
         SUMPRODUCT(($C$9:$G$9="CO6")*ISNUMBER($C$10:$G$10)*ISNUMBER(C53:G53)*C53:G53) /
         SUMPRODUCT(($C$9:$G$9="CO6")*ISNUMBER($C$10:$G$10)*ISNUMBER(C53:G53)*$C$10:$G$10) * 0.15
       ) +
       IF(
         SUMPRODUCT(($H$9:$Z$9="CO6")*ISNUMBER($H$10:$Z$10)*ISNUMBER(H53:Z53)) = 0,
         0,
         SUMPRODUCT(($H$9:$Z$9="CO6")*ISNUMBER($H$10:$Z$10)*ISNUMBER(H53:Z53)*H53:Z53) /
         SUMPRODUCT(($H$9:$Z$9="CO6")*ISNUMBER($H$10:$Z$10)*ISNUMBER(H53:Z53)*$H$10:$Z$10) * 0.85
       )
     ) * 100,
     ""
   )
)</f>
        <v/>
      </c>
      <c r="AG53" s="1" t="str" cm="1">
        <f t="array" ref="AG53">IF(
   SUMPRODUCT(($C$9:$G$9="CO7")*ISNUMBER($C$10:$G$10)*ISNUMBER(C53:G53)) +
   SUMPRODUCT(($H$9:$Z$9="CO7")*ISNUMBER($H$10:$Z$10)*ISNUMBER(H53:Z53)) = 0,
   "",
   IFERROR(
     (
       IF(
         SUMPRODUCT(($C$9:$G$9="CO7")*ISNUMBER($C$10:$G$10)*ISNUMBER(C53:G53)) = 0,
         0,
         SUMPRODUCT(($C$9:$G$9="CO7")*ISNUMBER($C$10:$G$10)*ISNUMBER(C53:G53)*C53:G53) /
         SUMPRODUCT(($C$9:$G$9="CO7")*ISNUMBER($C$10:$G$10)*ISNUMBER(C53:G53)*$C$10:$G$10) * 0.15
       ) +
       IF(
         SUMPRODUCT(($H$9:$Z$9="CO7")*ISNUMBER($H$10:$Z$10)*ISNUMBER(H53:Z53)) = 0,
         0,
         SUMPRODUCT(($H$9:$Z$9="CO7")*ISNUMBER($H$10:$Z$10)*ISNUMBER(H53:Z53)*H53:Z53) /
         SUMPRODUCT(($H$9:$Z$9="CO7")*ISNUMBER($H$10:$Z$10)*ISNUMBER(H53:Z53)*$H$10:$Z$10) * 0.85
       )
     ) * 100,
     ""
   )
)</f>
        <v/>
      </c>
      <c r="AH53" s="3" t="str" cm="1">
        <f t="array" ref="AH53">IF(
   SUMPRODUCT(($C$9:$G$9="CO8")*ISNUMBER($C$10:$G$10)*ISNUMBER(C53:G53)) +
   SUMPRODUCT(($H$9:$Z$9="CO8")*ISNUMBER($H$10:$Z$10)*ISNUMBER(H53:Z53)) = 0,
   "",
   IFERROR(
     (
       IF(
         SUMPRODUCT(($C$9:$G$9="CO8")*ISNUMBER($C$10:$G$10)*ISNUMBER(C53:G53)) = 0,
         0,
         SUMPRODUCT(($C$9:$G$9="CO8")*ISNUMBER($C$10:$G$10)*ISNUMBER(C53:G53)*C53:G53) /
         SUMPRODUCT(($C$9:$G$9="CO8")*ISNUMBER($C$10:$G$10)*ISNUMBER(C53:G53)*$C$10:$G$10) * 0.15
       ) +
       IF(
         SUMPRODUCT(($H$9:$Z$9="CO8")*ISNUMBER($H$10:$Z$10)*ISNUMBER(H53:Z53)) = 0,
         0,
         SUMPRODUCT(($H$9:$Z$9="CO8")*ISNUMBER($H$10:$Z$10)*ISNUMBER(H53:Z53)*H53:Z53) /
         SUMPRODUCT(($H$9:$Z$9="CO8")*ISNUMBER($H$10:$Z$10)*ISNUMBER(H53:Z53)*$H$10:$Z$10) * 0.85
       )
     ) * 100,
     ""
   )
)</f>
        <v/>
      </c>
      <c r="AI53" s="1" t="str">
        <f t="shared" si="10"/>
        <v/>
      </c>
      <c r="AJ53" s="1" t="str">
        <f t="shared" si="11"/>
        <v/>
      </c>
      <c r="AK53" s="1" t="str">
        <f t="shared" si="12"/>
        <v>S</v>
      </c>
      <c r="AL53" s="1" t="str">
        <f t="shared" si="4"/>
        <v/>
      </c>
      <c r="AM53" s="1" t="str">
        <f t="shared" si="4"/>
        <v/>
      </c>
      <c r="AN53" s="1" t="str">
        <f t="shared" si="4"/>
        <v/>
      </c>
      <c r="AO53" s="1" t="str">
        <f t="shared" si="4"/>
        <v/>
      </c>
      <c r="AP53" s="1" t="str">
        <f t="shared" si="4"/>
        <v/>
      </c>
    </row>
    <row r="54" spans="1:42" ht="16.2" thickBot="1" x14ac:dyDescent="0.35">
      <c r="A54" s="62">
        <v>2508107</v>
      </c>
      <c r="B54" s="58" t="s">
        <v>151</v>
      </c>
      <c r="C54" s="77">
        <v>4</v>
      </c>
      <c r="D54" s="82">
        <v>5</v>
      </c>
      <c r="E54" s="88">
        <v>3.5</v>
      </c>
      <c r="F54" s="89">
        <v>5</v>
      </c>
      <c r="G54" s="90" t="s">
        <v>180</v>
      </c>
      <c r="H54" s="14">
        <v>0</v>
      </c>
      <c r="I54" s="14">
        <v>1</v>
      </c>
      <c r="J54" s="14">
        <v>1</v>
      </c>
      <c r="K54" s="14">
        <v>1</v>
      </c>
      <c r="L54" s="14">
        <v>0</v>
      </c>
      <c r="M54" s="14">
        <v>1</v>
      </c>
      <c r="N54" s="14">
        <v>1</v>
      </c>
      <c r="O54" s="14">
        <v>1</v>
      </c>
      <c r="P54" s="14">
        <v>0</v>
      </c>
      <c r="Q54" s="14">
        <v>0.5</v>
      </c>
      <c r="R54" s="14">
        <v>1</v>
      </c>
      <c r="S54" s="14">
        <v>0</v>
      </c>
      <c r="T54" s="14">
        <v>1</v>
      </c>
      <c r="U54" s="14">
        <v>1</v>
      </c>
      <c r="V54" s="14">
        <v>0</v>
      </c>
      <c r="W54" s="14">
        <v>0</v>
      </c>
      <c r="X54" s="98">
        <v>21</v>
      </c>
      <c r="Y54" s="99">
        <v>0</v>
      </c>
      <c r="Z54" s="89">
        <v>5</v>
      </c>
      <c r="AA54" s="1" t="str" cm="1">
        <f t="array" ref="AA54">IF(
   SUMPRODUCT(($C$9:$G$9="CO1")*ISNUMBER($C$10:$G$10)*ISNUMBER(C54:G54)) +
   SUMPRODUCT(($H$9:$Z$9="CO1")*ISNUMBER($H$10:$Z$10)*ISNUMBER(H54:Z54)) = 0,
   "",
   IFERROR(
     (
       IF(
         SUMPRODUCT(($C$9:$G$9="CO1")*ISNUMBER($C$10:$G$10)*ISNUMBER(C54:G54)) = 0,
         0,
         SUMPRODUCT(($C$9:$G$9="CO1")*ISNUMBER($C$10:$G$10)*ISNUMBER(C54:G54)*C54:G54) /
         SUMPRODUCT(($C$9:$G$9="CO1")*ISNUMBER($C$10:$G$10)*ISNUMBER(C54:G54)*$C$10:$G$10) * 0.15
       ) +
       IF(
         SUMPRODUCT(($H$9:$Z$9="CO1")*ISNUMBER($H$10:$Z$10)*ISNUMBER(H54:Z54)) = 0,
         0,
         SUMPRODUCT(($H$9:$Z$9="CO1")*ISNUMBER($H$10:$Z$10)*ISNUMBER(H54:Z54)*H54:Z54) /
         SUMPRODUCT(($H$9:$Z$9="CO1")*ISNUMBER($H$10:$Z$10)*ISNUMBER(H54:Z54)*$H$10:$Z$10) * 0.85
       )
     ) * 100,
     ""
   )
)</f>
        <v/>
      </c>
      <c r="AB54" s="1" t="str" cm="1">
        <f t="array" ref="AB54">IF(
   SUMPRODUCT(($C$9:$G$9="CO2")*ISNUMBER($C$10:$G$10)*ISNUMBER(C54:G54)) +
   SUMPRODUCT(($H$9:$Z$9="CO2")*ISNUMBER($H$10:$Z$10)*ISNUMBER(H54:Z54)) = 0,
   "",
   IFERROR(
     (
       IF(
         SUMPRODUCT(($C$9:$G$9="CO2")*ISNUMBER($C$10:$G$10)*ISNUMBER(C54:G54)) = 0,
         0,
         SUMPRODUCT(($C$9:$G$9="CO2")*ISNUMBER($C$10:$G$10)*ISNUMBER(C54:G54)*C54:G54) /
         SUMPRODUCT(($C$9:$G$9="CO2")*ISNUMBER($C$10:$G$10)*ISNUMBER(C54:G54)*$C$10:$G$10) * 0.15
       ) +
       IF(
         SUMPRODUCT(($H$9:$Z$9="CO2")*ISNUMBER($H$10:$Z$10)*ISNUMBER(H54:Z54)) = 0,
         0,
         SUMPRODUCT(($H$9:$Z$9="CO2")*ISNUMBER($H$10:$Z$10)*ISNUMBER(H54:Z54)*H54:Z54) /
         SUMPRODUCT(($H$9:$Z$9="CO2")*ISNUMBER($H$10:$Z$10)*ISNUMBER(H54:Z54)*$H$10:$Z$10) * 0.85
       )
     ) * 100,
     ""
   )
)</f>
        <v/>
      </c>
      <c r="AC54" s="1" t="str" cm="1">
        <f t="array" ref="AC54">IF(
   SUMPRODUCT(($C$9:$G$9="CO3")*ISNUMBER($C$10:$G$10)*ISNUMBER(C54:G54)) +
   SUMPRODUCT(($H$9:$Z$9="CO3")*ISNUMBER($H$10:$Z$10)*ISNUMBER(H54:Z54)) = 0,
   "",
   IFERROR(
     (
       IF(
         SUMPRODUCT(($C$9:$G$9="CO3")*ISNUMBER($C$10:$G$10)*ISNUMBER(C54:G54)) = 0,
         0,
         SUMPRODUCT(($C$9:$G$9="CO3")*ISNUMBER($C$10:$G$10)*ISNUMBER(C54:G54)*C54:G54) /
         SUMPRODUCT(($C$9:$G$9="CO3")*ISNUMBER($C$10:$G$10)*ISNUMBER(C54:G54)*$C$10:$G$10) * 0.15
       ) +
       IF(
         SUMPRODUCT(($H$9:$Z$9="CO3")*ISNUMBER($H$10:$Z$10)*ISNUMBER(H54:Z54)) = 0,
         0,
         SUMPRODUCT(($H$9:$Z$9="CO3")*ISNUMBER($H$10:$Z$10)*ISNUMBER(H54:Z54)*H54:Z54) /
         SUMPRODUCT(($H$9:$Z$9="CO3")*ISNUMBER($H$10:$Z$10)*ISNUMBER(H54:Z54)*$H$10:$Z$10) * 0.85
       )
     ) * 100,
     ""
   )
)</f>
        <v/>
      </c>
      <c r="AD54" s="1" cm="1">
        <f t="array" ref="AD54">IF(
   SUMPRODUCT(($C$9:$G$9="CO4")*ISNUMBER($C$10:$G$10)*ISNUMBER(C54:G54)) +
   SUMPRODUCT(($H$9:$Z$9="CO4")*ISNUMBER($H$10:$Z$10)*ISNUMBER(H54:Z54)) = 0,
   "",
   IFERROR(
     (
       IF(
         SUMPRODUCT(($C$9:$G$9="CO4")*ISNUMBER($C$10:$G$10)*ISNUMBER(C54:G54)) = 0,
         0,
         SUMPRODUCT(($C$9:$G$9="CO4")*ISNUMBER($C$10:$G$10)*ISNUMBER(C54:G54)*C54:G54) /
         SUMPRODUCT(($C$9:$G$9="CO4")*ISNUMBER($C$10:$G$10)*ISNUMBER(C54:G54)*$C$10:$G$10) * 0.15
       ) +
       IF(
         SUMPRODUCT(($H$9:$Z$9="CO4")*ISNUMBER($H$10:$Z$10)*ISNUMBER(H54:Z54)) = 0,
         0,
         SUMPRODUCT(($H$9:$Z$9="CO4")*ISNUMBER($H$10:$Z$10)*ISNUMBER(H54:Z54)*H54:Z54) /
         SUMPRODUCT(($H$9:$Z$9="CO4")*ISNUMBER($H$10:$Z$10)*ISNUMBER(H54:Z54)*$H$10:$Z$10) * 0.85
       )
     ) * 100,
     ""
   )
)</f>
        <v>14.166666666666666</v>
      </c>
      <c r="AE54" s="1" t="str" cm="1">
        <f t="array" ref="AE54">IF(
   SUMPRODUCT(($C$9:$G$9="CO5")*ISNUMBER($C$10:$G$10)*ISNUMBER(C54:G54)) +
   SUMPRODUCT(($H$9:$Z$9="CO5")*ISNUMBER($H$10:$Z$10)*ISNUMBER(H54:Z54)) = 0,
   "",
   IFERROR(
     (
       IF(
         SUMPRODUCT(($C$9:$G$9="CO5")*ISNUMBER($C$10:$G$10)*ISNUMBER(C54:G54)) = 0,
         0,
         SUMPRODUCT(($C$9:$G$9="CO5")*ISNUMBER($C$10:$G$10)*ISNUMBER(C54:G54)*C54:G54) /
         SUMPRODUCT(($C$9:$G$9="CO5")*ISNUMBER($C$10:$G$10)*ISNUMBER(C54:G54)*$C$10:$G$10) * 0.15
       ) +
       IF(
         SUMPRODUCT(($H$9:$Z$9="CO5")*ISNUMBER($H$10:$Z$10)*ISNUMBER(H54:Z54)) = 0,
         0,
         SUMPRODUCT(($H$9:$Z$9="CO5")*ISNUMBER($H$10:$Z$10)*ISNUMBER(H54:Z54)*H54:Z54) /
         SUMPRODUCT(($H$9:$Z$9="CO5")*ISNUMBER($H$10:$Z$10)*ISNUMBER(H54:Z54)*$H$10:$Z$10) * 0.85
       )
     ) * 100,
     ""
   )
)</f>
        <v/>
      </c>
      <c r="AF54" s="1" t="str" cm="1">
        <f t="array" ref="AF54">IF(
   SUMPRODUCT(($C$9:$G$9="CO6")*ISNUMBER($C$10:$G$10)*ISNUMBER(C54:G54)) +
   SUMPRODUCT(($H$9:$Z$9="CO6")*ISNUMBER($H$10:$Z$10)*ISNUMBER(H54:Z54)) = 0,
   "",
   IFERROR(
     (
       IF(
         SUMPRODUCT(($C$9:$G$9="CO6")*ISNUMBER($C$10:$G$10)*ISNUMBER(C54:G54)) = 0,
         0,
         SUMPRODUCT(($C$9:$G$9="CO6")*ISNUMBER($C$10:$G$10)*ISNUMBER(C54:G54)*C54:G54) /
         SUMPRODUCT(($C$9:$G$9="CO6")*ISNUMBER($C$10:$G$10)*ISNUMBER(C54:G54)*$C$10:$G$10) * 0.15
       ) +
       IF(
         SUMPRODUCT(($H$9:$Z$9="CO6")*ISNUMBER($H$10:$Z$10)*ISNUMBER(H54:Z54)) = 0,
         0,
         SUMPRODUCT(($H$9:$Z$9="CO6")*ISNUMBER($H$10:$Z$10)*ISNUMBER(H54:Z54)*H54:Z54) /
         SUMPRODUCT(($H$9:$Z$9="CO6")*ISNUMBER($H$10:$Z$10)*ISNUMBER(H54:Z54)*$H$10:$Z$10) * 0.85
       )
     ) * 100,
     ""
   )
)</f>
        <v/>
      </c>
      <c r="AG54" s="1" t="str" cm="1">
        <f t="array" ref="AG54">IF(
   SUMPRODUCT(($C$9:$G$9="CO7")*ISNUMBER($C$10:$G$10)*ISNUMBER(C54:G54)) +
   SUMPRODUCT(($H$9:$Z$9="CO7")*ISNUMBER($H$10:$Z$10)*ISNUMBER(H54:Z54)) = 0,
   "",
   IFERROR(
     (
       IF(
         SUMPRODUCT(($C$9:$G$9="CO7")*ISNUMBER($C$10:$G$10)*ISNUMBER(C54:G54)) = 0,
         0,
         SUMPRODUCT(($C$9:$G$9="CO7")*ISNUMBER($C$10:$G$10)*ISNUMBER(C54:G54)*C54:G54) /
         SUMPRODUCT(($C$9:$G$9="CO7")*ISNUMBER($C$10:$G$10)*ISNUMBER(C54:G54)*$C$10:$G$10) * 0.15
       ) +
       IF(
         SUMPRODUCT(($H$9:$Z$9="CO7")*ISNUMBER($H$10:$Z$10)*ISNUMBER(H54:Z54)) = 0,
         0,
         SUMPRODUCT(($H$9:$Z$9="CO7")*ISNUMBER($H$10:$Z$10)*ISNUMBER(H54:Z54)*H54:Z54) /
         SUMPRODUCT(($H$9:$Z$9="CO7")*ISNUMBER($H$10:$Z$10)*ISNUMBER(H54:Z54)*$H$10:$Z$10) * 0.85
       )
     ) * 100,
     ""
   )
)</f>
        <v/>
      </c>
      <c r="AH54" s="3" t="str" cm="1">
        <f t="array" ref="AH54">IF(
   SUMPRODUCT(($C$9:$G$9="CO8")*ISNUMBER($C$10:$G$10)*ISNUMBER(C54:G54)) +
   SUMPRODUCT(($H$9:$Z$9="CO8")*ISNUMBER($H$10:$Z$10)*ISNUMBER(H54:Z54)) = 0,
   "",
   IFERROR(
     (
       IF(
         SUMPRODUCT(($C$9:$G$9="CO8")*ISNUMBER($C$10:$G$10)*ISNUMBER(C54:G54)) = 0,
         0,
         SUMPRODUCT(($C$9:$G$9="CO8")*ISNUMBER($C$10:$G$10)*ISNUMBER(C54:G54)*C54:G54) /
         SUMPRODUCT(($C$9:$G$9="CO8")*ISNUMBER($C$10:$G$10)*ISNUMBER(C54:G54)*$C$10:$G$10) * 0.15
       ) +
       IF(
         SUMPRODUCT(($H$9:$Z$9="CO8")*ISNUMBER($H$10:$Z$10)*ISNUMBER(H54:Z54)) = 0,
         0,
         SUMPRODUCT(($H$9:$Z$9="CO8")*ISNUMBER($H$10:$Z$10)*ISNUMBER(H54:Z54)*H54:Z54) /
         SUMPRODUCT(($H$9:$Z$9="CO8")*ISNUMBER($H$10:$Z$10)*ISNUMBER(H54:Z54)*$H$10:$Z$10) * 0.85
       )
     ) * 100,
     ""
   )
)</f>
        <v/>
      </c>
      <c r="AI54" s="1" t="str">
        <f t="shared" si="10"/>
        <v/>
      </c>
      <c r="AJ54" s="1" t="str">
        <f t="shared" si="11"/>
        <v/>
      </c>
      <c r="AK54" s="1" t="str">
        <f t="shared" si="12"/>
        <v/>
      </c>
      <c r="AL54" s="1" t="str">
        <f t="shared" si="4"/>
        <v>F</v>
      </c>
      <c r="AM54" s="1" t="str">
        <f t="shared" si="4"/>
        <v/>
      </c>
      <c r="AN54" s="1" t="str">
        <f t="shared" si="4"/>
        <v/>
      </c>
      <c r="AO54" s="1" t="str">
        <f t="shared" si="4"/>
        <v/>
      </c>
      <c r="AP54" s="1" t="str">
        <f t="shared" si="4"/>
        <v/>
      </c>
    </row>
    <row r="55" spans="1:42" ht="16.2" thickBot="1" x14ac:dyDescent="0.35">
      <c r="A55" s="62">
        <v>2508108</v>
      </c>
      <c r="B55" s="58" t="s">
        <v>152</v>
      </c>
      <c r="C55" s="77">
        <v>3.5</v>
      </c>
      <c r="D55" s="82">
        <v>5</v>
      </c>
      <c r="E55" s="88">
        <v>5</v>
      </c>
      <c r="F55" s="89">
        <v>5</v>
      </c>
      <c r="G55" s="89">
        <v>3</v>
      </c>
      <c r="H55" s="14">
        <v>0</v>
      </c>
      <c r="I55" s="14">
        <v>0.5</v>
      </c>
      <c r="J55" s="14">
        <v>1</v>
      </c>
      <c r="K55" s="14">
        <v>1</v>
      </c>
      <c r="L55" s="14">
        <v>0</v>
      </c>
      <c r="M55" s="14">
        <v>2</v>
      </c>
      <c r="N55" s="14">
        <v>2</v>
      </c>
      <c r="O55" s="14">
        <v>2</v>
      </c>
      <c r="P55" s="14">
        <v>0</v>
      </c>
      <c r="Q55" s="14">
        <v>0</v>
      </c>
      <c r="R55" s="14">
        <v>0</v>
      </c>
      <c r="S55" s="14">
        <v>2</v>
      </c>
      <c r="T55" s="14">
        <v>1</v>
      </c>
      <c r="U55" s="14">
        <v>0</v>
      </c>
      <c r="V55" s="14">
        <v>1</v>
      </c>
      <c r="W55" s="14">
        <v>0</v>
      </c>
      <c r="X55" s="98">
        <v>16</v>
      </c>
      <c r="Y55" s="99">
        <v>8</v>
      </c>
      <c r="Z55" s="89">
        <v>8</v>
      </c>
      <c r="AA55" s="1" cm="1">
        <f t="array" ref="AA55">IF(
   SUMPRODUCT(($C$9:$G$9="CO1")*ISNUMBER($C$10:$G$10)*ISNUMBER(C55:G55)) +
   SUMPRODUCT(($H$9:$Z$9="CO1")*ISNUMBER($H$10:$Z$10)*ISNUMBER(H55:Z55)) = 0,
   "",
   IFERROR(
     (
       IF(
         SUMPRODUCT(($C$9:$G$9="CO1")*ISNUMBER($C$10:$G$10)*ISNUMBER(C55:G55)) = 0,
         0,
         SUMPRODUCT(($C$9:$G$9="CO1")*ISNUMBER($C$10:$G$10)*ISNUMBER(C55:G55)*C55:G55) /
         SUMPRODUCT(($C$9:$G$9="CO1")*ISNUMBER($C$10:$G$10)*ISNUMBER(C55:G55)*$C$10:$G$10) * 0.15
       ) +
       IF(
         SUMPRODUCT(($H$9:$Z$9="CO1")*ISNUMBER($H$10:$Z$10)*ISNUMBER(H55:Z55)) = 0,
         0,
         SUMPRODUCT(($H$9:$Z$9="CO1")*ISNUMBER($H$10:$Z$10)*ISNUMBER(H55:Z55)*H55:Z55) /
         SUMPRODUCT(($H$9:$Z$9="CO1")*ISNUMBER($H$10:$Z$10)*ISNUMBER(H55:Z55)*$H$10:$Z$10) * 0.85
       )
     ) * 100,
     ""
   )
)</f>
        <v>78.972222222222229</v>
      </c>
      <c r="AB55" s="1" cm="1">
        <f t="array" ref="AB55">IF(
   SUMPRODUCT(($C$9:$G$9="CO2")*ISNUMBER($C$10:$G$10)*ISNUMBER(C55:G55)) +
   SUMPRODUCT(($H$9:$Z$9="CO2")*ISNUMBER($H$10:$Z$10)*ISNUMBER(H55:Z55)) = 0,
   "",
   IFERROR(
     (
       IF(
         SUMPRODUCT(($C$9:$G$9="CO2")*ISNUMBER($C$10:$G$10)*ISNUMBER(C55:G55)) = 0,
         0,
         SUMPRODUCT(($C$9:$G$9="CO2")*ISNUMBER($C$10:$G$10)*ISNUMBER(C55:G55)*C55:G55) /
         SUMPRODUCT(($C$9:$G$9="CO2")*ISNUMBER($C$10:$G$10)*ISNUMBER(C55:G55)*$C$10:$G$10) * 0.15
       ) +
       IF(
         SUMPRODUCT(($H$9:$Z$9="CO2")*ISNUMBER($H$10:$Z$10)*ISNUMBER(H55:Z55)) = 0,
         0,
         SUMPRODUCT(($H$9:$Z$9="CO2")*ISNUMBER($H$10:$Z$10)*ISNUMBER(H55:Z55)*H55:Z55) /
         SUMPRODUCT(($H$9:$Z$9="CO2")*ISNUMBER($H$10:$Z$10)*ISNUMBER(H55:Z55)*$H$10:$Z$10) * 0.85
       )
     ) * 100,
     ""
   )
)</f>
        <v>78.75</v>
      </c>
      <c r="AC55" s="1" cm="1">
        <f t="array" ref="AC55">IF(
   SUMPRODUCT(($C$9:$G$9="CO3")*ISNUMBER($C$10:$G$10)*ISNUMBER(C55:G55)) +
   SUMPRODUCT(($H$9:$Z$9="CO3")*ISNUMBER($H$10:$Z$10)*ISNUMBER(H55:Z55)) = 0,
   "",
   IFERROR(
     (
       IF(
         SUMPRODUCT(($C$9:$G$9="CO3")*ISNUMBER($C$10:$G$10)*ISNUMBER(C55:G55)) = 0,
         0,
         SUMPRODUCT(($C$9:$G$9="CO3")*ISNUMBER($C$10:$G$10)*ISNUMBER(C55:G55)*C55:G55) /
         SUMPRODUCT(($C$9:$G$9="CO3")*ISNUMBER($C$10:$G$10)*ISNUMBER(C55:G55)*$C$10:$G$10) * 0.15
       ) +
       IF(
         SUMPRODUCT(($H$9:$Z$9="CO3")*ISNUMBER($H$10:$Z$10)*ISNUMBER(H55:Z55)) = 0,
         0,
         SUMPRODUCT(($H$9:$Z$9="CO3")*ISNUMBER($H$10:$Z$10)*ISNUMBER(H55:Z55)*H55:Z55) /
         SUMPRODUCT(($H$9:$Z$9="CO3")*ISNUMBER($H$10:$Z$10)*ISNUMBER(H55:Z55)*$H$10:$Z$10) * 0.85
       )
     ) * 100,
     ""
   )
)</f>
        <v>66.607142857142847</v>
      </c>
      <c r="AD55" s="1" cm="1">
        <f t="array" ref="AD55">IF(
   SUMPRODUCT(($C$9:$G$9="CO4")*ISNUMBER($C$10:$G$10)*ISNUMBER(C55:G55)) +
   SUMPRODUCT(($H$9:$Z$9="CO4")*ISNUMBER($H$10:$Z$10)*ISNUMBER(H55:Z55)) = 0,
   "",
   IFERROR(
     (
       IF(
         SUMPRODUCT(($C$9:$G$9="CO4")*ISNUMBER($C$10:$G$10)*ISNUMBER(C55:G55)) = 0,
         0,
         SUMPRODUCT(($C$9:$G$9="CO4")*ISNUMBER($C$10:$G$10)*ISNUMBER(C55:G55)*C55:G55) /
         SUMPRODUCT(($C$9:$G$9="CO4")*ISNUMBER($C$10:$G$10)*ISNUMBER(C55:G55)*$C$10:$G$10) * 0.15
       ) +
       IF(
         SUMPRODUCT(($H$9:$Z$9="CO4")*ISNUMBER($H$10:$Z$10)*ISNUMBER(H55:Z55)) = 0,
         0,
         SUMPRODUCT(($H$9:$Z$9="CO4")*ISNUMBER($H$10:$Z$10)*ISNUMBER(H55:Z55)*H55:Z55) /
         SUMPRODUCT(($H$9:$Z$9="CO4")*ISNUMBER($H$10:$Z$10)*ISNUMBER(H55:Z55)*$H$10:$Z$10) * 0.85
       )
     ) * 100,
     ""
   )
)</f>
        <v>23.166666666666664</v>
      </c>
      <c r="AE55" s="1" t="str" cm="1">
        <f t="array" ref="AE55">IF(
   SUMPRODUCT(($C$9:$G$9="CO5")*ISNUMBER($C$10:$G$10)*ISNUMBER(C55:G55)) +
   SUMPRODUCT(($H$9:$Z$9="CO5")*ISNUMBER($H$10:$Z$10)*ISNUMBER(H55:Z55)) = 0,
   "",
   IFERROR(
     (
       IF(
         SUMPRODUCT(($C$9:$G$9="CO5")*ISNUMBER($C$10:$G$10)*ISNUMBER(C55:G55)) = 0,
         0,
         SUMPRODUCT(($C$9:$G$9="CO5")*ISNUMBER($C$10:$G$10)*ISNUMBER(C55:G55)*C55:G55) /
         SUMPRODUCT(($C$9:$G$9="CO5")*ISNUMBER($C$10:$G$10)*ISNUMBER(C55:G55)*$C$10:$G$10) * 0.15
       ) +
       IF(
         SUMPRODUCT(($H$9:$Z$9="CO5")*ISNUMBER($H$10:$Z$10)*ISNUMBER(H55:Z55)) = 0,
         0,
         SUMPRODUCT(($H$9:$Z$9="CO5")*ISNUMBER($H$10:$Z$10)*ISNUMBER(H55:Z55)*H55:Z55) /
         SUMPRODUCT(($H$9:$Z$9="CO5")*ISNUMBER($H$10:$Z$10)*ISNUMBER(H55:Z55)*$H$10:$Z$10) * 0.85
       )
     ) * 100,
     ""
   )
)</f>
        <v/>
      </c>
      <c r="AF55" s="1" t="str" cm="1">
        <f t="array" ref="AF55">IF(
   SUMPRODUCT(($C$9:$G$9="CO6")*ISNUMBER($C$10:$G$10)*ISNUMBER(C55:G55)) +
   SUMPRODUCT(($H$9:$Z$9="CO6")*ISNUMBER($H$10:$Z$10)*ISNUMBER(H55:Z55)) = 0,
   "",
   IFERROR(
     (
       IF(
         SUMPRODUCT(($C$9:$G$9="CO6")*ISNUMBER($C$10:$G$10)*ISNUMBER(C55:G55)) = 0,
         0,
         SUMPRODUCT(($C$9:$G$9="CO6")*ISNUMBER($C$10:$G$10)*ISNUMBER(C55:G55)*C55:G55) /
         SUMPRODUCT(($C$9:$G$9="CO6")*ISNUMBER($C$10:$G$10)*ISNUMBER(C55:G55)*$C$10:$G$10) * 0.15
       ) +
       IF(
         SUMPRODUCT(($H$9:$Z$9="CO6")*ISNUMBER($H$10:$Z$10)*ISNUMBER(H55:Z55)) = 0,
         0,
         SUMPRODUCT(($H$9:$Z$9="CO6")*ISNUMBER($H$10:$Z$10)*ISNUMBER(H55:Z55)*H55:Z55) /
         SUMPRODUCT(($H$9:$Z$9="CO6")*ISNUMBER($H$10:$Z$10)*ISNUMBER(H55:Z55)*$H$10:$Z$10) * 0.85
       )
     ) * 100,
     ""
   )
)</f>
        <v/>
      </c>
      <c r="AG55" s="1" t="str" cm="1">
        <f t="array" ref="AG55">IF(
   SUMPRODUCT(($C$9:$G$9="CO7")*ISNUMBER($C$10:$G$10)*ISNUMBER(C55:G55)) +
   SUMPRODUCT(($H$9:$Z$9="CO7")*ISNUMBER($H$10:$Z$10)*ISNUMBER(H55:Z55)) = 0,
   "",
   IFERROR(
     (
       IF(
         SUMPRODUCT(($C$9:$G$9="CO7")*ISNUMBER($C$10:$G$10)*ISNUMBER(C55:G55)) = 0,
         0,
         SUMPRODUCT(($C$9:$G$9="CO7")*ISNUMBER($C$10:$G$10)*ISNUMBER(C55:G55)*C55:G55) /
         SUMPRODUCT(($C$9:$G$9="CO7")*ISNUMBER($C$10:$G$10)*ISNUMBER(C55:G55)*$C$10:$G$10) * 0.15
       ) +
       IF(
         SUMPRODUCT(($H$9:$Z$9="CO7")*ISNUMBER($H$10:$Z$10)*ISNUMBER(H55:Z55)) = 0,
         0,
         SUMPRODUCT(($H$9:$Z$9="CO7")*ISNUMBER($H$10:$Z$10)*ISNUMBER(H55:Z55)*H55:Z55) /
         SUMPRODUCT(($H$9:$Z$9="CO7")*ISNUMBER($H$10:$Z$10)*ISNUMBER(H55:Z55)*$H$10:$Z$10) * 0.85
       )
     ) * 100,
     ""
   )
)</f>
        <v/>
      </c>
      <c r="AH55" s="3" t="str" cm="1">
        <f t="array" ref="AH55">IF(
   SUMPRODUCT(($C$9:$G$9="CO8")*ISNUMBER($C$10:$G$10)*ISNUMBER(C55:G55)) +
   SUMPRODUCT(($H$9:$Z$9="CO8")*ISNUMBER($H$10:$Z$10)*ISNUMBER(H55:Z55)) = 0,
   "",
   IFERROR(
     (
       IF(
         SUMPRODUCT(($C$9:$G$9="CO8")*ISNUMBER($C$10:$G$10)*ISNUMBER(C55:G55)) = 0,
         0,
         SUMPRODUCT(($C$9:$G$9="CO8")*ISNUMBER($C$10:$G$10)*ISNUMBER(C55:G55)*C55:G55) /
         SUMPRODUCT(($C$9:$G$9="CO8")*ISNUMBER($C$10:$G$10)*ISNUMBER(C55:G55)*$C$10:$G$10) * 0.15
       ) +
       IF(
         SUMPRODUCT(($H$9:$Z$9="CO8")*ISNUMBER($H$10:$Z$10)*ISNUMBER(H55:Z55)) = 0,
         0,
         SUMPRODUCT(($H$9:$Z$9="CO8")*ISNUMBER($H$10:$Z$10)*ISNUMBER(H55:Z55)*H55:Z55) /
         SUMPRODUCT(($H$9:$Z$9="CO8")*ISNUMBER($H$10:$Z$10)*ISNUMBER(H55:Z55)*$H$10:$Z$10) * 0.85
       )
     ) * 100,
     ""
   )
)</f>
        <v/>
      </c>
      <c r="AI55" s="1" t="str">
        <f t="shared" si="10"/>
        <v>D</v>
      </c>
      <c r="AJ55" s="1" t="str">
        <f t="shared" si="11"/>
        <v>D</v>
      </c>
      <c r="AK55" s="1" t="str">
        <f t="shared" si="12"/>
        <v>First</v>
      </c>
      <c r="AL55" s="1" t="str">
        <f t="shared" si="4"/>
        <v>F</v>
      </c>
      <c r="AM55" s="1" t="str">
        <f t="shared" si="4"/>
        <v/>
      </c>
      <c r="AN55" s="1" t="str">
        <f t="shared" si="4"/>
        <v/>
      </c>
      <c r="AO55" s="1" t="str">
        <f t="shared" si="4"/>
        <v/>
      </c>
      <c r="AP55" s="1" t="str">
        <f t="shared" si="4"/>
        <v/>
      </c>
    </row>
    <row r="56" spans="1:42" ht="16.2" thickBot="1" x14ac:dyDescent="0.35">
      <c r="A56" s="62">
        <v>2508109</v>
      </c>
      <c r="B56" s="58" t="s">
        <v>153</v>
      </c>
      <c r="C56" s="77">
        <v>4</v>
      </c>
      <c r="D56" s="82">
        <v>4</v>
      </c>
      <c r="E56" s="88">
        <v>4</v>
      </c>
      <c r="F56" s="89">
        <v>3</v>
      </c>
      <c r="G56" s="89">
        <v>4</v>
      </c>
      <c r="H56" s="14">
        <v>0</v>
      </c>
      <c r="I56" s="14">
        <v>1</v>
      </c>
      <c r="J56" s="14">
        <v>1</v>
      </c>
      <c r="K56" s="14">
        <v>1</v>
      </c>
      <c r="L56" s="14">
        <v>1</v>
      </c>
      <c r="M56" s="14">
        <v>0</v>
      </c>
      <c r="N56" s="14">
        <v>0</v>
      </c>
      <c r="O56" s="14">
        <v>1</v>
      </c>
      <c r="P56" s="14">
        <v>0</v>
      </c>
      <c r="Q56" s="14">
        <v>0</v>
      </c>
      <c r="R56" s="14">
        <v>2</v>
      </c>
      <c r="S56" s="14">
        <v>0</v>
      </c>
      <c r="T56" s="14">
        <v>1</v>
      </c>
      <c r="U56" s="14">
        <v>0</v>
      </c>
      <c r="V56" s="14">
        <v>0</v>
      </c>
      <c r="W56" s="14">
        <v>0</v>
      </c>
      <c r="X56" s="98">
        <v>15</v>
      </c>
      <c r="Y56" s="99">
        <v>8</v>
      </c>
      <c r="Z56" s="89">
        <v>6</v>
      </c>
      <c r="AA56" s="1" cm="1">
        <f t="array" ref="AA56">IF(
   SUMPRODUCT(($C$9:$G$9="CO1")*ISNUMBER($C$10:$G$10)*ISNUMBER(C56:G56)) +
   SUMPRODUCT(($H$9:$Z$9="CO1")*ISNUMBER($H$10:$Z$10)*ISNUMBER(H56:Z56)) = 0,
   "",
   IFERROR(
     (
       IF(
         SUMPRODUCT(($C$9:$G$9="CO1")*ISNUMBER($C$10:$G$10)*ISNUMBER(C56:G56)) = 0,
         0,
         SUMPRODUCT(($C$9:$G$9="CO1")*ISNUMBER($C$10:$G$10)*ISNUMBER(C56:G56)*C56:G56) /
         SUMPRODUCT(($C$9:$G$9="CO1")*ISNUMBER($C$10:$G$10)*ISNUMBER(C56:G56)*$C$10:$G$10) * 0.15
       ) +
       IF(
         SUMPRODUCT(($H$9:$Z$9="CO1")*ISNUMBER($H$10:$Z$10)*ISNUMBER(H56:Z56)) = 0,
         0,
         SUMPRODUCT(($H$9:$Z$9="CO1")*ISNUMBER($H$10:$Z$10)*ISNUMBER(H56:Z56)*H56:Z56) /
         SUMPRODUCT(($H$9:$Z$9="CO1")*ISNUMBER($H$10:$Z$10)*ISNUMBER(H56:Z56)*$H$10:$Z$10) * 0.85
       )
     ) * 100,
     ""
   )
)</f>
        <v>59.222222222222221</v>
      </c>
      <c r="AB56" s="1" cm="1">
        <f t="array" ref="AB56">IF(
   SUMPRODUCT(($C$9:$G$9="CO2")*ISNUMBER($C$10:$G$10)*ISNUMBER(C56:G56)) +
   SUMPRODUCT(($H$9:$Z$9="CO2")*ISNUMBER($H$10:$Z$10)*ISNUMBER(H56:Z56)) = 0,
   "",
   IFERROR(
     (
       IF(
         SUMPRODUCT(($C$9:$G$9="CO2")*ISNUMBER($C$10:$G$10)*ISNUMBER(C56:G56)) = 0,
         0,
         SUMPRODUCT(($C$9:$G$9="CO2")*ISNUMBER($C$10:$G$10)*ISNUMBER(C56:G56)*C56:G56) /
         SUMPRODUCT(($C$9:$G$9="CO2")*ISNUMBER($C$10:$G$10)*ISNUMBER(C56:G56)*$C$10:$G$10) * 0.15
       ) +
       IF(
         SUMPRODUCT(($H$9:$Z$9="CO2")*ISNUMBER($H$10:$Z$10)*ISNUMBER(H56:Z56)) = 0,
         0,
         SUMPRODUCT(($H$9:$Z$9="CO2")*ISNUMBER($H$10:$Z$10)*ISNUMBER(H56:Z56)*H56:Z56) /
         SUMPRODUCT(($H$9:$Z$9="CO2")*ISNUMBER($H$10:$Z$10)*ISNUMBER(H56:Z56)*$H$10:$Z$10) * 0.85
       )
     ) * 100,
     ""
   )
)</f>
        <v>70.4375</v>
      </c>
      <c r="AC56" s="1" cm="1">
        <f t="array" ref="AC56">IF(
   SUMPRODUCT(($C$9:$G$9="CO3")*ISNUMBER($C$10:$G$10)*ISNUMBER(C56:G56)) +
   SUMPRODUCT(($H$9:$Z$9="CO3")*ISNUMBER($H$10:$Z$10)*ISNUMBER(H56:Z56)) = 0,
   "",
   IFERROR(
     (
       IF(
         SUMPRODUCT(($C$9:$G$9="CO3")*ISNUMBER($C$10:$G$10)*ISNUMBER(C56:G56)) = 0,
         0,
         SUMPRODUCT(($C$9:$G$9="CO3")*ISNUMBER($C$10:$G$10)*ISNUMBER(C56:G56)*C56:G56) /
         SUMPRODUCT(($C$9:$G$9="CO3")*ISNUMBER($C$10:$G$10)*ISNUMBER(C56:G56)*$C$10:$G$10) * 0.15
       ) +
       IF(
         SUMPRODUCT(($H$9:$Z$9="CO3")*ISNUMBER($H$10:$Z$10)*ISNUMBER(H56:Z56)) = 0,
         0,
         SUMPRODUCT(($H$9:$Z$9="CO3")*ISNUMBER($H$10:$Z$10)*ISNUMBER(H56:Z56)*H56:Z56) /
         SUMPRODUCT(($H$9:$Z$9="CO3")*ISNUMBER($H$10:$Z$10)*ISNUMBER(H56:Z56)*$H$10:$Z$10) * 0.85
       )
     ) * 100,
     ""
   )
)</f>
        <v>57.571428571428562</v>
      </c>
      <c r="AD56" s="1" cm="1">
        <f t="array" ref="AD56">IF(
   SUMPRODUCT(($C$9:$G$9="CO4")*ISNUMBER($C$10:$G$10)*ISNUMBER(C56:G56)) +
   SUMPRODUCT(($H$9:$Z$9="CO4")*ISNUMBER($H$10:$Z$10)*ISNUMBER(H56:Z56)) = 0,
   "",
   IFERROR(
     (
       IF(
         SUMPRODUCT(($C$9:$G$9="CO4")*ISNUMBER($C$10:$G$10)*ISNUMBER(C56:G56)) = 0,
         0,
         SUMPRODUCT(($C$9:$G$9="CO4")*ISNUMBER($C$10:$G$10)*ISNUMBER(C56:G56)*C56:G56) /
         SUMPRODUCT(($C$9:$G$9="CO4")*ISNUMBER($C$10:$G$10)*ISNUMBER(C56:G56)*$C$10:$G$10) * 0.15
       ) +
       IF(
         SUMPRODUCT(($H$9:$Z$9="CO4")*ISNUMBER($H$10:$Z$10)*ISNUMBER(H56:Z56)) = 0,
         0,
         SUMPRODUCT(($H$9:$Z$9="CO4")*ISNUMBER($H$10:$Z$10)*ISNUMBER(H56:Z56)*H56:Z56) /
         SUMPRODUCT(($H$9:$Z$9="CO4")*ISNUMBER($H$10:$Z$10)*ISNUMBER(H56:Z56)*$H$10:$Z$10) * 0.85
       )
     ) * 100,
     ""
   )
)</f>
        <v>12</v>
      </c>
      <c r="AE56" s="1" t="str" cm="1">
        <f t="array" ref="AE56">IF(
   SUMPRODUCT(($C$9:$G$9="CO5")*ISNUMBER($C$10:$G$10)*ISNUMBER(C56:G56)) +
   SUMPRODUCT(($H$9:$Z$9="CO5")*ISNUMBER($H$10:$Z$10)*ISNUMBER(H56:Z56)) = 0,
   "",
   IFERROR(
     (
       IF(
         SUMPRODUCT(($C$9:$G$9="CO5")*ISNUMBER($C$10:$G$10)*ISNUMBER(C56:G56)) = 0,
         0,
         SUMPRODUCT(($C$9:$G$9="CO5")*ISNUMBER($C$10:$G$10)*ISNUMBER(C56:G56)*C56:G56) /
         SUMPRODUCT(($C$9:$G$9="CO5")*ISNUMBER($C$10:$G$10)*ISNUMBER(C56:G56)*$C$10:$G$10) * 0.15
       ) +
       IF(
         SUMPRODUCT(($H$9:$Z$9="CO5")*ISNUMBER($H$10:$Z$10)*ISNUMBER(H56:Z56)) = 0,
         0,
         SUMPRODUCT(($H$9:$Z$9="CO5")*ISNUMBER($H$10:$Z$10)*ISNUMBER(H56:Z56)*H56:Z56) /
         SUMPRODUCT(($H$9:$Z$9="CO5")*ISNUMBER($H$10:$Z$10)*ISNUMBER(H56:Z56)*$H$10:$Z$10) * 0.85
       )
     ) * 100,
     ""
   )
)</f>
        <v/>
      </c>
      <c r="AF56" s="1" t="str" cm="1">
        <f t="array" ref="AF56">IF(
   SUMPRODUCT(($C$9:$G$9="CO6")*ISNUMBER($C$10:$G$10)*ISNUMBER(C56:G56)) +
   SUMPRODUCT(($H$9:$Z$9="CO6")*ISNUMBER($H$10:$Z$10)*ISNUMBER(H56:Z56)) = 0,
   "",
   IFERROR(
     (
       IF(
         SUMPRODUCT(($C$9:$G$9="CO6")*ISNUMBER($C$10:$G$10)*ISNUMBER(C56:G56)) = 0,
         0,
         SUMPRODUCT(($C$9:$G$9="CO6")*ISNUMBER($C$10:$G$10)*ISNUMBER(C56:G56)*C56:G56) /
         SUMPRODUCT(($C$9:$G$9="CO6")*ISNUMBER($C$10:$G$10)*ISNUMBER(C56:G56)*$C$10:$G$10) * 0.15
       ) +
       IF(
         SUMPRODUCT(($H$9:$Z$9="CO6")*ISNUMBER($H$10:$Z$10)*ISNUMBER(H56:Z56)) = 0,
         0,
         SUMPRODUCT(($H$9:$Z$9="CO6")*ISNUMBER($H$10:$Z$10)*ISNUMBER(H56:Z56)*H56:Z56) /
         SUMPRODUCT(($H$9:$Z$9="CO6")*ISNUMBER($H$10:$Z$10)*ISNUMBER(H56:Z56)*$H$10:$Z$10) * 0.85
       )
     ) * 100,
     ""
   )
)</f>
        <v/>
      </c>
      <c r="AG56" s="1" t="str" cm="1">
        <f t="array" ref="AG56">IF(
   SUMPRODUCT(($C$9:$G$9="CO7")*ISNUMBER($C$10:$G$10)*ISNUMBER(C56:G56)) +
   SUMPRODUCT(($H$9:$Z$9="CO7")*ISNUMBER($H$10:$Z$10)*ISNUMBER(H56:Z56)) = 0,
   "",
   IFERROR(
     (
       IF(
         SUMPRODUCT(($C$9:$G$9="CO7")*ISNUMBER($C$10:$G$10)*ISNUMBER(C56:G56)) = 0,
         0,
         SUMPRODUCT(($C$9:$G$9="CO7")*ISNUMBER($C$10:$G$10)*ISNUMBER(C56:G56)*C56:G56) /
         SUMPRODUCT(($C$9:$G$9="CO7")*ISNUMBER($C$10:$G$10)*ISNUMBER(C56:G56)*$C$10:$G$10) * 0.15
       ) +
       IF(
         SUMPRODUCT(($H$9:$Z$9="CO7")*ISNUMBER($H$10:$Z$10)*ISNUMBER(H56:Z56)) = 0,
         0,
         SUMPRODUCT(($H$9:$Z$9="CO7")*ISNUMBER($H$10:$Z$10)*ISNUMBER(H56:Z56)*H56:Z56) /
         SUMPRODUCT(($H$9:$Z$9="CO7")*ISNUMBER($H$10:$Z$10)*ISNUMBER(H56:Z56)*$H$10:$Z$10) * 0.85
       )
     ) * 100,
     ""
   )
)</f>
        <v/>
      </c>
      <c r="AH56" s="3" t="str" cm="1">
        <f t="array" ref="AH56">IF(
   SUMPRODUCT(($C$9:$G$9="CO8")*ISNUMBER($C$10:$G$10)*ISNUMBER(C56:G56)) +
   SUMPRODUCT(($H$9:$Z$9="CO8")*ISNUMBER($H$10:$Z$10)*ISNUMBER(H56:Z56)) = 0,
   "",
   IFERROR(
     (
       IF(
         SUMPRODUCT(($C$9:$G$9="CO8")*ISNUMBER($C$10:$G$10)*ISNUMBER(C56:G56)) = 0,
         0,
         SUMPRODUCT(($C$9:$G$9="CO8")*ISNUMBER($C$10:$G$10)*ISNUMBER(C56:G56)*C56:G56) /
         SUMPRODUCT(($C$9:$G$9="CO8")*ISNUMBER($C$10:$G$10)*ISNUMBER(C56:G56)*$C$10:$G$10) * 0.15
       ) +
       IF(
         SUMPRODUCT(($H$9:$Z$9="CO8")*ISNUMBER($H$10:$Z$10)*ISNUMBER(H56:Z56)) = 0,
         0,
         SUMPRODUCT(($H$9:$Z$9="CO8")*ISNUMBER($H$10:$Z$10)*ISNUMBER(H56:Z56)*H56:Z56) /
         SUMPRODUCT(($H$9:$Z$9="CO8")*ISNUMBER($H$10:$Z$10)*ISNUMBER(H56:Z56)*$H$10:$Z$10) * 0.85
       )
     ) * 100,
     ""
   )
)</f>
        <v/>
      </c>
      <c r="AI56" s="1" t="str">
        <f t="shared" si="10"/>
        <v>S</v>
      </c>
      <c r="AJ56" s="1" t="str">
        <f t="shared" si="11"/>
        <v>D</v>
      </c>
      <c r="AK56" s="1" t="str">
        <f t="shared" si="12"/>
        <v>S</v>
      </c>
      <c r="AL56" s="1" t="str">
        <f t="shared" si="4"/>
        <v>F</v>
      </c>
      <c r="AM56" s="1" t="str">
        <f t="shared" si="4"/>
        <v/>
      </c>
      <c r="AN56" s="1" t="str">
        <f t="shared" si="4"/>
        <v/>
      </c>
      <c r="AO56" s="1" t="str">
        <f t="shared" si="4"/>
        <v/>
      </c>
      <c r="AP56" s="1" t="str">
        <f t="shared" si="4"/>
        <v/>
      </c>
    </row>
    <row r="57" spans="1:42" ht="16.2" thickBot="1" x14ac:dyDescent="0.35">
      <c r="A57" s="62">
        <v>2508110</v>
      </c>
      <c r="B57" s="58" t="s">
        <v>154</v>
      </c>
      <c r="C57" s="77">
        <v>4</v>
      </c>
      <c r="D57" s="82">
        <v>3</v>
      </c>
      <c r="E57" s="88">
        <v>1.5</v>
      </c>
      <c r="F57" s="89">
        <v>5</v>
      </c>
      <c r="G57" s="89">
        <v>4</v>
      </c>
      <c r="H57" s="14">
        <v>0</v>
      </c>
      <c r="I57" s="14">
        <v>1</v>
      </c>
      <c r="J57" s="14">
        <v>1</v>
      </c>
      <c r="K57" s="14">
        <v>1</v>
      </c>
      <c r="L57" s="14">
        <v>1</v>
      </c>
      <c r="M57" s="14">
        <v>0</v>
      </c>
      <c r="N57" s="14">
        <v>2</v>
      </c>
      <c r="O57" s="14">
        <v>2</v>
      </c>
      <c r="P57" s="14">
        <v>0</v>
      </c>
      <c r="Q57" s="14">
        <v>0</v>
      </c>
      <c r="R57" s="14">
        <v>2</v>
      </c>
      <c r="S57" s="14">
        <v>0</v>
      </c>
      <c r="T57" s="14">
        <v>1</v>
      </c>
      <c r="U57" s="14">
        <v>1</v>
      </c>
      <c r="V57" s="14">
        <v>0</v>
      </c>
      <c r="W57" s="14">
        <v>1</v>
      </c>
      <c r="X57" s="98">
        <v>18</v>
      </c>
      <c r="Y57" s="99">
        <v>8</v>
      </c>
      <c r="Z57" s="89">
        <v>8</v>
      </c>
      <c r="AA57" s="1" cm="1">
        <f t="array" ref="AA57">IF(
   SUMPRODUCT(($C$9:$G$9="CO1")*ISNUMBER($C$10:$G$10)*ISNUMBER(C57:G57)) +
   SUMPRODUCT(($H$9:$Z$9="CO1")*ISNUMBER($H$10:$Z$10)*ISNUMBER(H57:Z57)) = 0,
   "",
   IFERROR(
     (
       IF(
         SUMPRODUCT(($C$9:$G$9="CO1")*ISNUMBER($C$10:$G$10)*ISNUMBER(C57:G57)) = 0,
         0,
         SUMPRODUCT(($C$9:$G$9="CO1")*ISNUMBER($C$10:$G$10)*ISNUMBER(C57:G57)*C57:G57) /
         SUMPRODUCT(($C$9:$G$9="CO1")*ISNUMBER($C$10:$G$10)*ISNUMBER(C57:G57)*$C$10:$G$10) * 0.15
       ) +
       IF(
         SUMPRODUCT(($H$9:$Z$9="CO1")*ISNUMBER($H$10:$Z$10)*ISNUMBER(H57:Z57)) = 0,
         0,
         SUMPRODUCT(($H$9:$Z$9="CO1")*ISNUMBER($H$10:$Z$10)*ISNUMBER(H57:Z57)*H57:Z57) /
         SUMPRODUCT(($H$9:$Z$9="CO1")*ISNUMBER($H$10:$Z$10)*ISNUMBER(H57:Z57)*$H$10:$Z$10) * 0.85
       )
     ) * 100,
     ""
   )
)</f>
        <v>78.111111111111114</v>
      </c>
      <c r="AB57" s="1" cm="1">
        <f t="array" ref="AB57">IF(
   SUMPRODUCT(($C$9:$G$9="CO2")*ISNUMBER($C$10:$G$10)*ISNUMBER(C57:G57)) +
   SUMPRODUCT(($H$9:$Z$9="CO2")*ISNUMBER($H$10:$Z$10)*ISNUMBER(H57:Z57)) = 0,
   "",
   IFERROR(
     (
       IF(
         SUMPRODUCT(($C$9:$G$9="CO2")*ISNUMBER($C$10:$G$10)*ISNUMBER(C57:G57)) = 0,
         0,
         SUMPRODUCT(($C$9:$G$9="CO2")*ISNUMBER($C$10:$G$10)*ISNUMBER(C57:G57)*C57:G57) /
         SUMPRODUCT(($C$9:$G$9="CO2")*ISNUMBER($C$10:$G$10)*ISNUMBER(C57:G57)*$C$10:$G$10) * 0.15
       ) +
       IF(
         SUMPRODUCT(($H$9:$Z$9="CO2")*ISNUMBER($H$10:$Z$10)*ISNUMBER(H57:Z57)) = 0,
         0,
         SUMPRODUCT(($H$9:$Z$9="CO2")*ISNUMBER($H$10:$Z$10)*ISNUMBER(H57:Z57)*H57:Z57) /
         SUMPRODUCT(($H$9:$Z$9="CO2")*ISNUMBER($H$10:$Z$10)*ISNUMBER(H57:Z57)*$H$10:$Z$10) * 0.85
       )
     ) * 100,
     ""
   )
)</f>
        <v>70.5</v>
      </c>
      <c r="AC57" s="1" cm="1">
        <f t="array" ref="AC57">IF(
   SUMPRODUCT(($C$9:$G$9="CO3")*ISNUMBER($C$10:$G$10)*ISNUMBER(C57:G57)) +
   SUMPRODUCT(($H$9:$Z$9="CO3")*ISNUMBER($H$10:$Z$10)*ISNUMBER(H57:Z57)) = 0,
   "",
   IFERROR(
     (
       IF(
         SUMPRODUCT(($C$9:$G$9="CO3")*ISNUMBER($C$10:$G$10)*ISNUMBER(C57:G57)) = 0,
         0,
         SUMPRODUCT(($C$9:$G$9="CO3")*ISNUMBER($C$10:$G$10)*ISNUMBER(C57:G57)*C57:G57) /
         SUMPRODUCT(($C$9:$G$9="CO3")*ISNUMBER($C$10:$G$10)*ISNUMBER(C57:G57)*$C$10:$G$10) * 0.15
       ) +
       IF(
         SUMPRODUCT(($H$9:$Z$9="CO3")*ISNUMBER($H$10:$Z$10)*ISNUMBER(H57:Z57)) = 0,
         0,
         SUMPRODUCT(($H$9:$Z$9="CO3")*ISNUMBER($H$10:$Z$10)*ISNUMBER(H57:Z57)*H57:Z57) /
         SUMPRODUCT(($H$9:$Z$9="CO3")*ISNUMBER($H$10:$Z$10)*ISNUMBER(H57:Z57)*$H$10:$Z$10) * 0.85
       )
     ) * 100,
     ""
   )
)</f>
        <v>72.678571428571431</v>
      </c>
      <c r="AD57" s="1" cm="1">
        <f t="array" ref="AD57">IF(
   SUMPRODUCT(($C$9:$G$9="CO4")*ISNUMBER($C$10:$G$10)*ISNUMBER(C57:G57)) +
   SUMPRODUCT(($H$9:$Z$9="CO4")*ISNUMBER($H$10:$Z$10)*ISNUMBER(H57:Z57)) = 0,
   "",
   IFERROR(
     (
       IF(
         SUMPRODUCT(($C$9:$G$9="CO4")*ISNUMBER($C$10:$G$10)*ISNUMBER(C57:G57)) = 0,
         0,
         SUMPRODUCT(($C$9:$G$9="CO4")*ISNUMBER($C$10:$G$10)*ISNUMBER(C57:G57)*C57:G57) /
         SUMPRODUCT(($C$9:$G$9="CO4")*ISNUMBER($C$10:$G$10)*ISNUMBER(C57:G57)*$C$10:$G$10) * 0.15
       ) +
       IF(
         SUMPRODUCT(($H$9:$Z$9="CO4")*ISNUMBER($H$10:$Z$10)*ISNUMBER(H57:Z57)) = 0,
         0,
         SUMPRODUCT(($H$9:$Z$9="CO4")*ISNUMBER($H$10:$Z$10)*ISNUMBER(H57:Z57)*H57:Z57) /
         SUMPRODUCT(($H$9:$Z$9="CO4")*ISNUMBER($H$10:$Z$10)*ISNUMBER(H57:Z57)*$H$10:$Z$10) * 0.85
       )
     ) * 100,
     ""
   )
)</f>
        <v>40.333333333333329</v>
      </c>
      <c r="AE57" s="1" t="str" cm="1">
        <f t="array" ref="AE57">IF(
   SUMPRODUCT(($C$9:$G$9="CO5")*ISNUMBER($C$10:$G$10)*ISNUMBER(C57:G57)) +
   SUMPRODUCT(($H$9:$Z$9="CO5")*ISNUMBER($H$10:$Z$10)*ISNUMBER(H57:Z57)) = 0,
   "",
   IFERROR(
     (
       IF(
         SUMPRODUCT(($C$9:$G$9="CO5")*ISNUMBER($C$10:$G$10)*ISNUMBER(C57:G57)) = 0,
         0,
         SUMPRODUCT(($C$9:$G$9="CO5")*ISNUMBER($C$10:$G$10)*ISNUMBER(C57:G57)*C57:G57) /
         SUMPRODUCT(($C$9:$G$9="CO5")*ISNUMBER($C$10:$G$10)*ISNUMBER(C57:G57)*$C$10:$G$10) * 0.15
       ) +
       IF(
         SUMPRODUCT(($H$9:$Z$9="CO5")*ISNUMBER($H$10:$Z$10)*ISNUMBER(H57:Z57)) = 0,
         0,
         SUMPRODUCT(($H$9:$Z$9="CO5")*ISNUMBER($H$10:$Z$10)*ISNUMBER(H57:Z57)*H57:Z57) /
         SUMPRODUCT(($H$9:$Z$9="CO5")*ISNUMBER($H$10:$Z$10)*ISNUMBER(H57:Z57)*$H$10:$Z$10) * 0.85
       )
     ) * 100,
     ""
   )
)</f>
        <v/>
      </c>
      <c r="AF57" s="1" t="str" cm="1">
        <f t="array" ref="AF57">IF(
   SUMPRODUCT(($C$9:$G$9="CO6")*ISNUMBER($C$10:$G$10)*ISNUMBER(C57:G57)) +
   SUMPRODUCT(($H$9:$Z$9="CO6")*ISNUMBER($H$10:$Z$10)*ISNUMBER(H57:Z57)) = 0,
   "",
   IFERROR(
     (
       IF(
         SUMPRODUCT(($C$9:$G$9="CO6")*ISNUMBER($C$10:$G$10)*ISNUMBER(C57:G57)) = 0,
         0,
         SUMPRODUCT(($C$9:$G$9="CO6")*ISNUMBER($C$10:$G$10)*ISNUMBER(C57:G57)*C57:G57) /
         SUMPRODUCT(($C$9:$G$9="CO6")*ISNUMBER($C$10:$G$10)*ISNUMBER(C57:G57)*$C$10:$G$10) * 0.15
       ) +
       IF(
         SUMPRODUCT(($H$9:$Z$9="CO6")*ISNUMBER($H$10:$Z$10)*ISNUMBER(H57:Z57)) = 0,
         0,
         SUMPRODUCT(($H$9:$Z$9="CO6")*ISNUMBER($H$10:$Z$10)*ISNUMBER(H57:Z57)*H57:Z57) /
         SUMPRODUCT(($H$9:$Z$9="CO6")*ISNUMBER($H$10:$Z$10)*ISNUMBER(H57:Z57)*$H$10:$Z$10) * 0.85
       )
     ) * 100,
     ""
   )
)</f>
        <v/>
      </c>
      <c r="AG57" s="1" t="str" cm="1">
        <f t="array" ref="AG57">IF(
   SUMPRODUCT(($C$9:$G$9="CO7")*ISNUMBER($C$10:$G$10)*ISNUMBER(C57:G57)) +
   SUMPRODUCT(($H$9:$Z$9="CO7")*ISNUMBER($H$10:$Z$10)*ISNUMBER(H57:Z57)) = 0,
   "",
   IFERROR(
     (
       IF(
         SUMPRODUCT(($C$9:$G$9="CO7")*ISNUMBER($C$10:$G$10)*ISNUMBER(C57:G57)) = 0,
         0,
         SUMPRODUCT(($C$9:$G$9="CO7")*ISNUMBER($C$10:$G$10)*ISNUMBER(C57:G57)*C57:G57) /
         SUMPRODUCT(($C$9:$G$9="CO7")*ISNUMBER($C$10:$G$10)*ISNUMBER(C57:G57)*$C$10:$G$10) * 0.15
       ) +
       IF(
         SUMPRODUCT(($H$9:$Z$9="CO7")*ISNUMBER($H$10:$Z$10)*ISNUMBER(H57:Z57)) = 0,
         0,
         SUMPRODUCT(($H$9:$Z$9="CO7")*ISNUMBER($H$10:$Z$10)*ISNUMBER(H57:Z57)*H57:Z57) /
         SUMPRODUCT(($H$9:$Z$9="CO7")*ISNUMBER($H$10:$Z$10)*ISNUMBER(H57:Z57)*$H$10:$Z$10) * 0.85
       )
     ) * 100,
     ""
   )
)</f>
        <v/>
      </c>
      <c r="AH57" s="3" t="str" cm="1">
        <f t="array" ref="AH57">IF(
   SUMPRODUCT(($C$9:$G$9="CO8")*ISNUMBER($C$10:$G$10)*ISNUMBER(C57:G57)) +
   SUMPRODUCT(($H$9:$Z$9="CO8")*ISNUMBER($H$10:$Z$10)*ISNUMBER(H57:Z57)) = 0,
   "",
   IFERROR(
     (
       IF(
         SUMPRODUCT(($C$9:$G$9="CO8")*ISNUMBER($C$10:$G$10)*ISNUMBER(C57:G57)) = 0,
         0,
         SUMPRODUCT(($C$9:$G$9="CO8")*ISNUMBER($C$10:$G$10)*ISNUMBER(C57:G57)*C57:G57) /
         SUMPRODUCT(($C$9:$G$9="CO8")*ISNUMBER($C$10:$G$10)*ISNUMBER(C57:G57)*$C$10:$G$10) * 0.15
       ) +
       IF(
         SUMPRODUCT(($H$9:$Z$9="CO8")*ISNUMBER($H$10:$Z$10)*ISNUMBER(H57:Z57)) = 0,
         0,
         SUMPRODUCT(($H$9:$Z$9="CO8")*ISNUMBER($H$10:$Z$10)*ISNUMBER(H57:Z57)*H57:Z57) /
         SUMPRODUCT(($H$9:$Z$9="CO8")*ISNUMBER($H$10:$Z$10)*ISNUMBER(H57:Z57)*$H$10:$Z$10) * 0.85
       )
     ) * 100,
     ""
   )
)</f>
        <v/>
      </c>
      <c r="AI57" s="1" t="str">
        <f t="shared" si="10"/>
        <v>D</v>
      </c>
      <c r="AJ57" s="1" t="str">
        <f t="shared" si="11"/>
        <v>D</v>
      </c>
      <c r="AK57" s="1" t="str">
        <f t="shared" si="12"/>
        <v>D</v>
      </c>
      <c r="AL57" s="1" t="str">
        <f t="shared" si="4"/>
        <v>P</v>
      </c>
      <c r="AM57" s="1" t="str">
        <f t="shared" si="4"/>
        <v/>
      </c>
      <c r="AN57" s="1" t="str">
        <f t="shared" si="4"/>
        <v/>
      </c>
      <c r="AO57" s="1" t="str">
        <f t="shared" si="4"/>
        <v/>
      </c>
      <c r="AP57" s="1" t="str">
        <f t="shared" si="4"/>
        <v/>
      </c>
    </row>
    <row r="58" spans="1:42" ht="16.2" thickBot="1" x14ac:dyDescent="0.35">
      <c r="A58" s="62">
        <v>2508111</v>
      </c>
      <c r="B58" s="58" t="s">
        <v>155</v>
      </c>
      <c r="C58" s="77">
        <v>2.5</v>
      </c>
      <c r="D58" s="83" t="s">
        <v>180</v>
      </c>
      <c r="E58" s="88">
        <v>1</v>
      </c>
      <c r="F58" s="89">
        <v>5</v>
      </c>
      <c r="G58" s="90" t="s">
        <v>180</v>
      </c>
      <c r="H58" s="14">
        <v>0</v>
      </c>
      <c r="I58" s="14">
        <v>1</v>
      </c>
      <c r="J58" s="14">
        <v>1</v>
      </c>
      <c r="K58" s="14">
        <v>1</v>
      </c>
      <c r="L58" s="14">
        <v>1</v>
      </c>
      <c r="M58" s="14">
        <v>0</v>
      </c>
      <c r="N58" s="14">
        <v>2</v>
      </c>
      <c r="O58" s="14">
        <v>0</v>
      </c>
      <c r="P58" s="14">
        <v>0</v>
      </c>
      <c r="Q58" s="14">
        <v>0</v>
      </c>
      <c r="R58" s="14">
        <v>0.5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98">
        <v>12</v>
      </c>
      <c r="Y58" s="99">
        <v>0</v>
      </c>
      <c r="Z58" s="89">
        <v>2</v>
      </c>
      <c r="AA58" s="1" t="str" cm="1">
        <f t="array" ref="AA58">IF(
   SUMPRODUCT(($C$9:$G$9="CO1")*ISNUMBER($C$10:$G$10)*ISNUMBER(C58:G58)) +
   SUMPRODUCT(($H$9:$Z$9="CO1")*ISNUMBER($H$10:$Z$10)*ISNUMBER(H58:Z58)) = 0,
   "",
   IFERROR(
     (
       IF(
         SUMPRODUCT(($C$9:$G$9="CO1")*ISNUMBER($C$10:$G$10)*ISNUMBER(C58:G58)) = 0,
         0,
         SUMPRODUCT(($C$9:$G$9="CO1")*ISNUMBER($C$10:$G$10)*ISNUMBER(C58:G58)*C58:G58) /
         SUMPRODUCT(($C$9:$G$9="CO1")*ISNUMBER($C$10:$G$10)*ISNUMBER(C58:G58)*$C$10:$G$10) * 0.15
       ) +
       IF(
         SUMPRODUCT(($H$9:$Z$9="CO1")*ISNUMBER($H$10:$Z$10)*ISNUMBER(H58:Z58)) = 0,
         0,
         SUMPRODUCT(($H$9:$Z$9="CO1")*ISNUMBER($H$10:$Z$10)*ISNUMBER(H58:Z58)*H58:Z58) /
         SUMPRODUCT(($H$9:$Z$9="CO1")*ISNUMBER($H$10:$Z$10)*ISNUMBER(H58:Z58)*$H$10:$Z$10) * 0.85
       )
     ) * 100,
     ""
   )
)</f>
        <v/>
      </c>
      <c r="AB58" s="1" t="str" cm="1">
        <f t="array" ref="AB58">IF(
   SUMPRODUCT(($C$9:$G$9="CO2")*ISNUMBER($C$10:$G$10)*ISNUMBER(C58:G58)) +
   SUMPRODUCT(($H$9:$Z$9="CO2")*ISNUMBER($H$10:$Z$10)*ISNUMBER(H58:Z58)) = 0,
   "",
   IFERROR(
     (
       IF(
         SUMPRODUCT(($C$9:$G$9="CO2")*ISNUMBER($C$10:$G$10)*ISNUMBER(C58:G58)) = 0,
         0,
         SUMPRODUCT(($C$9:$G$9="CO2")*ISNUMBER($C$10:$G$10)*ISNUMBER(C58:G58)*C58:G58) /
         SUMPRODUCT(($C$9:$G$9="CO2")*ISNUMBER($C$10:$G$10)*ISNUMBER(C58:G58)*$C$10:$G$10) * 0.15
       ) +
       IF(
         SUMPRODUCT(($H$9:$Z$9="CO2")*ISNUMBER($H$10:$Z$10)*ISNUMBER(H58:Z58)) = 0,
         0,
         SUMPRODUCT(($H$9:$Z$9="CO2")*ISNUMBER($H$10:$Z$10)*ISNUMBER(H58:Z58)*H58:Z58) /
         SUMPRODUCT(($H$9:$Z$9="CO2")*ISNUMBER($H$10:$Z$10)*ISNUMBER(H58:Z58)*$H$10:$Z$10) * 0.85
       )
     ) * 100,
     ""
   )
)</f>
        <v/>
      </c>
      <c r="AC58" s="1" t="str" cm="1">
        <f t="array" ref="AC58">IF(
   SUMPRODUCT(($C$9:$G$9="CO3")*ISNUMBER($C$10:$G$10)*ISNUMBER(C58:G58)) +
   SUMPRODUCT(($H$9:$Z$9="CO3")*ISNUMBER($H$10:$Z$10)*ISNUMBER(H58:Z58)) = 0,
   "",
   IFERROR(
     (
       IF(
         SUMPRODUCT(($C$9:$G$9="CO3")*ISNUMBER($C$10:$G$10)*ISNUMBER(C58:G58)) = 0,
         0,
         SUMPRODUCT(($C$9:$G$9="CO3")*ISNUMBER($C$10:$G$10)*ISNUMBER(C58:G58)*C58:G58) /
         SUMPRODUCT(($C$9:$G$9="CO3")*ISNUMBER($C$10:$G$10)*ISNUMBER(C58:G58)*$C$10:$G$10) * 0.15
       ) +
       IF(
         SUMPRODUCT(($H$9:$Z$9="CO3")*ISNUMBER($H$10:$Z$10)*ISNUMBER(H58:Z58)) = 0,
         0,
         SUMPRODUCT(($H$9:$Z$9="CO3")*ISNUMBER($H$10:$Z$10)*ISNUMBER(H58:Z58)*H58:Z58) /
         SUMPRODUCT(($H$9:$Z$9="CO3")*ISNUMBER($H$10:$Z$10)*ISNUMBER(H58:Z58)*$H$10:$Z$10) * 0.85
       )
     ) * 100,
     ""
   )
)</f>
        <v/>
      </c>
      <c r="AD58" s="1" cm="1">
        <f t="array" ref="AD58">IF(
   SUMPRODUCT(($C$9:$G$9="CO4")*ISNUMBER($C$10:$G$10)*ISNUMBER(C58:G58)) +
   SUMPRODUCT(($H$9:$Z$9="CO4")*ISNUMBER($H$10:$Z$10)*ISNUMBER(H58:Z58)) = 0,
   "",
   IFERROR(
     (
       IF(
         SUMPRODUCT(($C$9:$G$9="CO4")*ISNUMBER($C$10:$G$10)*ISNUMBER(C58:G58)) = 0,
         0,
         SUMPRODUCT(($C$9:$G$9="CO4")*ISNUMBER($C$10:$G$10)*ISNUMBER(C58:G58)*C58:G58) /
         SUMPRODUCT(($C$9:$G$9="CO4")*ISNUMBER($C$10:$G$10)*ISNUMBER(C58:G58)*$C$10:$G$10) * 0.15
       ) +
       IF(
         SUMPRODUCT(($H$9:$Z$9="CO4")*ISNUMBER($H$10:$Z$10)*ISNUMBER(H58:Z58)) = 0,
         0,
         SUMPRODUCT(($H$9:$Z$9="CO4")*ISNUMBER($H$10:$Z$10)*ISNUMBER(H58:Z58)*H58:Z58) /
         SUMPRODUCT(($H$9:$Z$9="CO4")*ISNUMBER($H$10:$Z$10)*ISNUMBER(H58:Z58)*$H$10:$Z$10) * 0.85
       )
     ) * 100,
     ""
   )
)</f>
        <v>0</v>
      </c>
      <c r="AE58" s="1" t="str" cm="1">
        <f t="array" ref="AE58">IF(
   SUMPRODUCT(($C$9:$G$9="CO5")*ISNUMBER($C$10:$G$10)*ISNUMBER(C58:G58)) +
   SUMPRODUCT(($H$9:$Z$9="CO5")*ISNUMBER($H$10:$Z$10)*ISNUMBER(H58:Z58)) = 0,
   "",
   IFERROR(
     (
       IF(
         SUMPRODUCT(($C$9:$G$9="CO5")*ISNUMBER($C$10:$G$10)*ISNUMBER(C58:G58)) = 0,
         0,
         SUMPRODUCT(($C$9:$G$9="CO5")*ISNUMBER($C$10:$G$10)*ISNUMBER(C58:G58)*C58:G58) /
         SUMPRODUCT(($C$9:$G$9="CO5")*ISNUMBER($C$10:$G$10)*ISNUMBER(C58:G58)*$C$10:$G$10) * 0.15
       ) +
       IF(
         SUMPRODUCT(($H$9:$Z$9="CO5")*ISNUMBER($H$10:$Z$10)*ISNUMBER(H58:Z58)) = 0,
         0,
         SUMPRODUCT(($H$9:$Z$9="CO5")*ISNUMBER($H$10:$Z$10)*ISNUMBER(H58:Z58)*H58:Z58) /
         SUMPRODUCT(($H$9:$Z$9="CO5")*ISNUMBER($H$10:$Z$10)*ISNUMBER(H58:Z58)*$H$10:$Z$10) * 0.85
       )
     ) * 100,
     ""
   )
)</f>
        <v/>
      </c>
      <c r="AF58" s="1" t="str" cm="1">
        <f t="array" ref="AF58">IF(
   SUMPRODUCT(($C$9:$G$9="CO6")*ISNUMBER($C$10:$G$10)*ISNUMBER(C58:G58)) +
   SUMPRODUCT(($H$9:$Z$9="CO6")*ISNUMBER($H$10:$Z$10)*ISNUMBER(H58:Z58)) = 0,
   "",
   IFERROR(
     (
       IF(
         SUMPRODUCT(($C$9:$G$9="CO6")*ISNUMBER($C$10:$G$10)*ISNUMBER(C58:G58)) = 0,
         0,
         SUMPRODUCT(($C$9:$G$9="CO6")*ISNUMBER($C$10:$G$10)*ISNUMBER(C58:G58)*C58:G58) /
         SUMPRODUCT(($C$9:$G$9="CO6")*ISNUMBER($C$10:$G$10)*ISNUMBER(C58:G58)*$C$10:$G$10) * 0.15
       ) +
       IF(
         SUMPRODUCT(($H$9:$Z$9="CO6")*ISNUMBER($H$10:$Z$10)*ISNUMBER(H58:Z58)) = 0,
         0,
         SUMPRODUCT(($H$9:$Z$9="CO6")*ISNUMBER($H$10:$Z$10)*ISNUMBER(H58:Z58)*H58:Z58) /
         SUMPRODUCT(($H$9:$Z$9="CO6")*ISNUMBER($H$10:$Z$10)*ISNUMBER(H58:Z58)*$H$10:$Z$10) * 0.85
       )
     ) * 100,
     ""
   )
)</f>
        <v/>
      </c>
      <c r="AG58" s="1" t="str" cm="1">
        <f t="array" ref="AG58">IF(
   SUMPRODUCT(($C$9:$G$9="CO7")*ISNUMBER($C$10:$G$10)*ISNUMBER(C58:G58)) +
   SUMPRODUCT(($H$9:$Z$9="CO7")*ISNUMBER($H$10:$Z$10)*ISNUMBER(H58:Z58)) = 0,
   "",
   IFERROR(
     (
       IF(
         SUMPRODUCT(($C$9:$G$9="CO7")*ISNUMBER($C$10:$G$10)*ISNUMBER(C58:G58)) = 0,
         0,
         SUMPRODUCT(($C$9:$G$9="CO7")*ISNUMBER($C$10:$G$10)*ISNUMBER(C58:G58)*C58:G58) /
         SUMPRODUCT(($C$9:$G$9="CO7")*ISNUMBER($C$10:$G$10)*ISNUMBER(C58:G58)*$C$10:$G$10) * 0.15
       ) +
       IF(
         SUMPRODUCT(($H$9:$Z$9="CO7")*ISNUMBER($H$10:$Z$10)*ISNUMBER(H58:Z58)) = 0,
         0,
         SUMPRODUCT(($H$9:$Z$9="CO7")*ISNUMBER($H$10:$Z$10)*ISNUMBER(H58:Z58)*H58:Z58) /
         SUMPRODUCT(($H$9:$Z$9="CO7")*ISNUMBER($H$10:$Z$10)*ISNUMBER(H58:Z58)*$H$10:$Z$10) * 0.85
       )
     ) * 100,
     ""
   )
)</f>
        <v/>
      </c>
      <c r="AH58" s="3" t="str" cm="1">
        <f t="array" ref="AH58">IF(
   SUMPRODUCT(($C$9:$G$9="CO8")*ISNUMBER($C$10:$G$10)*ISNUMBER(C58:G58)) +
   SUMPRODUCT(($H$9:$Z$9="CO8")*ISNUMBER($H$10:$Z$10)*ISNUMBER(H58:Z58)) = 0,
   "",
   IFERROR(
     (
       IF(
         SUMPRODUCT(($C$9:$G$9="CO8")*ISNUMBER($C$10:$G$10)*ISNUMBER(C58:G58)) = 0,
         0,
         SUMPRODUCT(($C$9:$G$9="CO8")*ISNUMBER($C$10:$G$10)*ISNUMBER(C58:G58)*C58:G58) /
         SUMPRODUCT(($C$9:$G$9="CO8")*ISNUMBER($C$10:$G$10)*ISNUMBER(C58:G58)*$C$10:$G$10) * 0.15
       ) +
       IF(
         SUMPRODUCT(($H$9:$Z$9="CO8")*ISNUMBER($H$10:$Z$10)*ISNUMBER(H58:Z58)) = 0,
         0,
         SUMPRODUCT(($H$9:$Z$9="CO8")*ISNUMBER($H$10:$Z$10)*ISNUMBER(H58:Z58)*H58:Z58) /
         SUMPRODUCT(($H$9:$Z$9="CO8")*ISNUMBER($H$10:$Z$10)*ISNUMBER(H58:Z58)*$H$10:$Z$10) * 0.85
       )
     ) * 100,
     ""
   )
)</f>
        <v/>
      </c>
      <c r="AI58" s="1" t="str">
        <f t="shared" si="10"/>
        <v/>
      </c>
      <c r="AJ58" s="1" t="str">
        <f t="shared" si="11"/>
        <v/>
      </c>
      <c r="AK58" s="1" t="str">
        <f t="shared" si="12"/>
        <v/>
      </c>
      <c r="AL58" s="1" t="str">
        <f t="shared" si="4"/>
        <v>F</v>
      </c>
      <c r="AM58" s="1" t="str">
        <f t="shared" si="4"/>
        <v/>
      </c>
      <c r="AN58" s="1" t="str">
        <f t="shared" si="4"/>
        <v/>
      </c>
      <c r="AO58" s="1" t="str">
        <f t="shared" si="4"/>
        <v/>
      </c>
      <c r="AP58" s="1" t="str">
        <f t="shared" si="4"/>
        <v/>
      </c>
    </row>
    <row r="59" spans="1:42" ht="16.2" thickBot="1" x14ac:dyDescent="0.35">
      <c r="A59" s="62">
        <v>2508112</v>
      </c>
      <c r="B59" s="58" t="s">
        <v>156</v>
      </c>
      <c r="C59" s="77">
        <v>3.5</v>
      </c>
      <c r="D59" s="82">
        <v>5</v>
      </c>
      <c r="E59" s="88">
        <v>2.5</v>
      </c>
      <c r="F59" s="89">
        <v>5</v>
      </c>
      <c r="G59" s="89">
        <v>4</v>
      </c>
      <c r="H59" s="14">
        <v>0</v>
      </c>
      <c r="I59" s="14">
        <v>1</v>
      </c>
      <c r="J59" s="14">
        <v>1</v>
      </c>
      <c r="K59" s="14">
        <v>1</v>
      </c>
      <c r="L59" s="14">
        <v>1</v>
      </c>
      <c r="M59" s="14">
        <v>0</v>
      </c>
      <c r="N59" s="14">
        <v>2</v>
      </c>
      <c r="O59" s="14">
        <v>1</v>
      </c>
      <c r="P59" s="14">
        <v>0</v>
      </c>
      <c r="Q59" s="14">
        <v>0</v>
      </c>
      <c r="R59" s="14">
        <v>1</v>
      </c>
      <c r="S59" s="14">
        <v>0</v>
      </c>
      <c r="T59" s="14">
        <v>1</v>
      </c>
      <c r="U59" s="14">
        <v>0</v>
      </c>
      <c r="V59" s="14">
        <v>0.5</v>
      </c>
      <c r="W59" s="14">
        <v>0</v>
      </c>
      <c r="X59" s="98">
        <v>14</v>
      </c>
      <c r="Y59" s="99">
        <v>8</v>
      </c>
      <c r="Z59" s="89">
        <v>3</v>
      </c>
      <c r="AA59" s="1" cm="1">
        <f t="array" ref="AA59">IF(
   SUMPRODUCT(($C$9:$G$9="CO1")*ISNUMBER($C$10:$G$10)*ISNUMBER(C59:G59)) +
   SUMPRODUCT(($H$9:$Z$9="CO1")*ISNUMBER($H$10:$Z$10)*ISNUMBER(H59:Z59)) = 0,
   "",
   IFERROR(
     (
       IF(
         SUMPRODUCT(($C$9:$G$9="CO1")*ISNUMBER($C$10:$G$10)*ISNUMBER(C59:G59)) = 0,
         0,
         SUMPRODUCT(($C$9:$G$9="CO1")*ISNUMBER($C$10:$G$10)*ISNUMBER(C59:G59)*C59:G59) /
         SUMPRODUCT(($C$9:$G$9="CO1")*ISNUMBER($C$10:$G$10)*ISNUMBER(C59:G59)*$C$10:$G$10) * 0.15
       ) +
       IF(
         SUMPRODUCT(($H$9:$Z$9="CO1")*ISNUMBER($H$10:$Z$10)*ISNUMBER(H59:Z59)) = 0,
         0,
         SUMPRODUCT(($H$9:$Z$9="CO1")*ISNUMBER($H$10:$Z$10)*ISNUMBER(H59:Z59)*H59:Z59) /
         SUMPRODUCT(($H$9:$Z$9="CO1")*ISNUMBER($H$10:$Z$10)*ISNUMBER(H59:Z59)*$H$10:$Z$10) * 0.85
       )
     ) * 100,
     ""
   )
)</f>
        <v>53</v>
      </c>
      <c r="AB59" s="1" cm="1">
        <f t="array" ref="AB59">IF(
   SUMPRODUCT(($C$9:$G$9="CO2")*ISNUMBER($C$10:$G$10)*ISNUMBER(C59:G59)) +
   SUMPRODUCT(($H$9:$Z$9="CO2")*ISNUMBER($H$10:$Z$10)*ISNUMBER(H59:Z59)) = 0,
   "",
   IFERROR(
     (
       IF(
         SUMPRODUCT(($C$9:$G$9="CO2")*ISNUMBER($C$10:$G$10)*ISNUMBER(C59:G59)) = 0,
         0,
         SUMPRODUCT(($C$9:$G$9="CO2")*ISNUMBER($C$10:$G$10)*ISNUMBER(C59:G59)*C59:G59) /
         SUMPRODUCT(($C$9:$G$9="CO2")*ISNUMBER($C$10:$G$10)*ISNUMBER(C59:G59)*$C$10:$G$10) * 0.15
       ) +
       IF(
         SUMPRODUCT(($H$9:$Z$9="CO2")*ISNUMBER($H$10:$Z$10)*ISNUMBER(H59:Z59)) = 0,
         0,
         SUMPRODUCT(($H$9:$Z$9="CO2")*ISNUMBER($H$10:$Z$10)*ISNUMBER(H59:Z59)*H59:Z59) /
         SUMPRODUCT(($H$9:$Z$9="CO2")*ISNUMBER($H$10:$Z$10)*ISNUMBER(H59:Z59)*$H$10:$Z$10) * 0.85
       )
     ) * 100,
     ""
   )
)</f>
        <v>64.375</v>
      </c>
      <c r="AC59" s="1" cm="1">
        <f t="array" ref="AC59">IF(
   SUMPRODUCT(($C$9:$G$9="CO3")*ISNUMBER($C$10:$G$10)*ISNUMBER(C59:G59)) +
   SUMPRODUCT(($H$9:$Z$9="CO3")*ISNUMBER($H$10:$Z$10)*ISNUMBER(H59:Z59)) = 0,
   "",
   IFERROR(
     (
       IF(
         SUMPRODUCT(($C$9:$G$9="CO3")*ISNUMBER($C$10:$G$10)*ISNUMBER(C59:G59)) = 0,
         0,
         SUMPRODUCT(($C$9:$G$9="CO3")*ISNUMBER($C$10:$G$10)*ISNUMBER(C59:G59)*C59:G59) /
         SUMPRODUCT(($C$9:$G$9="CO3")*ISNUMBER($C$10:$G$10)*ISNUMBER(C59:G59)*$C$10:$G$10) * 0.15
       ) +
       IF(
         SUMPRODUCT(($H$9:$Z$9="CO3")*ISNUMBER($H$10:$Z$10)*ISNUMBER(H59:Z59)) = 0,
         0,
         SUMPRODUCT(($H$9:$Z$9="CO3")*ISNUMBER($H$10:$Z$10)*ISNUMBER(H59:Z59)*H59:Z59) /
         SUMPRODUCT(($H$9:$Z$9="CO3")*ISNUMBER($H$10:$Z$10)*ISNUMBER(H59:Z59)*$H$10:$Z$10) * 0.85
       )
     ) * 100,
     ""
   )
)</f>
        <v>60.535714285714285</v>
      </c>
      <c r="AD59" s="1" cm="1">
        <f t="array" ref="AD59">IF(
   SUMPRODUCT(($C$9:$G$9="CO4")*ISNUMBER($C$10:$G$10)*ISNUMBER(C59:G59)) +
   SUMPRODUCT(($H$9:$Z$9="CO4")*ISNUMBER($H$10:$Z$10)*ISNUMBER(H59:Z59)) = 0,
   "",
   IFERROR(
     (
       IF(
         SUMPRODUCT(($C$9:$G$9="CO4")*ISNUMBER($C$10:$G$10)*ISNUMBER(C59:G59)) = 0,
         0,
         SUMPRODUCT(($C$9:$G$9="CO4")*ISNUMBER($C$10:$G$10)*ISNUMBER(C59:G59)*C59:G59) /
         SUMPRODUCT(($C$9:$G$9="CO4")*ISNUMBER($C$10:$G$10)*ISNUMBER(C59:G59)*$C$10:$G$10) * 0.15
       ) +
       IF(
         SUMPRODUCT(($H$9:$Z$9="CO4")*ISNUMBER($H$10:$Z$10)*ISNUMBER(H59:Z59)) = 0,
         0,
         SUMPRODUCT(($H$9:$Z$9="CO4")*ISNUMBER($H$10:$Z$10)*ISNUMBER(H59:Z59)*H59:Z59) /
         SUMPRODUCT(($H$9:$Z$9="CO4")*ISNUMBER($H$10:$Z$10)*ISNUMBER(H59:Z59)*$H$10:$Z$10) * 0.85
       )
     ) * 100,
     ""
   )
)</f>
        <v>19.083333333333332</v>
      </c>
      <c r="AE59" s="1" t="str" cm="1">
        <f t="array" ref="AE59">IF(
   SUMPRODUCT(($C$9:$G$9="CO5")*ISNUMBER($C$10:$G$10)*ISNUMBER(C59:G59)) +
   SUMPRODUCT(($H$9:$Z$9="CO5")*ISNUMBER($H$10:$Z$10)*ISNUMBER(H59:Z59)) = 0,
   "",
   IFERROR(
     (
       IF(
         SUMPRODUCT(($C$9:$G$9="CO5")*ISNUMBER($C$10:$G$10)*ISNUMBER(C59:G59)) = 0,
         0,
         SUMPRODUCT(($C$9:$G$9="CO5")*ISNUMBER($C$10:$G$10)*ISNUMBER(C59:G59)*C59:G59) /
         SUMPRODUCT(($C$9:$G$9="CO5")*ISNUMBER($C$10:$G$10)*ISNUMBER(C59:G59)*$C$10:$G$10) * 0.15
       ) +
       IF(
         SUMPRODUCT(($H$9:$Z$9="CO5")*ISNUMBER($H$10:$Z$10)*ISNUMBER(H59:Z59)) = 0,
         0,
         SUMPRODUCT(($H$9:$Z$9="CO5")*ISNUMBER($H$10:$Z$10)*ISNUMBER(H59:Z59)*H59:Z59) /
         SUMPRODUCT(($H$9:$Z$9="CO5")*ISNUMBER($H$10:$Z$10)*ISNUMBER(H59:Z59)*$H$10:$Z$10) * 0.85
       )
     ) * 100,
     ""
   )
)</f>
        <v/>
      </c>
      <c r="AF59" s="1" t="str" cm="1">
        <f t="array" ref="AF59">IF(
   SUMPRODUCT(($C$9:$G$9="CO6")*ISNUMBER($C$10:$G$10)*ISNUMBER(C59:G59)) +
   SUMPRODUCT(($H$9:$Z$9="CO6")*ISNUMBER($H$10:$Z$10)*ISNUMBER(H59:Z59)) = 0,
   "",
   IFERROR(
     (
       IF(
         SUMPRODUCT(($C$9:$G$9="CO6")*ISNUMBER($C$10:$G$10)*ISNUMBER(C59:G59)) = 0,
         0,
         SUMPRODUCT(($C$9:$G$9="CO6")*ISNUMBER($C$10:$G$10)*ISNUMBER(C59:G59)*C59:G59) /
         SUMPRODUCT(($C$9:$G$9="CO6")*ISNUMBER($C$10:$G$10)*ISNUMBER(C59:G59)*$C$10:$G$10) * 0.15
       ) +
       IF(
         SUMPRODUCT(($H$9:$Z$9="CO6")*ISNUMBER($H$10:$Z$10)*ISNUMBER(H59:Z59)) = 0,
         0,
         SUMPRODUCT(($H$9:$Z$9="CO6")*ISNUMBER($H$10:$Z$10)*ISNUMBER(H59:Z59)*H59:Z59) /
         SUMPRODUCT(($H$9:$Z$9="CO6")*ISNUMBER($H$10:$Z$10)*ISNUMBER(H59:Z59)*$H$10:$Z$10) * 0.85
       )
     ) * 100,
     ""
   )
)</f>
        <v/>
      </c>
      <c r="AG59" s="1" t="str" cm="1">
        <f t="array" ref="AG59">IF(
   SUMPRODUCT(($C$9:$G$9="CO7")*ISNUMBER($C$10:$G$10)*ISNUMBER(C59:G59)) +
   SUMPRODUCT(($H$9:$Z$9="CO7")*ISNUMBER($H$10:$Z$10)*ISNUMBER(H59:Z59)) = 0,
   "",
   IFERROR(
     (
       IF(
         SUMPRODUCT(($C$9:$G$9="CO7")*ISNUMBER($C$10:$G$10)*ISNUMBER(C59:G59)) = 0,
         0,
         SUMPRODUCT(($C$9:$G$9="CO7")*ISNUMBER($C$10:$G$10)*ISNUMBER(C59:G59)*C59:G59) /
         SUMPRODUCT(($C$9:$G$9="CO7")*ISNUMBER($C$10:$G$10)*ISNUMBER(C59:G59)*$C$10:$G$10) * 0.15
       ) +
       IF(
         SUMPRODUCT(($H$9:$Z$9="CO7")*ISNUMBER($H$10:$Z$10)*ISNUMBER(H59:Z59)) = 0,
         0,
         SUMPRODUCT(($H$9:$Z$9="CO7")*ISNUMBER($H$10:$Z$10)*ISNUMBER(H59:Z59)*H59:Z59) /
         SUMPRODUCT(($H$9:$Z$9="CO7")*ISNUMBER($H$10:$Z$10)*ISNUMBER(H59:Z59)*$H$10:$Z$10) * 0.85
       )
     ) * 100,
     ""
   )
)</f>
        <v/>
      </c>
      <c r="AH59" s="3" t="str" cm="1">
        <f t="array" ref="AH59">IF(
   SUMPRODUCT(($C$9:$G$9="CO8")*ISNUMBER($C$10:$G$10)*ISNUMBER(C59:G59)) +
   SUMPRODUCT(($H$9:$Z$9="CO8")*ISNUMBER($H$10:$Z$10)*ISNUMBER(H59:Z59)) = 0,
   "",
   IFERROR(
     (
       IF(
         SUMPRODUCT(($C$9:$G$9="CO8")*ISNUMBER($C$10:$G$10)*ISNUMBER(C59:G59)) = 0,
         0,
         SUMPRODUCT(($C$9:$G$9="CO8")*ISNUMBER($C$10:$G$10)*ISNUMBER(C59:G59)*C59:G59) /
         SUMPRODUCT(($C$9:$G$9="CO8")*ISNUMBER($C$10:$G$10)*ISNUMBER(C59:G59)*$C$10:$G$10) * 0.15
       ) +
       IF(
         SUMPRODUCT(($H$9:$Z$9="CO8")*ISNUMBER($H$10:$Z$10)*ISNUMBER(H59:Z59)) = 0,
         0,
         SUMPRODUCT(($H$9:$Z$9="CO8")*ISNUMBER($H$10:$Z$10)*ISNUMBER(H59:Z59)*H59:Z59) /
         SUMPRODUCT(($H$9:$Z$9="CO8")*ISNUMBER($H$10:$Z$10)*ISNUMBER(H59:Z59)*$H$10:$Z$10) * 0.85
       )
     ) * 100,
     ""
   )
)</f>
        <v/>
      </c>
      <c r="AI59" s="1" t="str">
        <f t="shared" si="10"/>
        <v>S</v>
      </c>
      <c r="AJ59" s="1" t="str">
        <f t="shared" si="11"/>
        <v>First</v>
      </c>
      <c r="AK59" s="1" t="str">
        <f t="shared" si="12"/>
        <v>First</v>
      </c>
      <c r="AL59" s="1" t="str">
        <f t="shared" si="4"/>
        <v>F</v>
      </c>
      <c r="AM59" s="1" t="str">
        <f t="shared" si="4"/>
        <v/>
      </c>
      <c r="AN59" s="1" t="str">
        <f t="shared" si="4"/>
        <v/>
      </c>
      <c r="AO59" s="1" t="str">
        <f t="shared" si="4"/>
        <v/>
      </c>
      <c r="AP59" s="1" t="str">
        <f t="shared" si="4"/>
        <v/>
      </c>
    </row>
    <row r="60" spans="1:42" ht="16.2" thickBot="1" x14ac:dyDescent="0.35">
      <c r="A60" s="62">
        <v>2508113</v>
      </c>
      <c r="B60" s="58" t="s">
        <v>157</v>
      </c>
      <c r="C60" s="77">
        <v>2.5</v>
      </c>
      <c r="D60" s="82">
        <v>3</v>
      </c>
      <c r="E60" s="88">
        <v>2.5</v>
      </c>
      <c r="F60" s="89">
        <v>5</v>
      </c>
      <c r="G60" s="90" t="s">
        <v>180</v>
      </c>
      <c r="H60" s="14">
        <v>0</v>
      </c>
      <c r="I60" s="14">
        <v>1</v>
      </c>
      <c r="J60" s="14">
        <v>1</v>
      </c>
      <c r="K60" s="14">
        <v>1</v>
      </c>
      <c r="L60" s="14">
        <v>1</v>
      </c>
      <c r="M60" s="14">
        <v>0</v>
      </c>
      <c r="N60" s="14">
        <v>2</v>
      </c>
      <c r="O60" s="14">
        <v>0</v>
      </c>
      <c r="P60" s="14">
        <v>2</v>
      </c>
      <c r="Q60" s="14">
        <v>0</v>
      </c>
      <c r="R60" s="14">
        <v>0.5</v>
      </c>
      <c r="S60" s="14">
        <v>1</v>
      </c>
      <c r="T60" s="14">
        <v>1</v>
      </c>
      <c r="U60" s="14">
        <v>2</v>
      </c>
      <c r="V60" s="14">
        <v>0.5</v>
      </c>
      <c r="W60" s="14">
        <v>0</v>
      </c>
      <c r="X60" s="98">
        <v>14</v>
      </c>
      <c r="Y60" s="99">
        <v>0</v>
      </c>
      <c r="Z60" s="89">
        <v>2</v>
      </c>
      <c r="AA60" s="1" t="str" cm="1">
        <f t="array" ref="AA60">IF(
   SUMPRODUCT(($C$9:$G$9="CO1")*ISNUMBER($C$10:$G$10)*ISNUMBER(C60:G60)) +
   SUMPRODUCT(($H$9:$Z$9="CO1")*ISNUMBER($H$10:$Z$10)*ISNUMBER(H60:Z60)) = 0,
   "",
   IFERROR(
     (
       IF(
         SUMPRODUCT(($C$9:$G$9="CO1")*ISNUMBER($C$10:$G$10)*ISNUMBER(C60:G60)) = 0,
         0,
         SUMPRODUCT(($C$9:$G$9="CO1")*ISNUMBER($C$10:$G$10)*ISNUMBER(C60:G60)*C60:G60) /
         SUMPRODUCT(($C$9:$G$9="CO1")*ISNUMBER($C$10:$G$10)*ISNUMBER(C60:G60)*$C$10:$G$10) * 0.15
       ) +
       IF(
         SUMPRODUCT(($H$9:$Z$9="CO1")*ISNUMBER($H$10:$Z$10)*ISNUMBER(H60:Z60)) = 0,
         0,
         SUMPRODUCT(($H$9:$Z$9="CO1")*ISNUMBER($H$10:$Z$10)*ISNUMBER(H60:Z60)*H60:Z60) /
         SUMPRODUCT(($H$9:$Z$9="CO1")*ISNUMBER($H$10:$Z$10)*ISNUMBER(H60:Z60)*$H$10:$Z$10) * 0.85
       )
     ) * 100,
     ""
   )
)</f>
        <v/>
      </c>
      <c r="AB60" s="1" t="str" cm="1">
        <f t="array" ref="AB60">IF(
   SUMPRODUCT(($C$9:$G$9="CO2")*ISNUMBER($C$10:$G$10)*ISNUMBER(C60:G60)) +
   SUMPRODUCT(($H$9:$Z$9="CO2")*ISNUMBER($H$10:$Z$10)*ISNUMBER(H60:Z60)) = 0,
   "",
   IFERROR(
     (
       IF(
         SUMPRODUCT(($C$9:$G$9="CO2")*ISNUMBER($C$10:$G$10)*ISNUMBER(C60:G60)) = 0,
         0,
         SUMPRODUCT(($C$9:$G$9="CO2")*ISNUMBER($C$10:$G$10)*ISNUMBER(C60:G60)*C60:G60) /
         SUMPRODUCT(($C$9:$G$9="CO2")*ISNUMBER($C$10:$G$10)*ISNUMBER(C60:G60)*$C$10:$G$10) * 0.15
       ) +
       IF(
         SUMPRODUCT(($H$9:$Z$9="CO2")*ISNUMBER($H$10:$Z$10)*ISNUMBER(H60:Z60)) = 0,
         0,
         SUMPRODUCT(($H$9:$Z$9="CO2")*ISNUMBER($H$10:$Z$10)*ISNUMBER(H60:Z60)*H60:Z60) /
         SUMPRODUCT(($H$9:$Z$9="CO2")*ISNUMBER($H$10:$Z$10)*ISNUMBER(H60:Z60)*$H$10:$Z$10) * 0.85
       )
     ) * 100,
     ""
   )
)</f>
        <v/>
      </c>
      <c r="AC60" s="1" t="str" cm="1">
        <f t="array" ref="AC60">IF(
   SUMPRODUCT(($C$9:$G$9="CO3")*ISNUMBER($C$10:$G$10)*ISNUMBER(C60:G60)) +
   SUMPRODUCT(($H$9:$Z$9="CO3")*ISNUMBER($H$10:$Z$10)*ISNUMBER(H60:Z60)) = 0,
   "",
   IFERROR(
     (
       IF(
         SUMPRODUCT(($C$9:$G$9="CO3")*ISNUMBER($C$10:$G$10)*ISNUMBER(C60:G60)) = 0,
         0,
         SUMPRODUCT(($C$9:$G$9="CO3")*ISNUMBER($C$10:$G$10)*ISNUMBER(C60:G60)*C60:G60) /
         SUMPRODUCT(($C$9:$G$9="CO3")*ISNUMBER($C$10:$G$10)*ISNUMBER(C60:G60)*$C$10:$G$10) * 0.15
       ) +
       IF(
         SUMPRODUCT(($H$9:$Z$9="CO3")*ISNUMBER($H$10:$Z$10)*ISNUMBER(H60:Z60)) = 0,
         0,
         SUMPRODUCT(($H$9:$Z$9="CO3")*ISNUMBER($H$10:$Z$10)*ISNUMBER(H60:Z60)*H60:Z60) /
         SUMPRODUCT(($H$9:$Z$9="CO3")*ISNUMBER($H$10:$Z$10)*ISNUMBER(H60:Z60)*$H$10:$Z$10) * 0.85
       )
     ) * 100,
     ""
   )
)</f>
        <v/>
      </c>
      <c r="AD60" s="1" cm="1">
        <f t="array" ref="AD60">IF(
   SUMPRODUCT(($C$9:$G$9="CO4")*ISNUMBER($C$10:$G$10)*ISNUMBER(C60:G60)) +
   SUMPRODUCT(($H$9:$Z$9="CO4")*ISNUMBER($H$10:$Z$10)*ISNUMBER(H60:Z60)) = 0,
   "",
   IFERROR(
     (
       IF(
         SUMPRODUCT(($C$9:$G$9="CO4")*ISNUMBER($C$10:$G$10)*ISNUMBER(C60:G60)) = 0,
         0,
         SUMPRODUCT(($C$9:$G$9="CO4")*ISNUMBER($C$10:$G$10)*ISNUMBER(C60:G60)*C60:G60) /
         SUMPRODUCT(($C$9:$G$9="CO4")*ISNUMBER($C$10:$G$10)*ISNUMBER(C60:G60)*$C$10:$G$10) * 0.15
       ) +
       IF(
         SUMPRODUCT(($H$9:$Z$9="CO4")*ISNUMBER($H$10:$Z$10)*ISNUMBER(H60:Z60)) = 0,
         0,
         SUMPRODUCT(($H$9:$Z$9="CO4")*ISNUMBER($H$10:$Z$10)*ISNUMBER(H60:Z60)*H60:Z60) /
         SUMPRODUCT(($H$9:$Z$9="CO4")*ISNUMBER($H$10:$Z$10)*ISNUMBER(H60:Z60)*$H$10:$Z$10) * 0.85
       )
     ) * 100,
     ""
   )
)</f>
        <v>35.416666666666671</v>
      </c>
      <c r="AE60" s="1" t="str" cm="1">
        <f t="array" ref="AE60">IF(
   SUMPRODUCT(($C$9:$G$9="CO5")*ISNUMBER($C$10:$G$10)*ISNUMBER(C60:G60)) +
   SUMPRODUCT(($H$9:$Z$9="CO5")*ISNUMBER($H$10:$Z$10)*ISNUMBER(H60:Z60)) = 0,
   "",
   IFERROR(
     (
       IF(
         SUMPRODUCT(($C$9:$G$9="CO5")*ISNUMBER($C$10:$G$10)*ISNUMBER(C60:G60)) = 0,
         0,
         SUMPRODUCT(($C$9:$G$9="CO5")*ISNUMBER($C$10:$G$10)*ISNUMBER(C60:G60)*C60:G60) /
         SUMPRODUCT(($C$9:$G$9="CO5")*ISNUMBER($C$10:$G$10)*ISNUMBER(C60:G60)*$C$10:$G$10) * 0.15
       ) +
       IF(
         SUMPRODUCT(($H$9:$Z$9="CO5")*ISNUMBER($H$10:$Z$10)*ISNUMBER(H60:Z60)) = 0,
         0,
         SUMPRODUCT(($H$9:$Z$9="CO5")*ISNUMBER($H$10:$Z$10)*ISNUMBER(H60:Z60)*H60:Z60) /
         SUMPRODUCT(($H$9:$Z$9="CO5")*ISNUMBER($H$10:$Z$10)*ISNUMBER(H60:Z60)*$H$10:$Z$10) * 0.85
       )
     ) * 100,
     ""
   )
)</f>
        <v/>
      </c>
      <c r="AF60" s="1" t="str" cm="1">
        <f t="array" ref="AF60">IF(
   SUMPRODUCT(($C$9:$G$9="CO6")*ISNUMBER($C$10:$G$10)*ISNUMBER(C60:G60)) +
   SUMPRODUCT(($H$9:$Z$9="CO6")*ISNUMBER($H$10:$Z$10)*ISNUMBER(H60:Z60)) = 0,
   "",
   IFERROR(
     (
       IF(
         SUMPRODUCT(($C$9:$G$9="CO6")*ISNUMBER($C$10:$G$10)*ISNUMBER(C60:G60)) = 0,
         0,
         SUMPRODUCT(($C$9:$G$9="CO6")*ISNUMBER($C$10:$G$10)*ISNUMBER(C60:G60)*C60:G60) /
         SUMPRODUCT(($C$9:$G$9="CO6")*ISNUMBER($C$10:$G$10)*ISNUMBER(C60:G60)*$C$10:$G$10) * 0.15
       ) +
       IF(
         SUMPRODUCT(($H$9:$Z$9="CO6")*ISNUMBER($H$10:$Z$10)*ISNUMBER(H60:Z60)) = 0,
         0,
         SUMPRODUCT(($H$9:$Z$9="CO6")*ISNUMBER($H$10:$Z$10)*ISNUMBER(H60:Z60)*H60:Z60) /
         SUMPRODUCT(($H$9:$Z$9="CO6")*ISNUMBER($H$10:$Z$10)*ISNUMBER(H60:Z60)*$H$10:$Z$10) * 0.85
       )
     ) * 100,
     ""
   )
)</f>
        <v/>
      </c>
      <c r="AG60" s="1" t="str" cm="1">
        <f t="array" ref="AG60">IF(
   SUMPRODUCT(($C$9:$G$9="CO7")*ISNUMBER($C$10:$G$10)*ISNUMBER(C60:G60)) +
   SUMPRODUCT(($H$9:$Z$9="CO7")*ISNUMBER($H$10:$Z$10)*ISNUMBER(H60:Z60)) = 0,
   "",
   IFERROR(
     (
       IF(
         SUMPRODUCT(($C$9:$G$9="CO7")*ISNUMBER($C$10:$G$10)*ISNUMBER(C60:G60)) = 0,
         0,
         SUMPRODUCT(($C$9:$G$9="CO7")*ISNUMBER($C$10:$G$10)*ISNUMBER(C60:G60)*C60:G60) /
         SUMPRODUCT(($C$9:$G$9="CO7")*ISNUMBER($C$10:$G$10)*ISNUMBER(C60:G60)*$C$10:$G$10) * 0.15
       ) +
       IF(
         SUMPRODUCT(($H$9:$Z$9="CO7")*ISNUMBER($H$10:$Z$10)*ISNUMBER(H60:Z60)) = 0,
         0,
         SUMPRODUCT(($H$9:$Z$9="CO7")*ISNUMBER($H$10:$Z$10)*ISNUMBER(H60:Z60)*H60:Z60) /
         SUMPRODUCT(($H$9:$Z$9="CO7")*ISNUMBER($H$10:$Z$10)*ISNUMBER(H60:Z60)*$H$10:$Z$10) * 0.85
       )
     ) * 100,
     ""
   )
)</f>
        <v/>
      </c>
      <c r="AH60" s="3" t="str" cm="1">
        <f t="array" ref="AH60">IF(
   SUMPRODUCT(($C$9:$G$9="CO8")*ISNUMBER($C$10:$G$10)*ISNUMBER(C60:G60)) +
   SUMPRODUCT(($H$9:$Z$9="CO8")*ISNUMBER($H$10:$Z$10)*ISNUMBER(H60:Z60)) = 0,
   "",
   IFERROR(
     (
       IF(
         SUMPRODUCT(($C$9:$G$9="CO8")*ISNUMBER($C$10:$G$10)*ISNUMBER(C60:G60)) = 0,
         0,
         SUMPRODUCT(($C$9:$G$9="CO8")*ISNUMBER($C$10:$G$10)*ISNUMBER(C60:G60)*C60:G60) /
         SUMPRODUCT(($C$9:$G$9="CO8")*ISNUMBER($C$10:$G$10)*ISNUMBER(C60:G60)*$C$10:$G$10) * 0.15
       ) +
       IF(
         SUMPRODUCT(($H$9:$Z$9="CO8")*ISNUMBER($H$10:$Z$10)*ISNUMBER(H60:Z60)) = 0,
         0,
         SUMPRODUCT(($H$9:$Z$9="CO8")*ISNUMBER($H$10:$Z$10)*ISNUMBER(H60:Z60)*H60:Z60) /
         SUMPRODUCT(($H$9:$Z$9="CO8")*ISNUMBER($H$10:$Z$10)*ISNUMBER(H60:Z60)*$H$10:$Z$10) * 0.85
       )
     ) * 100,
     ""
   )
)</f>
        <v/>
      </c>
      <c r="AI60" s="1" t="str">
        <f t="shared" si="10"/>
        <v/>
      </c>
      <c r="AJ60" s="1" t="str">
        <f t="shared" si="11"/>
        <v/>
      </c>
      <c r="AK60" s="1" t="str">
        <f t="shared" si="12"/>
        <v/>
      </c>
      <c r="AL60" s="1" t="str">
        <f t="shared" si="4"/>
        <v>F</v>
      </c>
      <c r="AM60" s="1" t="str">
        <f t="shared" si="4"/>
        <v/>
      </c>
      <c r="AN60" s="1" t="str">
        <f t="shared" si="4"/>
        <v/>
      </c>
      <c r="AO60" s="1" t="str">
        <f t="shared" si="4"/>
        <v/>
      </c>
      <c r="AP60" s="1" t="str">
        <f t="shared" si="4"/>
        <v/>
      </c>
    </row>
    <row r="61" spans="1:42" ht="16.2" thickBot="1" x14ac:dyDescent="0.35">
      <c r="A61" s="62">
        <v>2508114</v>
      </c>
      <c r="B61" s="59" t="s">
        <v>158</v>
      </c>
      <c r="C61" s="77">
        <v>2.5</v>
      </c>
      <c r="D61" s="82">
        <v>5</v>
      </c>
      <c r="E61" s="88">
        <v>3.5</v>
      </c>
      <c r="F61" s="89">
        <v>5</v>
      </c>
      <c r="G61" s="89">
        <v>4</v>
      </c>
      <c r="H61" s="14">
        <v>0</v>
      </c>
      <c r="I61" s="14">
        <v>1</v>
      </c>
      <c r="J61" s="14">
        <v>1</v>
      </c>
      <c r="K61" s="14">
        <v>1</v>
      </c>
      <c r="L61" s="14">
        <v>1</v>
      </c>
      <c r="M61" s="14">
        <v>1</v>
      </c>
      <c r="N61" s="14">
        <v>0</v>
      </c>
      <c r="O61" s="14">
        <v>1</v>
      </c>
      <c r="P61" s="14">
        <v>2</v>
      </c>
      <c r="Q61" s="14">
        <v>0</v>
      </c>
      <c r="R61" s="14">
        <v>1</v>
      </c>
      <c r="S61" s="14">
        <v>0</v>
      </c>
      <c r="T61" s="14">
        <v>2</v>
      </c>
      <c r="U61" s="14">
        <v>1</v>
      </c>
      <c r="V61" s="14">
        <v>0</v>
      </c>
      <c r="W61" s="14">
        <v>0.5</v>
      </c>
      <c r="X61" s="98">
        <v>16</v>
      </c>
      <c r="Y61" s="99">
        <v>0</v>
      </c>
      <c r="Z61" s="89">
        <v>5</v>
      </c>
      <c r="AA61" s="1" cm="1">
        <f t="array" ref="AA61">IF(
   SUMPRODUCT(($C$9:$G$9="CO1")*ISNUMBER($C$10:$G$10)*ISNUMBER(C61:G61)) +
   SUMPRODUCT(($H$9:$Z$9="CO1")*ISNUMBER($H$10:$Z$10)*ISNUMBER(H61:Z61)) = 0,
   "",
   IFERROR(
     (
       IF(
         SUMPRODUCT(($C$9:$G$9="CO1")*ISNUMBER($C$10:$G$10)*ISNUMBER(C61:G61)) = 0,
         0,
         SUMPRODUCT(($C$9:$G$9="CO1")*ISNUMBER($C$10:$G$10)*ISNUMBER(C61:G61)*C61:G61) /
         SUMPRODUCT(($C$9:$G$9="CO1")*ISNUMBER($C$10:$G$10)*ISNUMBER(C61:G61)*$C$10:$G$10) * 0.15
       ) +
       IF(
         SUMPRODUCT(($H$9:$Z$9="CO1")*ISNUMBER($H$10:$Z$10)*ISNUMBER(H61:Z61)) = 0,
         0,
         SUMPRODUCT(($H$9:$Z$9="CO1")*ISNUMBER($H$10:$Z$10)*ISNUMBER(H61:Z61)*H61:Z61) /
         SUMPRODUCT(($H$9:$Z$9="CO1")*ISNUMBER($H$10:$Z$10)*ISNUMBER(H61:Z61)*$H$10:$Z$10) * 0.85
       )
     ) * 100,
     ""
   )
)</f>
        <v>54.722222222222214</v>
      </c>
      <c r="AB61" s="1" cm="1">
        <f t="array" ref="AB61">IF(
   SUMPRODUCT(($C$9:$G$9="CO2")*ISNUMBER($C$10:$G$10)*ISNUMBER(C61:G61)) +
   SUMPRODUCT(($H$9:$Z$9="CO2")*ISNUMBER($H$10:$Z$10)*ISNUMBER(H61:Z61)) = 0,
   "",
   IFERROR(
     (
       IF(
         SUMPRODUCT(($C$9:$G$9="CO2")*ISNUMBER($C$10:$G$10)*ISNUMBER(C61:G61)) = 0,
         0,
         SUMPRODUCT(($C$9:$G$9="CO2")*ISNUMBER($C$10:$G$10)*ISNUMBER(C61:G61)*C61:G61) /
         SUMPRODUCT(($C$9:$G$9="CO2")*ISNUMBER($C$10:$G$10)*ISNUMBER(C61:G61)*$C$10:$G$10) * 0.15
       ) +
       IF(
         SUMPRODUCT(($H$9:$Z$9="CO2")*ISNUMBER($H$10:$Z$10)*ISNUMBER(H61:Z61)) = 0,
         0,
         SUMPRODUCT(($H$9:$Z$9="CO2")*ISNUMBER($H$10:$Z$10)*ISNUMBER(H61:Z61)*H61:Z61) /
         SUMPRODUCT(($H$9:$Z$9="CO2")*ISNUMBER($H$10:$Z$10)*ISNUMBER(H61:Z61)*$H$10:$Z$10) * 0.85
       )
     ) * 100,
     ""
   )
)</f>
        <v>34</v>
      </c>
      <c r="AC61" s="1" cm="1">
        <f t="array" ref="AC61">IF(
   SUMPRODUCT(($C$9:$G$9="CO3")*ISNUMBER($C$10:$G$10)*ISNUMBER(C61:G61)) +
   SUMPRODUCT(($H$9:$Z$9="CO3")*ISNUMBER($H$10:$Z$10)*ISNUMBER(H61:Z61)) = 0,
   "",
   IFERROR(
     (
       IF(
         SUMPRODUCT(($C$9:$G$9="CO3")*ISNUMBER($C$10:$G$10)*ISNUMBER(C61:G61)) = 0,
         0,
         SUMPRODUCT(($C$9:$G$9="CO3")*ISNUMBER($C$10:$G$10)*ISNUMBER(C61:G61)*C61:G61) /
         SUMPRODUCT(($C$9:$G$9="CO3")*ISNUMBER($C$10:$G$10)*ISNUMBER(C61:G61)*$C$10:$G$10) * 0.15
       ) +
       IF(
         SUMPRODUCT(($H$9:$Z$9="CO3")*ISNUMBER($H$10:$Z$10)*ISNUMBER(H61:Z61)) = 0,
         0,
         SUMPRODUCT(($H$9:$Z$9="CO3")*ISNUMBER($H$10:$Z$10)*ISNUMBER(H61:Z61)*H61:Z61) /
         SUMPRODUCT(($H$9:$Z$9="CO3")*ISNUMBER($H$10:$Z$10)*ISNUMBER(H61:Z61)*$H$10:$Z$10) * 0.85
       )
     ) * 100,
     ""
   )
)</f>
        <v>69.642857142857153</v>
      </c>
      <c r="AD61" s="1" cm="1">
        <f t="array" ref="AD61">IF(
   SUMPRODUCT(($C$9:$G$9="CO4")*ISNUMBER($C$10:$G$10)*ISNUMBER(C61:G61)) +
   SUMPRODUCT(($H$9:$Z$9="CO4")*ISNUMBER($H$10:$Z$10)*ISNUMBER(H61:Z61)) = 0,
   "",
   IFERROR(
     (
       IF(
         SUMPRODUCT(($C$9:$G$9="CO4")*ISNUMBER($C$10:$G$10)*ISNUMBER(C61:G61)) = 0,
         0,
         SUMPRODUCT(($C$9:$G$9="CO4")*ISNUMBER($C$10:$G$10)*ISNUMBER(C61:G61)*C61:G61) /
         SUMPRODUCT(($C$9:$G$9="CO4")*ISNUMBER($C$10:$G$10)*ISNUMBER(C61:G61)*$C$10:$G$10) * 0.15
       ) +
       IF(
         SUMPRODUCT(($H$9:$Z$9="CO4")*ISNUMBER($H$10:$Z$10)*ISNUMBER(H61:Z61)) = 0,
         0,
         SUMPRODUCT(($H$9:$Z$9="CO4")*ISNUMBER($H$10:$Z$10)*ISNUMBER(H61:Z61)*H61:Z61) /
         SUMPRODUCT(($H$9:$Z$9="CO4")*ISNUMBER($H$10:$Z$10)*ISNUMBER(H61:Z61)*$H$10:$Z$10) * 0.85
       )
     ) * 100,
     ""
   )
)</f>
        <v>33.25</v>
      </c>
      <c r="AE61" s="1" t="str" cm="1">
        <f t="array" ref="AE61">IF(
   SUMPRODUCT(($C$9:$G$9="CO5")*ISNUMBER($C$10:$G$10)*ISNUMBER(C61:G61)) +
   SUMPRODUCT(($H$9:$Z$9="CO5")*ISNUMBER($H$10:$Z$10)*ISNUMBER(H61:Z61)) = 0,
   "",
   IFERROR(
     (
       IF(
         SUMPRODUCT(($C$9:$G$9="CO5")*ISNUMBER($C$10:$G$10)*ISNUMBER(C61:G61)) = 0,
         0,
         SUMPRODUCT(($C$9:$G$9="CO5")*ISNUMBER($C$10:$G$10)*ISNUMBER(C61:G61)*C61:G61) /
         SUMPRODUCT(($C$9:$G$9="CO5")*ISNUMBER($C$10:$G$10)*ISNUMBER(C61:G61)*$C$10:$G$10) * 0.15
       ) +
       IF(
         SUMPRODUCT(($H$9:$Z$9="CO5")*ISNUMBER($H$10:$Z$10)*ISNUMBER(H61:Z61)) = 0,
         0,
         SUMPRODUCT(($H$9:$Z$9="CO5")*ISNUMBER($H$10:$Z$10)*ISNUMBER(H61:Z61)*H61:Z61) /
         SUMPRODUCT(($H$9:$Z$9="CO5")*ISNUMBER($H$10:$Z$10)*ISNUMBER(H61:Z61)*$H$10:$Z$10) * 0.85
       )
     ) * 100,
     ""
   )
)</f>
        <v/>
      </c>
      <c r="AF61" s="1" t="str" cm="1">
        <f t="array" ref="AF61">IF(
   SUMPRODUCT(($C$9:$G$9="CO6")*ISNUMBER($C$10:$G$10)*ISNUMBER(C61:G61)) +
   SUMPRODUCT(($H$9:$Z$9="CO6")*ISNUMBER($H$10:$Z$10)*ISNUMBER(H61:Z61)) = 0,
   "",
   IFERROR(
     (
       IF(
         SUMPRODUCT(($C$9:$G$9="CO6")*ISNUMBER($C$10:$G$10)*ISNUMBER(C61:G61)) = 0,
         0,
         SUMPRODUCT(($C$9:$G$9="CO6")*ISNUMBER($C$10:$G$10)*ISNUMBER(C61:G61)*C61:G61) /
         SUMPRODUCT(($C$9:$G$9="CO6")*ISNUMBER($C$10:$G$10)*ISNUMBER(C61:G61)*$C$10:$G$10) * 0.15
       ) +
       IF(
         SUMPRODUCT(($H$9:$Z$9="CO6")*ISNUMBER($H$10:$Z$10)*ISNUMBER(H61:Z61)) = 0,
         0,
         SUMPRODUCT(($H$9:$Z$9="CO6")*ISNUMBER($H$10:$Z$10)*ISNUMBER(H61:Z61)*H61:Z61) /
         SUMPRODUCT(($H$9:$Z$9="CO6")*ISNUMBER($H$10:$Z$10)*ISNUMBER(H61:Z61)*$H$10:$Z$10) * 0.85
       )
     ) * 100,
     ""
   )
)</f>
        <v/>
      </c>
      <c r="AG61" s="1" t="str" cm="1">
        <f t="array" ref="AG61">IF(
   SUMPRODUCT(($C$9:$G$9="CO7")*ISNUMBER($C$10:$G$10)*ISNUMBER(C61:G61)) +
   SUMPRODUCT(($H$9:$Z$9="CO7")*ISNUMBER($H$10:$Z$10)*ISNUMBER(H61:Z61)) = 0,
   "",
   IFERROR(
     (
       IF(
         SUMPRODUCT(($C$9:$G$9="CO7")*ISNUMBER($C$10:$G$10)*ISNUMBER(C61:G61)) = 0,
         0,
         SUMPRODUCT(($C$9:$G$9="CO7")*ISNUMBER($C$10:$G$10)*ISNUMBER(C61:G61)*C61:G61) /
         SUMPRODUCT(($C$9:$G$9="CO7")*ISNUMBER($C$10:$G$10)*ISNUMBER(C61:G61)*$C$10:$G$10) * 0.15
       ) +
       IF(
         SUMPRODUCT(($H$9:$Z$9="CO7")*ISNUMBER($H$10:$Z$10)*ISNUMBER(H61:Z61)) = 0,
         0,
         SUMPRODUCT(($H$9:$Z$9="CO7")*ISNUMBER($H$10:$Z$10)*ISNUMBER(H61:Z61)*H61:Z61) /
         SUMPRODUCT(($H$9:$Z$9="CO7")*ISNUMBER($H$10:$Z$10)*ISNUMBER(H61:Z61)*$H$10:$Z$10) * 0.85
       )
     ) * 100,
     ""
   )
)</f>
        <v/>
      </c>
      <c r="AH61" s="3" t="str" cm="1">
        <f t="array" ref="AH61">IF(
   SUMPRODUCT(($C$9:$G$9="CO8")*ISNUMBER($C$10:$G$10)*ISNUMBER(C61:G61)) +
   SUMPRODUCT(($H$9:$Z$9="CO8")*ISNUMBER($H$10:$Z$10)*ISNUMBER(H61:Z61)) = 0,
   "",
   IFERROR(
     (
       IF(
         SUMPRODUCT(($C$9:$G$9="CO8")*ISNUMBER($C$10:$G$10)*ISNUMBER(C61:G61)) = 0,
         0,
         SUMPRODUCT(($C$9:$G$9="CO8")*ISNUMBER($C$10:$G$10)*ISNUMBER(C61:G61)*C61:G61) /
         SUMPRODUCT(($C$9:$G$9="CO8")*ISNUMBER($C$10:$G$10)*ISNUMBER(C61:G61)*$C$10:$G$10) * 0.15
       ) +
       IF(
         SUMPRODUCT(($H$9:$Z$9="CO8")*ISNUMBER($H$10:$Z$10)*ISNUMBER(H61:Z61)) = 0,
         0,
         SUMPRODUCT(($H$9:$Z$9="CO8")*ISNUMBER($H$10:$Z$10)*ISNUMBER(H61:Z61)*H61:Z61) /
         SUMPRODUCT(($H$9:$Z$9="CO8")*ISNUMBER($H$10:$Z$10)*ISNUMBER(H61:Z61)*$H$10:$Z$10) * 0.85
       )
     ) * 100,
     ""
   )
)</f>
        <v/>
      </c>
      <c r="AI61" s="1" t="str">
        <f t="shared" si="10"/>
        <v>S</v>
      </c>
      <c r="AJ61" s="1" t="str">
        <f t="shared" si="11"/>
        <v>F</v>
      </c>
      <c r="AK61" s="1" t="str">
        <f t="shared" si="12"/>
        <v>First</v>
      </c>
      <c r="AL61" s="1" t="str">
        <f t="shared" si="4"/>
        <v>F</v>
      </c>
      <c r="AM61" s="1" t="str">
        <f t="shared" si="4"/>
        <v/>
      </c>
      <c r="AN61" s="1" t="str">
        <f t="shared" si="4"/>
        <v/>
      </c>
      <c r="AO61" s="1" t="str">
        <f t="shared" si="4"/>
        <v/>
      </c>
      <c r="AP61" s="1" t="str">
        <f t="shared" si="4"/>
        <v/>
      </c>
    </row>
    <row r="62" spans="1:42" ht="16.2" thickBot="1" x14ac:dyDescent="0.35">
      <c r="A62" s="62">
        <v>2508115</v>
      </c>
      <c r="B62" s="58" t="s">
        <v>159</v>
      </c>
      <c r="C62" s="77">
        <v>3.5</v>
      </c>
      <c r="D62" s="82">
        <v>5</v>
      </c>
      <c r="E62" s="88">
        <v>0</v>
      </c>
      <c r="F62" s="89">
        <v>5</v>
      </c>
      <c r="G62" s="89">
        <v>4</v>
      </c>
      <c r="H62" s="14">
        <v>0</v>
      </c>
      <c r="I62" s="14">
        <v>1</v>
      </c>
      <c r="J62" s="14">
        <v>1</v>
      </c>
      <c r="K62" s="14">
        <v>1</v>
      </c>
      <c r="L62" s="14">
        <v>2</v>
      </c>
      <c r="M62" s="14">
        <v>0</v>
      </c>
      <c r="N62" s="14">
        <v>2</v>
      </c>
      <c r="O62" s="14">
        <v>1</v>
      </c>
      <c r="P62" s="14">
        <v>0</v>
      </c>
      <c r="Q62" s="14">
        <v>0</v>
      </c>
      <c r="R62" s="14">
        <v>2</v>
      </c>
      <c r="S62" s="14">
        <v>0</v>
      </c>
      <c r="T62" s="14">
        <v>1</v>
      </c>
      <c r="U62" s="14">
        <v>1</v>
      </c>
      <c r="V62" s="14">
        <v>0</v>
      </c>
      <c r="W62" s="14">
        <v>0</v>
      </c>
      <c r="X62" s="98">
        <v>11</v>
      </c>
      <c r="Y62" s="99">
        <v>8</v>
      </c>
      <c r="Z62" s="89">
        <v>5</v>
      </c>
      <c r="AA62" s="1" cm="1">
        <f t="array" ref="AA62">IF(
   SUMPRODUCT(($C$9:$G$9="CO1")*ISNUMBER($C$10:$G$10)*ISNUMBER(C62:G62)) +
   SUMPRODUCT(($H$9:$Z$9="CO1")*ISNUMBER($H$10:$Z$10)*ISNUMBER(H62:Z62)) = 0,
   "",
   IFERROR(
     (
       IF(
         SUMPRODUCT(($C$9:$G$9="CO1")*ISNUMBER($C$10:$G$10)*ISNUMBER(C62:G62)) = 0,
         0,
         SUMPRODUCT(($C$9:$G$9="CO1")*ISNUMBER($C$10:$G$10)*ISNUMBER(C62:G62)*C62:G62) /
         SUMPRODUCT(($C$9:$G$9="CO1")*ISNUMBER($C$10:$G$10)*ISNUMBER(C62:G62)*$C$10:$G$10) * 0.15
       ) +
       IF(
         SUMPRODUCT(($H$9:$Z$9="CO1")*ISNUMBER($H$10:$Z$10)*ISNUMBER(H62:Z62)) = 0,
         0,
         SUMPRODUCT(($H$9:$Z$9="CO1")*ISNUMBER($H$10:$Z$10)*ISNUMBER(H62:Z62)*H62:Z62) /
         SUMPRODUCT(($H$9:$Z$9="CO1")*ISNUMBER($H$10:$Z$10)*ISNUMBER(H62:Z62)*$H$10:$Z$10) * 0.85
       )
     ) * 100,
     ""
   )
)</f>
        <v>67.166666666666657</v>
      </c>
      <c r="AB62" s="1" cm="1">
        <f t="array" ref="AB62">IF(
   SUMPRODUCT(($C$9:$G$9="CO2")*ISNUMBER($C$10:$G$10)*ISNUMBER(C62:G62)) +
   SUMPRODUCT(($H$9:$Z$9="CO2")*ISNUMBER($H$10:$Z$10)*ISNUMBER(H62:Z62)) = 0,
   "",
   IFERROR(
     (
       IF(
         SUMPRODUCT(($C$9:$G$9="CO2")*ISNUMBER($C$10:$G$10)*ISNUMBER(C62:G62)) = 0,
         0,
         SUMPRODUCT(($C$9:$G$9="CO2")*ISNUMBER($C$10:$G$10)*ISNUMBER(C62:G62)*C62:G62) /
         SUMPRODUCT(($C$9:$G$9="CO2")*ISNUMBER($C$10:$G$10)*ISNUMBER(C62:G62)*$C$10:$G$10) * 0.15
       ) +
       IF(
         SUMPRODUCT(($H$9:$Z$9="CO2")*ISNUMBER($H$10:$Z$10)*ISNUMBER(H62:Z62)) = 0,
         0,
         SUMPRODUCT(($H$9:$Z$9="CO2")*ISNUMBER($H$10:$Z$10)*ISNUMBER(H62:Z62)*H62:Z62) /
         SUMPRODUCT(($H$9:$Z$9="CO2")*ISNUMBER($H$10:$Z$10)*ISNUMBER(H62:Z62)*$H$10:$Z$10) * 0.85
       )
     ) * 100,
     ""
   )
)</f>
        <v>65.9375</v>
      </c>
      <c r="AC62" s="1" cm="1">
        <f t="array" ref="AC62">IF(
   SUMPRODUCT(($C$9:$G$9="CO3")*ISNUMBER($C$10:$G$10)*ISNUMBER(C62:G62)) +
   SUMPRODUCT(($H$9:$Z$9="CO3")*ISNUMBER($H$10:$Z$10)*ISNUMBER(H62:Z62)) = 0,
   "",
   IFERROR(
     (
       IF(
         SUMPRODUCT(($C$9:$G$9="CO3")*ISNUMBER($C$10:$G$10)*ISNUMBER(C62:G62)) = 0,
         0,
         SUMPRODUCT(($C$9:$G$9="CO3")*ISNUMBER($C$10:$G$10)*ISNUMBER(C62:G62)*C62:G62) /
         SUMPRODUCT(($C$9:$G$9="CO3")*ISNUMBER($C$10:$G$10)*ISNUMBER(C62:G62)*$C$10:$G$10) * 0.15
       ) +
       IF(
         SUMPRODUCT(($H$9:$Z$9="CO3")*ISNUMBER($H$10:$Z$10)*ISNUMBER(H62:Z62)) = 0,
         0,
         SUMPRODUCT(($H$9:$Z$9="CO3")*ISNUMBER($H$10:$Z$10)*ISNUMBER(H62:Z62)*H62:Z62) /
         SUMPRODUCT(($H$9:$Z$9="CO3")*ISNUMBER($H$10:$Z$10)*ISNUMBER(H62:Z62)*$H$10:$Z$10) * 0.85
       )
     ) * 100,
     ""
   )
)</f>
        <v>51.428571428571423</v>
      </c>
      <c r="AD62" s="1" cm="1">
        <f t="array" ref="AD62">IF(
   SUMPRODUCT(($C$9:$G$9="CO4")*ISNUMBER($C$10:$G$10)*ISNUMBER(C62:G62)) +
   SUMPRODUCT(($H$9:$Z$9="CO4")*ISNUMBER($H$10:$Z$10)*ISNUMBER(H62:Z62)) = 0,
   "",
   IFERROR(
     (
       IF(
         SUMPRODUCT(($C$9:$G$9="CO4")*ISNUMBER($C$10:$G$10)*ISNUMBER(C62:G62)) = 0,
         0,
         SUMPRODUCT(($C$9:$G$9="CO4")*ISNUMBER($C$10:$G$10)*ISNUMBER(C62:G62)*C62:G62) /
         SUMPRODUCT(($C$9:$G$9="CO4")*ISNUMBER($C$10:$G$10)*ISNUMBER(C62:G62)*$C$10:$G$10) * 0.15
       ) +
       IF(
         SUMPRODUCT(($H$9:$Z$9="CO4")*ISNUMBER($H$10:$Z$10)*ISNUMBER(H62:Z62)) = 0,
         0,
         SUMPRODUCT(($H$9:$Z$9="CO4")*ISNUMBER($H$10:$Z$10)*ISNUMBER(H62:Z62)*H62:Z62) /
         SUMPRODUCT(($H$9:$Z$9="CO4")*ISNUMBER($H$10:$Z$10)*ISNUMBER(H62:Z62)*$H$10:$Z$10) * 0.85
       )
     ) * 100,
     ""
   )
)</f>
        <v>26.166666666666664</v>
      </c>
      <c r="AE62" s="1" t="str" cm="1">
        <f t="array" ref="AE62">IF(
   SUMPRODUCT(($C$9:$G$9="CO5")*ISNUMBER($C$10:$G$10)*ISNUMBER(C62:G62)) +
   SUMPRODUCT(($H$9:$Z$9="CO5")*ISNUMBER($H$10:$Z$10)*ISNUMBER(H62:Z62)) = 0,
   "",
   IFERROR(
     (
       IF(
         SUMPRODUCT(($C$9:$G$9="CO5")*ISNUMBER($C$10:$G$10)*ISNUMBER(C62:G62)) = 0,
         0,
         SUMPRODUCT(($C$9:$G$9="CO5")*ISNUMBER($C$10:$G$10)*ISNUMBER(C62:G62)*C62:G62) /
         SUMPRODUCT(($C$9:$G$9="CO5")*ISNUMBER($C$10:$G$10)*ISNUMBER(C62:G62)*$C$10:$G$10) * 0.15
       ) +
       IF(
         SUMPRODUCT(($H$9:$Z$9="CO5")*ISNUMBER($H$10:$Z$10)*ISNUMBER(H62:Z62)) = 0,
         0,
         SUMPRODUCT(($H$9:$Z$9="CO5")*ISNUMBER($H$10:$Z$10)*ISNUMBER(H62:Z62)*H62:Z62) /
         SUMPRODUCT(($H$9:$Z$9="CO5")*ISNUMBER($H$10:$Z$10)*ISNUMBER(H62:Z62)*$H$10:$Z$10) * 0.85
       )
     ) * 100,
     ""
   )
)</f>
        <v/>
      </c>
      <c r="AF62" s="1" t="str" cm="1">
        <f t="array" ref="AF62">IF(
   SUMPRODUCT(($C$9:$G$9="CO6")*ISNUMBER($C$10:$G$10)*ISNUMBER(C62:G62)) +
   SUMPRODUCT(($H$9:$Z$9="CO6")*ISNUMBER($H$10:$Z$10)*ISNUMBER(H62:Z62)) = 0,
   "",
   IFERROR(
     (
       IF(
         SUMPRODUCT(($C$9:$G$9="CO6")*ISNUMBER($C$10:$G$10)*ISNUMBER(C62:G62)) = 0,
         0,
         SUMPRODUCT(($C$9:$G$9="CO6")*ISNUMBER($C$10:$G$10)*ISNUMBER(C62:G62)*C62:G62) /
         SUMPRODUCT(($C$9:$G$9="CO6")*ISNUMBER($C$10:$G$10)*ISNUMBER(C62:G62)*$C$10:$G$10) * 0.15
       ) +
       IF(
         SUMPRODUCT(($H$9:$Z$9="CO6")*ISNUMBER($H$10:$Z$10)*ISNUMBER(H62:Z62)) = 0,
         0,
         SUMPRODUCT(($H$9:$Z$9="CO6")*ISNUMBER($H$10:$Z$10)*ISNUMBER(H62:Z62)*H62:Z62) /
         SUMPRODUCT(($H$9:$Z$9="CO6")*ISNUMBER($H$10:$Z$10)*ISNUMBER(H62:Z62)*$H$10:$Z$10) * 0.85
       )
     ) * 100,
     ""
   )
)</f>
        <v/>
      </c>
      <c r="AG62" s="1" t="str" cm="1">
        <f t="array" ref="AG62">IF(
   SUMPRODUCT(($C$9:$G$9="CO7")*ISNUMBER($C$10:$G$10)*ISNUMBER(C62:G62)) +
   SUMPRODUCT(($H$9:$Z$9="CO7")*ISNUMBER($H$10:$Z$10)*ISNUMBER(H62:Z62)) = 0,
   "",
   IFERROR(
     (
       IF(
         SUMPRODUCT(($C$9:$G$9="CO7")*ISNUMBER($C$10:$G$10)*ISNUMBER(C62:G62)) = 0,
         0,
         SUMPRODUCT(($C$9:$G$9="CO7")*ISNUMBER($C$10:$G$10)*ISNUMBER(C62:G62)*C62:G62) /
         SUMPRODUCT(($C$9:$G$9="CO7")*ISNUMBER($C$10:$G$10)*ISNUMBER(C62:G62)*$C$10:$G$10) * 0.15
       ) +
       IF(
         SUMPRODUCT(($H$9:$Z$9="CO7")*ISNUMBER($H$10:$Z$10)*ISNUMBER(H62:Z62)) = 0,
         0,
         SUMPRODUCT(($H$9:$Z$9="CO7")*ISNUMBER($H$10:$Z$10)*ISNUMBER(H62:Z62)*H62:Z62) /
         SUMPRODUCT(($H$9:$Z$9="CO7")*ISNUMBER($H$10:$Z$10)*ISNUMBER(H62:Z62)*$H$10:$Z$10) * 0.85
       )
     ) * 100,
     ""
   )
)</f>
        <v/>
      </c>
      <c r="AH62" s="3" t="str" cm="1">
        <f t="array" ref="AH62">IF(
   SUMPRODUCT(($C$9:$G$9="CO8")*ISNUMBER($C$10:$G$10)*ISNUMBER(C62:G62)) +
   SUMPRODUCT(($H$9:$Z$9="CO8")*ISNUMBER($H$10:$Z$10)*ISNUMBER(H62:Z62)) = 0,
   "",
   IFERROR(
     (
       IF(
         SUMPRODUCT(($C$9:$G$9="CO8")*ISNUMBER($C$10:$G$10)*ISNUMBER(C62:G62)) = 0,
         0,
         SUMPRODUCT(($C$9:$G$9="CO8")*ISNUMBER($C$10:$G$10)*ISNUMBER(C62:G62)*C62:G62) /
         SUMPRODUCT(($C$9:$G$9="CO8")*ISNUMBER($C$10:$G$10)*ISNUMBER(C62:G62)*$C$10:$G$10) * 0.15
       ) +
       IF(
         SUMPRODUCT(($H$9:$Z$9="CO8")*ISNUMBER($H$10:$Z$10)*ISNUMBER(H62:Z62)) = 0,
         0,
         SUMPRODUCT(($H$9:$Z$9="CO8")*ISNUMBER($H$10:$Z$10)*ISNUMBER(H62:Z62)*H62:Z62) /
         SUMPRODUCT(($H$9:$Z$9="CO8")*ISNUMBER($H$10:$Z$10)*ISNUMBER(H62:Z62)*$H$10:$Z$10) * 0.85
       )
     ) * 100,
     ""
   )
)</f>
        <v/>
      </c>
      <c r="AI62" s="1" t="str">
        <f t="shared" si="10"/>
        <v>First</v>
      </c>
      <c r="AJ62" s="1" t="str">
        <f t="shared" si="11"/>
        <v>First</v>
      </c>
      <c r="AK62" s="1" t="str">
        <f t="shared" si="12"/>
        <v>S</v>
      </c>
      <c r="AL62" s="1" t="str">
        <f t="shared" si="4"/>
        <v>F</v>
      </c>
      <c r="AM62" s="1" t="str">
        <f t="shared" si="4"/>
        <v/>
      </c>
      <c r="AN62" s="1" t="str">
        <f t="shared" si="4"/>
        <v/>
      </c>
      <c r="AO62" s="1" t="str">
        <f t="shared" si="4"/>
        <v/>
      </c>
      <c r="AP62" s="1" t="str">
        <f t="shared" si="4"/>
        <v/>
      </c>
    </row>
    <row r="63" spans="1:42" ht="16.2" thickBot="1" x14ac:dyDescent="0.35">
      <c r="A63" s="62">
        <v>2508116</v>
      </c>
      <c r="B63" s="58" t="s">
        <v>160</v>
      </c>
      <c r="C63" s="77">
        <v>4.5</v>
      </c>
      <c r="D63" s="82">
        <v>4</v>
      </c>
      <c r="E63" s="88">
        <v>2.5</v>
      </c>
      <c r="F63" s="89">
        <v>5</v>
      </c>
      <c r="G63" s="89">
        <v>4</v>
      </c>
      <c r="H63" s="14">
        <v>0</v>
      </c>
      <c r="I63" s="14">
        <v>1</v>
      </c>
      <c r="J63" s="14">
        <v>1</v>
      </c>
      <c r="K63" s="14">
        <v>1</v>
      </c>
      <c r="L63" s="14">
        <v>0</v>
      </c>
      <c r="M63" s="14">
        <v>1</v>
      </c>
      <c r="N63" s="14">
        <v>2</v>
      </c>
      <c r="O63" s="14">
        <v>1</v>
      </c>
      <c r="P63" s="14">
        <v>0</v>
      </c>
      <c r="Q63" s="14">
        <v>0</v>
      </c>
      <c r="R63" s="14">
        <v>1</v>
      </c>
      <c r="S63" s="14">
        <v>0</v>
      </c>
      <c r="T63" s="14">
        <v>1</v>
      </c>
      <c r="U63" s="14">
        <v>0</v>
      </c>
      <c r="V63" s="14">
        <v>0.5</v>
      </c>
      <c r="W63" s="14">
        <v>0.5</v>
      </c>
      <c r="X63" s="98">
        <v>16</v>
      </c>
      <c r="Y63" s="99">
        <v>0</v>
      </c>
      <c r="Z63" s="89">
        <v>7</v>
      </c>
      <c r="AA63" s="1" cm="1">
        <f t="array" ref="AA63">IF(
   SUMPRODUCT(($C$9:$G$9="CO1")*ISNUMBER($C$10:$G$10)*ISNUMBER(C63:G63)) +
   SUMPRODUCT(($H$9:$Z$9="CO1")*ISNUMBER($H$10:$Z$10)*ISNUMBER(H63:Z63)) = 0,
   "",
   IFERROR(
     (
       IF(
         SUMPRODUCT(($C$9:$G$9="CO1")*ISNUMBER($C$10:$G$10)*ISNUMBER(C63:G63)) = 0,
         0,
         SUMPRODUCT(($C$9:$G$9="CO1")*ISNUMBER($C$10:$G$10)*ISNUMBER(C63:G63)*C63:G63) /
         SUMPRODUCT(($C$9:$G$9="CO1")*ISNUMBER($C$10:$G$10)*ISNUMBER(C63:G63)*$C$10:$G$10) * 0.15
       ) +
       IF(
         SUMPRODUCT(($H$9:$Z$9="CO1")*ISNUMBER($H$10:$Z$10)*ISNUMBER(H63:Z63)) = 0,
         0,
         SUMPRODUCT(($H$9:$Z$9="CO1")*ISNUMBER($H$10:$Z$10)*ISNUMBER(H63:Z63)*H63:Z63) /
         SUMPRODUCT(($H$9:$Z$9="CO1")*ISNUMBER($H$10:$Z$10)*ISNUMBER(H63:Z63)*$H$10:$Z$10) * 0.85
       )
     ) * 100,
     ""
   )
)</f>
        <v>74.888888888888886</v>
      </c>
      <c r="AB63" s="1" cm="1">
        <f t="array" ref="AB63">IF(
   SUMPRODUCT(($C$9:$G$9="CO2")*ISNUMBER($C$10:$G$10)*ISNUMBER(C63:G63)) +
   SUMPRODUCT(($H$9:$Z$9="CO2")*ISNUMBER($H$10:$Z$10)*ISNUMBER(H63:Z63)) = 0,
   "",
   IFERROR(
     (
       IF(
         SUMPRODUCT(($C$9:$G$9="CO2")*ISNUMBER($C$10:$G$10)*ISNUMBER(C63:G63)) = 0,
         0,
         SUMPRODUCT(($C$9:$G$9="CO2")*ISNUMBER($C$10:$G$10)*ISNUMBER(C63:G63)*C63:G63) /
         SUMPRODUCT(($C$9:$G$9="CO2")*ISNUMBER($C$10:$G$10)*ISNUMBER(C63:G63)*$C$10:$G$10) * 0.15
       ) +
       IF(
         SUMPRODUCT(($H$9:$Z$9="CO2")*ISNUMBER($H$10:$Z$10)*ISNUMBER(H63:Z63)) = 0,
         0,
         SUMPRODUCT(($H$9:$Z$9="CO2")*ISNUMBER($H$10:$Z$10)*ISNUMBER(H63:Z63)*H63:Z63) /
         SUMPRODUCT(($H$9:$Z$9="CO2")*ISNUMBER($H$10:$Z$10)*ISNUMBER(H63:Z63)*$H$10:$Z$10) * 0.85
       )
     ) * 100,
     ""
   )
)</f>
        <v>20.375</v>
      </c>
      <c r="AC63" s="1" cm="1">
        <f t="array" ref="AC63">IF(
   SUMPRODUCT(($C$9:$G$9="CO3")*ISNUMBER($C$10:$G$10)*ISNUMBER(C63:G63)) +
   SUMPRODUCT(($H$9:$Z$9="CO3")*ISNUMBER($H$10:$Z$10)*ISNUMBER(H63:Z63)) = 0,
   "",
   IFERROR(
     (
       IF(
         SUMPRODUCT(($C$9:$G$9="CO3")*ISNUMBER($C$10:$G$10)*ISNUMBER(C63:G63)) = 0,
         0,
         SUMPRODUCT(($C$9:$G$9="CO3")*ISNUMBER($C$10:$G$10)*ISNUMBER(C63:G63)*C63:G63) /
         SUMPRODUCT(($C$9:$G$9="CO3")*ISNUMBER($C$10:$G$10)*ISNUMBER(C63:G63)*$C$10:$G$10) * 0.15
       ) +
       IF(
         SUMPRODUCT(($H$9:$Z$9="CO3")*ISNUMBER($H$10:$Z$10)*ISNUMBER(H63:Z63)) = 0,
         0,
         SUMPRODUCT(($H$9:$Z$9="CO3")*ISNUMBER($H$10:$Z$10)*ISNUMBER(H63:Z63)*H63:Z63) /
         SUMPRODUCT(($H$9:$Z$9="CO3")*ISNUMBER($H$10:$Z$10)*ISNUMBER(H63:Z63)*$H$10:$Z$10) * 0.85
       )
     ) * 100,
     ""
   )
)</f>
        <v>66.607142857142847</v>
      </c>
      <c r="AD63" s="1" cm="1">
        <f t="array" ref="AD63">IF(
   SUMPRODUCT(($C$9:$G$9="CO4")*ISNUMBER($C$10:$G$10)*ISNUMBER(C63:G63)) +
   SUMPRODUCT(($H$9:$Z$9="CO4")*ISNUMBER($H$10:$Z$10)*ISNUMBER(H63:Z63)) = 0,
   "",
   IFERROR(
     (
       IF(
         SUMPRODUCT(($C$9:$G$9="CO4")*ISNUMBER($C$10:$G$10)*ISNUMBER(C63:G63)) = 0,
         0,
         SUMPRODUCT(($C$9:$G$9="CO4")*ISNUMBER($C$10:$G$10)*ISNUMBER(C63:G63)*C63:G63) /
         SUMPRODUCT(($C$9:$G$9="CO4")*ISNUMBER($C$10:$G$10)*ISNUMBER(C63:G63)*$C$10:$G$10) * 0.15
       ) +
       IF(
         SUMPRODUCT(($H$9:$Z$9="CO4")*ISNUMBER($H$10:$Z$10)*ISNUMBER(H63:Z63)) = 0,
         0,
         SUMPRODUCT(($H$9:$Z$9="CO4")*ISNUMBER($H$10:$Z$10)*ISNUMBER(H63:Z63)*H63:Z63) /
         SUMPRODUCT(($H$9:$Z$9="CO4")*ISNUMBER($H$10:$Z$10)*ISNUMBER(H63:Z63)*$H$10:$Z$10) * 0.85
       )
     ) * 100,
     ""
   )
)</f>
        <v>26.166666666666664</v>
      </c>
      <c r="AE63" s="1" t="str" cm="1">
        <f t="array" ref="AE63">IF(
   SUMPRODUCT(($C$9:$G$9="CO5")*ISNUMBER($C$10:$G$10)*ISNUMBER(C63:G63)) +
   SUMPRODUCT(($H$9:$Z$9="CO5")*ISNUMBER($H$10:$Z$10)*ISNUMBER(H63:Z63)) = 0,
   "",
   IFERROR(
     (
       IF(
         SUMPRODUCT(($C$9:$G$9="CO5")*ISNUMBER($C$10:$G$10)*ISNUMBER(C63:G63)) = 0,
         0,
         SUMPRODUCT(($C$9:$G$9="CO5")*ISNUMBER($C$10:$G$10)*ISNUMBER(C63:G63)*C63:G63) /
         SUMPRODUCT(($C$9:$G$9="CO5")*ISNUMBER($C$10:$G$10)*ISNUMBER(C63:G63)*$C$10:$G$10) * 0.15
       ) +
       IF(
         SUMPRODUCT(($H$9:$Z$9="CO5")*ISNUMBER($H$10:$Z$10)*ISNUMBER(H63:Z63)) = 0,
         0,
         SUMPRODUCT(($H$9:$Z$9="CO5")*ISNUMBER($H$10:$Z$10)*ISNUMBER(H63:Z63)*H63:Z63) /
         SUMPRODUCT(($H$9:$Z$9="CO5")*ISNUMBER($H$10:$Z$10)*ISNUMBER(H63:Z63)*$H$10:$Z$10) * 0.85
       )
     ) * 100,
     ""
   )
)</f>
        <v/>
      </c>
      <c r="AF63" s="1" t="str" cm="1">
        <f t="array" ref="AF63">IF(
   SUMPRODUCT(($C$9:$G$9="CO6")*ISNUMBER($C$10:$G$10)*ISNUMBER(C63:G63)) +
   SUMPRODUCT(($H$9:$Z$9="CO6")*ISNUMBER($H$10:$Z$10)*ISNUMBER(H63:Z63)) = 0,
   "",
   IFERROR(
     (
       IF(
         SUMPRODUCT(($C$9:$G$9="CO6")*ISNUMBER($C$10:$G$10)*ISNUMBER(C63:G63)) = 0,
         0,
         SUMPRODUCT(($C$9:$G$9="CO6")*ISNUMBER($C$10:$G$10)*ISNUMBER(C63:G63)*C63:G63) /
         SUMPRODUCT(($C$9:$G$9="CO6")*ISNUMBER($C$10:$G$10)*ISNUMBER(C63:G63)*$C$10:$G$10) * 0.15
       ) +
       IF(
         SUMPRODUCT(($H$9:$Z$9="CO6")*ISNUMBER($H$10:$Z$10)*ISNUMBER(H63:Z63)) = 0,
         0,
         SUMPRODUCT(($H$9:$Z$9="CO6")*ISNUMBER($H$10:$Z$10)*ISNUMBER(H63:Z63)*H63:Z63) /
         SUMPRODUCT(($H$9:$Z$9="CO6")*ISNUMBER($H$10:$Z$10)*ISNUMBER(H63:Z63)*$H$10:$Z$10) * 0.85
       )
     ) * 100,
     ""
   )
)</f>
        <v/>
      </c>
      <c r="AG63" s="1" t="str" cm="1">
        <f t="array" ref="AG63">IF(
   SUMPRODUCT(($C$9:$G$9="CO7")*ISNUMBER($C$10:$G$10)*ISNUMBER(C63:G63)) +
   SUMPRODUCT(($H$9:$Z$9="CO7")*ISNUMBER($H$10:$Z$10)*ISNUMBER(H63:Z63)) = 0,
   "",
   IFERROR(
     (
       IF(
         SUMPRODUCT(($C$9:$G$9="CO7")*ISNUMBER($C$10:$G$10)*ISNUMBER(C63:G63)) = 0,
         0,
         SUMPRODUCT(($C$9:$G$9="CO7")*ISNUMBER($C$10:$G$10)*ISNUMBER(C63:G63)*C63:G63) /
         SUMPRODUCT(($C$9:$G$9="CO7")*ISNUMBER($C$10:$G$10)*ISNUMBER(C63:G63)*$C$10:$G$10) * 0.15
       ) +
       IF(
         SUMPRODUCT(($H$9:$Z$9="CO7")*ISNUMBER($H$10:$Z$10)*ISNUMBER(H63:Z63)) = 0,
         0,
         SUMPRODUCT(($H$9:$Z$9="CO7")*ISNUMBER($H$10:$Z$10)*ISNUMBER(H63:Z63)*H63:Z63) /
         SUMPRODUCT(($H$9:$Z$9="CO7")*ISNUMBER($H$10:$Z$10)*ISNUMBER(H63:Z63)*$H$10:$Z$10) * 0.85
       )
     ) * 100,
     ""
   )
)</f>
        <v/>
      </c>
      <c r="AH63" s="3" t="str" cm="1">
        <f t="array" ref="AH63">IF(
   SUMPRODUCT(($C$9:$G$9="CO8")*ISNUMBER($C$10:$G$10)*ISNUMBER(C63:G63)) +
   SUMPRODUCT(($H$9:$Z$9="CO8")*ISNUMBER($H$10:$Z$10)*ISNUMBER(H63:Z63)) = 0,
   "",
   IFERROR(
     (
       IF(
         SUMPRODUCT(($C$9:$G$9="CO8")*ISNUMBER($C$10:$G$10)*ISNUMBER(C63:G63)) = 0,
         0,
         SUMPRODUCT(($C$9:$G$9="CO8")*ISNUMBER($C$10:$G$10)*ISNUMBER(C63:G63)*C63:G63) /
         SUMPRODUCT(($C$9:$G$9="CO8")*ISNUMBER($C$10:$G$10)*ISNUMBER(C63:G63)*$C$10:$G$10) * 0.15
       ) +
       IF(
         SUMPRODUCT(($H$9:$Z$9="CO8")*ISNUMBER($H$10:$Z$10)*ISNUMBER(H63:Z63)) = 0,
         0,
         SUMPRODUCT(($H$9:$Z$9="CO8")*ISNUMBER($H$10:$Z$10)*ISNUMBER(H63:Z63)*H63:Z63) /
         SUMPRODUCT(($H$9:$Z$9="CO8")*ISNUMBER($H$10:$Z$10)*ISNUMBER(H63:Z63)*$H$10:$Z$10) * 0.85
       )
     ) * 100,
     ""
   )
)</f>
        <v/>
      </c>
      <c r="AI63" s="1" t="str">
        <f t="shared" si="10"/>
        <v>D</v>
      </c>
      <c r="AJ63" s="1" t="str">
        <f t="shared" si="11"/>
        <v>F</v>
      </c>
      <c r="AK63" s="1" t="str">
        <f t="shared" si="12"/>
        <v>First</v>
      </c>
      <c r="AL63" s="1" t="str">
        <f t="shared" si="4"/>
        <v>F</v>
      </c>
      <c r="AM63" s="1" t="str">
        <f t="shared" si="4"/>
        <v/>
      </c>
      <c r="AN63" s="1" t="str">
        <f t="shared" si="4"/>
        <v/>
      </c>
      <c r="AO63" s="1" t="str">
        <f t="shared" si="4"/>
        <v/>
      </c>
      <c r="AP63" s="1" t="str">
        <f t="shared" si="4"/>
        <v/>
      </c>
    </row>
    <row r="64" spans="1:42" ht="16.2" thickBot="1" x14ac:dyDescent="0.35">
      <c r="A64" s="62">
        <v>2508117</v>
      </c>
      <c r="B64" s="59" t="s">
        <v>161</v>
      </c>
      <c r="C64" s="77">
        <v>3.5</v>
      </c>
      <c r="D64" s="82">
        <v>4</v>
      </c>
      <c r="E64" s="92">
        <v>5</v>
      </c>
      <c r="F64" s="89">
        <v>5</v>
      </c>
      <c r="G64" s="89">
        <v>3</v>
      </c>
      <c r="H64" s="14">
        <v>0</v>
      </c>
      <c r="I64" s="14">
        <v>1</v>
      </c>
      <c r="J64" s="14">
        <v>1</v>
      </c>
      <c r="K64" s="14">
        <v>0.5</v>
      </c>
      <c r="L64" s="14">
        <v>0</v>
      </c>
      <c r="M64" s="14">
        <v>1</v>
      </c>
      <c r="N64" s="14">
        <v>2</v>
      </c>
      <c r="O64" s="14">
        <v>1</v>
      </c>
      <c r="P64" s="14">
        <v>0</v>
      </c>
      <c r="Q64" s="14">
        <v>0</v>
      </c>
      <c r="R64" s="14">
        <v>2</v>
      </c>
      <c r="S64" s="14">
        <v>0</v>
      </c>
      <c r="T64" s="14">
        <v>2</v>
      </c>
      <c r="U64" s="14">
        <v>0</v>
      </c>
      <c r="V64" s="14">
        <v>0</v>
      </c>
      <c r="W64" s="14">
        <v>0</v>
      </c>
      <c r="X64" s="98">
        <v>20</v>
      </c>
      <c r="Y64" s="99">
        <v>5</v>
      </c>
      <c r="Z64" s="89">
        <v>5</v>
      </c>
      <c r="AA64" s="1" cm="1">
        <f t="array" ref="AA64">IF(
   SUMPRODUCT(($C$9:$G$9="CO1")*ISNUMBER($C$10:$G$10)*ISNUMBER(C64:G64)) +
   SUMPRODUCT(($H$9:$Z$9="CO1")*ISNUMBER($H$10:$Z$10)*ISNUMBER(H64:Z64)) = 0,
   "",
   IFERROR(
     (
       IF(
         SUMPRODUCT(($C$9:$G$9="CO1")*ISNUMBER($C$10:$G$10)*ISNUMBER(C64:G64)) = 0,
         0,
         SUMPRODUCT(($C$9:$G$9="CO1")*ISNUMBER($C$10:$G$10)*ISNUMBER(C64:G64)*C64:G64) /
         SUMPRODUCT(($C$9:$G$9="CO1")*ISNUMBER($C$10:$G$10)*ISNUMBER(C64:G64)*$C$10:$G$10) * 0.15
       ) +
       IF(
         SUMPRODUCT(($H$9:$Z$9="CO1")*ISNUMBER($H$10:$Z$10)*ISNUMBER(H64:Z64)) = 0,
         0,
         SUMPRODUCT(($H$9:$Z$9="CO1")*ISNUMBER($H$10:$Z$10)*ISNUMBER(H64:Z64)*H64:Z64) /
         SUMPRODUCT(($H$9:$Z$9="CO1")*ISNUMBER($H$10:$Z$10)*ISNUMBER(H64:Z64)*$H$10:$Z$10) * 0.85
       )
     ) * 100,
     ""
   )
)</f>
        <v>60.083333333333336</v>
      </c>
      <c r="AB64" s="1" cm="1">
        <f t="array" ref="AB64">IF(
   SUMPRODUCT(($C$9:$G$9="CO2")*ISNUMBER($C$10:$G$10)*ISNUMBER(C64:G64)) +
   SUMPRODUCT(($H$9:$Z$9="CO2")*ISNUMBER($H$10:$Z$10)*ISNUMBER(H64:Z64)) = 0,
   "",
   IFERROR(
     (
       IF(
         SUMPRODUCT(($C$9:$G$9="CO2")*ISNUMBER($C$10:$G$10)*ISNUMBER(C64:G64)) = 0,
         0,
         SUMPRODUCT(($C$9:$G$9="CO2")*ISNUMBER($C$10:$G$10)*ISNUMBER(C64:G64)*C64:G64) /
         SUMPRODUCT(($C$9:$G$9="CO2")*ISNUMBER($C$10:$G$10)*ISNUMBER(C64:G64)*$C$10:$G$10) * 0.15
       ) +
       IF(
         SUMPRODUCT(($H$9:$Z$9="CO2")*ISNUMBER($H$10:$Z$10)*ISNUMBER(H64:Z64)) = 0,
         0,
         SUMPRODUCT(($H$9:$Z$9="CO2")*ISNUMBER($H$10:$Z$10)*ISNUMBER(H64:Z64)*H64:Z64) /
         SUMPRODUCT(($H$9:$Z$9="CO2")*ISNUMBER($H$10:$Z$10)*ISNUMBER(H64:Z64)*$H$10:$Z$10) * 0.85
       )
     ) * 100,
     ""
   )
)</f>
        <v>56.000000000000007</v>
      </c>
      <c r="AC64" s="1" cm="1">
        <f t="array" ref="AC64">IF(
   SUMPRODUCT(($C$9:$G$9="CO3")*ISNUMBER($C$10:$G$10)*ISNUMBER(C64:G64)) +
   SUMPRODUCT(($H$9:$Z$9="CO3")*ISNUMBER($H$10:$Z$10)*ISNUMBER(H64:Z64)) = 0,
   "",
   IFERROR(
     (
       IF(
         SUMPRODUCT(($C$9:$G$9="CO3")*ISNUMBER($C$10:$G$10)*ISNUMBER(C64:G64)) = 0,
         0,
         SUMPRODUCT(($C$9:$G$9="CO3")*ISNUMBER($C$10:$G$10)*ISNUMBER(C64:G64)*C64:G64) /
         SUMPRODUCT(($C$9:$G$9="CO3")*ISNUMBER($C$10:$G$10)*ISNUMBER(C64:G64)*$C$10:$G$10) * 0.15
       ) +
       IF(
         SUMPRODUCT(($H$9:$Z$9="CO3")*ISNUMBER($H$10:$Z$10)*ISNUMBER(H64:Z64)) = 0,
         0,
         SUMPRODUCT(($H$9:$Z$9="CO3")*ISNUMBER($H$10:$Z$10)*ISNUMBER(H64:Z64)*H64:Z64) /
         SUMPRODUCT(($H$9:$Z$9="CO3")*ISNUMBER($H$10:$Z$10)*ISNUMBER(H64:Z64)*$H$10:$Z$10) * 0.85
       )
     ) * 100,
     ""
   )
)</f>
        <v>81.785714285714278</v>
      </c>
      <c r="AD64" s="1" cm="1">
        <f t="array" ref="AD64">IF(
   SUMPRODUCT(($C$9:$G$9="CO4")*ISNUMBER($C$10:$G$10)*ISNUMBER(C64:G64)) +
   SUMPRODUCT(($H$9:$Z$9="CO4")*ISNUMBER($H$10:$Z$10)*ISNUMBER(H64:Z64)) = 0,
   "",
   IFERROR(
     (
       IF(
         SUMPRODUCT(($C$9:$G$9="CO4")*ISNUMBER($C$10:$G$10)*ISNUMBER(C64:G64)) = 0,
         0,
         SUMPRODUCT(($C$9:$G$9="CO4")*ISNUMBER($C$10:$G$10)*ISNUMBER(C64:G64)*C64:G64) /
         SUMPRODUCT(($C$9:$G$9="CO4")*ISNUMBER($C$10:$G$10)*ISNUMBER(C64:G64)*$C$10:$G$10) * 0.15
       ) +
       IF(
         SUMPRODUCT(($H$9:$Z$9="CO4")*ISNUMBER($H$10:$Z$10)*ISNUMBER(H64:Z64)) = 0,
         0,
         SUMPRODUCT(($H$9:$Z$9="CO4")*ISNUMBER($H$10:$Z$10)*ISNUMBER(H64:Z64)*H64:Z64) /
         SUMPRODUCT(($H$9:$Z$9="CO4")*ISNUMBER($H$10:$Z$10)*ISNUMBER(H64:Z64)*$H$10:$Z$10) * 0.85
       )
     ) * 100,
     ""
   )
)</f>
        <v>9</v>
      </c>
      <c r="AE64" s="1" t="str" cm="1">
        <f t="array" ref="AE64">IF(
   SUMPRODUCT(($C$9:$G$9="CO5")*ISNUMBER($C$10:$G$10)*ISNUMBER(C64:G64)) +
   SUMPRODUCT(($H$9:$Z$9="CO5")*ISNUMBER($H$10:$Z$10)*ISNUMBER(H64:Z64)) = 0,
   "",
   IFERROR(
     (
       IF(
         SUMPRODUCT(($C$9:$G$9="CO5")*ISNUMBER($C$10:$G$10)*ISNUMBER(C64:G64)) = 0,
         0,
         SUMPRODUCT(($C$9:$G$9="CO5")*ISNUMBER($C$10:$G$10)*ISNUMBER(C64:G64)*C64:G64) /
         SUMPRODUCT(($C$9:$G$9="CO5")*ISNUMBER($C$10:$G$10)*ISNUMBER(C64:G64)*$C$10:$G$10) * 0.15
       ) +
       IF(
         SUMPRODUCT(($H$9:$Z$9="CO5")*ISNUMBER($H$10:$Z$10)*ISNUMBER(H64:Z64)) = 0,
         0,
         SUMPRODUCT(($H$9:$Z$9="CO5")*ISNUMBER($H$10:$Z$10)*ISNUMBER(H64:Z64)*H64:Z64) /
         SUMPRODUCT(($H$9:$Z$9="CO5")*ISNUMBER($H$10:$Z$10)*ISNUMBER(H64:Z64)*$H$10:$Z$10) * 0.85
       )
     ) * 100,
     ""
   )
)</f>
        <v/>
      </c>
      <c r="AF64" s="1" t="str" cm="1">
        <f t="array" ref="AF64">IF(
   SUMPRODUCT(($C$9:$G$9="CO6")*ISNUMBER($C$10:$G$10)*ISNUMBER(C64:G64)) +
   SUMPRODUCT(($H$9:$Z$9="CO6")*ISNUMBER($H$10:$Z$10)*ISNUMBER(H64:Z64)) = 0,
   "",
   IFERROR(
     (
       IF(
         SUMPRODUCT(($C$9:$G$9="CO6")*ISNUMBER($C$10:$G$10)*ISNUMBER(C64:G64)) = 0,
         0,
         SUMPRODUCT(($C$9:$G$9="CO6")*ISNUMBER($C$10:$G$10)*ISNUMBER(C64:G64)*C64:G64) /
         SUMPRODUCT(($C$9:$G$9="CO6")*ISNUMBER($C$10:$G$10)*ISNUMBER(C64:G64)*$C$10:$G$10) * 0.15
       ) +
       IF(
         SUMPRODUCT(($H$9:$Z$9="CO6")*ISNUMBER($H$10:$Z$10)*ISNUMBER(H64:Z64)) = 0,
         0,
         SUMPRODUCT(($H$9:$Z$9="CO6")*ISNUMBER($H$10:$Z$10)*ISNUMBER(H64:Z64)*H64:Z64) /
         SUMPRODUCT(($H$9:$Z$9="CO6")*ISNUMBER($H$10:$Z$10)*ISNUMBER(H64:Z64)*$H$10:$Z$10) * 0.85
       )
     ) * 100,
     ""
   )
)</f>
        <v/>
      </c>
      <c r="AG64" s="1" t="str" cm="1">
        <f t="array" ref="AG64">IF(
   SUMPRODUCT(($C$9:$G$9="CO7")*ISNUMBER($C$10:$G$10)*ISNUMBER(C64:G64)) +
   SUMPRODUCT(($H$9:$Z$9="CO7")*ISNUMBER($H$10:$Z$10)*ISNUMBER(H64:Z64)) = 0,
   "",
   IFERROR(
     (
       IF(
         SUMPRODUCT(($C$9:$G$9="CO7")*ISNUMBER($C$10:$G$10)*ISNUMBER(C64:G64)) = 0,
         0,
         SUMPRODUCT(($C$9:$G$9="CO7")*ISNUMBER($C$10:$G$10)*ISNUMBER(C64:G64)*C64:G64) /
         SUMPRODUCT(($C$9:$G$9="CO7")*ISNUMBER($C$10:$G$10)*ISNUMBER(C64:G64)*$C$10:$G$10) * 0.15
       ) +
       IF(
         SUMPRODUCT(($H$9:$Z$9="CO7")*ISNUMBER($H$10:$Z$10)*ISNUMBER(H64:Z64)) = 0,
         0,
         SUMPRODUCT(($H$9:$Z$9="CO7")*ISNUMBER($H$10:$Z$10)*ISNUMBER(H64:Z64)*H64:Z64) /
         SUMPRODUCT(($H$9:$Z$9="CO7")*ISNUMBER($H$10:$Z$10)*ISNUMBER(H64:Z64)*$H$10:$Z$10) * 0.85
       )
     ) * 100,
     ""
   )
)</f>
        <v/>
      </c>
      <c r="AH64" s="3" t="str" cm="1">
        <f t="array" ref="AH64">IF(
   SUMPRODUCT(($C$9:$G$9="CO8")*ISNUMBER($C$10:$G$10)*ISNUMBER(C64:G64)) +
   SUMPRODUCT(($H$9:$Z$9="CO8")*ISNUMBER($H$10:$Z$10)*ISNUMBER(H64:Z64)) = 0,
   "",
   IFERROR(
     (
       IF(
         SUMPRODUCT(($C$9:$G$9="CO8")*ISNUMBER($C$10:$G$10)*ISNUMBER(C64:G64)) = 0,
         0,
         SUMPRODUCT(($C$9:$G$9="CO8")*ISNUMBER($C$10:$G$10)*ISNUMBER(C64:G64)*C64:G64) /
         SUMPRODUCT(($C$9:$G$9="CO8")*ISNUMBER($C$10:$G$10)*ISNUMBER(C64:G64)*$C$10:$G$10) * 0.15
       ) +
       IF(
         SUMPRODUCT(($H$9:$Z$9="CO8")*ISNUMBER($H$10:$Z$10)*ISNUMBER(H64:Z64)) = 0,
         0,
         SUMPRODUCT(($H$9:$Z$9="CO8")*ISNUMBER($H$10:$Z$10)*ISNUMBER(H64:Z64)*H64:Z64) /
         SUMPRODUCT(($H$9:$Z$9="CO8")*ISNUMBER($H$10:$Z$10)*ISNUMBER(H64:Z64)*$H$10:$Z$10) * 0.85
       )
     ) * 100,
     ""
   )
)</f>
        <v/>
      </c>
      <c r="AI64" s="1" t="str">
        <f t="shared" si="10"/>
        <v>First</v>
      </c>
      <c r="AJ64" s="1" t="str">
        <f t="shared" si="11"/>
        <v>S</v>
      </c>
      <c r="AK64" s="1" t="str">
        <f t="shared" si="12"/>
        <v>D</v>
      </c>
      <c r="AL64" s="1" t="str">
        <f t="shared" si="4"/>
        <v>F</v>
      </c>
      <c r="AM64" s="1" t="str">
        <f t="shared" si="4"/>
        <v/>
      </c>
      <c r="AN64" s="1" t="str">
        <f t="shared" si="4"/>
        <v/>
      </c>
      <c r="AO64" s="1" t="str">
        <f t="shared" si="4"/>
        <v/>
      </c>
      <c r="AP64" s="1" t="str">
        <f t="shared" si="4"/>
        <v/>
      </c>
    </row>
    <row r="65" spans="1:42" ht="16.2" thickBot="1" x14ac:dyDescent="0.35">
      <c r="A65" s="62">
        <v>2508118</v>
      </c>
      <c r="B65" s="58" t="s">
        <v>162</v>
      </c>
      <c r="C65" s="77">
        <v>4.5</v>
      </c>
      <c r="D65" s="83" t="s">
        <v>180</v>
      </c>
      <c r="E65" s="88">
        <v>2</v>
      </c>
      <c r="F65" s="90">
        <v>0</v>
      </c>
      <c r="G65" s="90" t="s">
        <v>180</v>
      </c>
      <c r="H65" s="14">
        <v>0</v>
      </c>
      <c r="I65" s="14">
        <v>0</v>
      </c>
      <c r="J65" s="14">
        <v>1</v>
      </c>
      <c r="K65" s="14">
        <v>0</v>
      </c>
      <c r="L65" s="14">
        <v>1</v>
      </c>
      <c r="M65" s="14">
        <v>1</v>
      </c>
      <c r="N65" s="14">
        <v>2</v>
      </c>
      <c r="O65" s="14">
        <v>1</v>
      </c>
      <c r="P65" s="14">
        <v>0</v>
      </c>
      <c r="Q65" s="14">
        <v>0</v>
      </c>
      <c r="R65" s="14">
        <v>1</v>
      </c>
      <c r="S65" s="14">
        <v>0</v>
      </c>
      <c r="T65" s="14">
        <v>0</v>
      </c>
      <c r="U65" s="14">
        <v>0</v>
      </c>
      <c r="V65" s="14">
        <v>0.5</v>
      </c>
      <c r="W65" s="14">
        <v>0</v>
      </c>
      <c r="X65" s="98">
        <v>9</v>
      </c>
      <c r="Y65" s="99">
        <v>0</v>
      </c>
      <c r="Z65" s="89">
        <v>2</v>
      </c>
      <c r="AA65" s="1" t="str" cm="1">
        <f t="array" ref="AA65">IF(
   SUMPRODUCT(($C$9:$G$9="CO1")*ISNUMBER($C$10:$G$10)*ISNUMBER(C65:G65)) +
   SUMPRODUCT(($H$9:$Z$9="CO1")*ISNUMBER($H$10:$Z$10)*ISNUMBER(H65:Z65)) = 0,
   "",
   IFERROR(
     (
       IF(
         SUMPRODUCT(($C$9:$G$9="CO1")*ISNUMBER($C$10:$G$10)*ISNUMBER(C65:G65)) = 0,
         0,
         SUMPRODUCT(($C$9:$G$9="CO1")*ISNUMBER($C$10:$G$10)*ISNUMBER(C65:G65)*C65:G65) /
         SUMPRODUCT(($C$9:$G$9="CO1")*ISNUMBER($C$10:$G$10)*ISNUMBER(C65:G65)*$C$10:$G$10) * 0.15
       ) +
       IF(
         SUMPRODUCT(($H$9:$Z$9="CO1")*ISNUMBER($H$10:$Z$10)*ISNUMBER(H65:Z65)) = 0,
         0,
         SUMPRODUCT(($H$9:$Z$9="CO1")*ISNUMBER($H$10:$Z$10)*ISNUMBER(H65:Z65)*H65:Z65) /
         SUMPRODUCT(($H$9:$Z$9="CO1")*ISNUMBER($H$10:$Z$10)*ISNUMBER(H65:Z65)*$H$10:$Z$10) * 0.85
       )
     ) * 100,
     ""
   )
)</f>
        <v/>
      </c>
      <c r="AB65" s="1" t="str" cm="1">
        <f t="array" ref="AB65">IF(
   SUMPRODUCT(($C$9:$G$9="CO2")*ISNUMBER($C$10:$G$10)*ISNUMBER(C65:G65)) +
   SUMPRODUCT(($H$9:$Z$9="CO2")*ISNUMBER($H$10:$Z$10)*ISNUMBER(H65:Z65)) = 0,
   "",
   IFERROR(
     (
       IF(
         SUMPRODUCT(($C$9:$G$9="CO2")*ISNUMBER($C$10:$G$10)*ISNUMBER(C65:G65)) = 0,
         0,
         SUMPRODUCT(($C$9:$G$9="CO2")*ISNUMBER($C$10:$G$10)*ISNUMBER(C65:G65)*C65:G65) /
         SUMPRODUCT(($C$9:$G$9="CO2")*ISNUMBER($C$10:$G$10)*ISNUMBER(C65:G65)*$C$10:$G$10) * 0.15
       ) +
       IF(
         SUMPRODUCT(($H$9:$Z$9="CO2")*ISNUMBER($H$10:$Z$10)*ISNUMBER(H65:Z65)) = 0,
         0,
         SUMPRODUCT(($H$9:$Z$9="CO2")*ISNUMBER($H$10:$Z$10)*ISNUMBER(H65:Z65)*H65:Z65) /
         SUMPRODUCT(($H$9:$Z$9="CO2")*ISNUMBER($H$10:$Z$10)*ISNUMBER(H65:Z65)*$H$10:$Z$10) * 0.85
       )
     ) * 100,
     ""
   )
)</f>
        <v/>
      </c>
      <c r="AC65" s="1" t="str" cm="1">
        <f t="array" ref="AC65">IF(
   SUMPRODUCT(($C$9:$G$9="CO3")*ISNUMBER($C$10:$G$10)*ISNUMBER(C65:G65)) +
   SUMPRODUCT(($H$9:$Z$9="CO3")*ISNUMBER($H$10:$Z$10)*ISNUMBER(H65:Z65)) = 0,
   "",
   IFERROR(
     (
       IF(
         SUMPRODUCT(($C$9:$G$9="CO3")*ISNUMBER($C$10:$G$10)*ISNUMBER(C65:G65)) = 0,
         0,
         SUMPRODUCT(($C$9:$G$9="CO3")*ISNUMBER($C$10:$G$10)*ISNUMBER(C65:G65)*C65:G65) /
         SUMPRODUCT(($C$9:$G$9="CO3")*ISNUMBER($C$10:$G$10)*ISNUMBER(C65:G65)*$C$10:$G$10) * 0.15
       ) +
       IF(
         SUMPRODUCT(($H$9:$Z$9="CO3")*ISNUMBER($H$10:$Z$10)*ISNUMBER(H65:Z65)) = 0,
         0,
         SUMPRODUCT(($H$9:$Z$9="CO3")*ISNUMBER($H$10:$Z$10)*ISNUMBER(H65:Z65)*H65:Z65) /
         SUMPRODUCT(($H$9:$Z$9="CO3")*ISNUMBER($H$10:$Z$10)*ISNUMBER(H65:Z65)*$H$10:$Z$10) * 0.85
       )
     ) * 100,
     ""
   )
)</f>
        <v/>
      </c>
      <c r="AD65" s="1" cm="1">
        <f t="array" ref="AD65">IF(
   SUMPRODUCT(($C$9:$G$9="CO4")*ISNUMBER($C$10:$G$10)*ISNUMBER(C65:G65)) +
   SUMPRODUCT(($H$9:$Z$9="CO4")*ISNUMBER($H$10:$Z$10)*ISNUMBER(H65:Z65)) = 0,
   "",
   IFERROR(
     (
       IF(
         SUMPRODUCT(($C$9:$G$9="CO4")*ISNUMBER($C$10:$G$10)*ISNUMBER(C65:G65)) = 0,
         0,
         SUMPRODUCT(($C$9:$G$9="CO4")*ISNUMBER($C$10:$G$10)*ISNUMBER(C65:G65)*C65:G65) /
         SUMPRODUCT(($C$9:$G$9="CO4")*ISNUMBER($C$10:$G$10)*ISNUMBER(C65:G65)*$C$10:$G$10) * 0.15
       ) +
       IF(
         SUMPRODUCT(($H$9:$Z$9="CO4")*ISNUMBER($H$10:$Z$10)*ISNUMBER(H65:Z65)) = 0,
         0,
         SUMPRODUCT(($H$9:$Z$9="CO4")*ISNUMBER($H$10:$Z$10)*ISNUMBER(H65:Z65)*H65:Z65) /
         SUMPRODUCT(($H$9:$Z$9="CO4")*ISNUMBER($H$10:$Z$10)*ISNUMBER(H65:Z65)*$H$10:$Z$10) * 0.85
       )
     ) * 100,
     ""
   )
)</f>
        <v>7.083333333333333</v>
      </c>
      <c r="AE65" s="1" t="str" cm="1">
        <f t="array" ref="AE65">IF(
   SUMPRODUCT(($C$9:$G$9="CO5")*ISNUMBER($C$10:$G$10)*ISNUMBER(C65:G65)) +
   SUMPRODUCT(($H$9:$Z$9="CO5")*ISNUMBER($H$10:$Z$10)*ISNUMBER(H65:Z65)) = 0,
   "",
   IFERROR(
     (
       IF(
         SUMPRODUCT(($C$9:$G$9="CO5")*ISNUMBER($C$10:$G$10)*ISNUMBER(C65:G65)) = 0,
         0,
         SUMPRODUCT(($C$9:$G$9="CO5")*ISNUMBER($C$10:$G$10)*ISNUMBER(C65:G65)*C65:G65) /
         SUMPRODUCT(($C$9:$G$9="CO5")*ISNUMBER($C$10:$G$10)*ISNUMBER(C65:G65)*$C$10:$G$10) * 0.15
       ) +
       IF(
         SUMPRODUCT(($H$9:$Z$9="CO5")*ISNUMBER($H$10:$Z$10)*ISNUMBER(H65:Z65)) = 0,
         0,
         SUMPRODUCT(($H$9:$Z$9="CO5")*ISNUMBER($H$10:$Z$10)*ISNUMBER(H65:Z65)*H65:Z65) /
         SUMPRODUCT(($H$9:$Z$9="CO5")*ISNUMBER($H$10:$Z$10)*ISNUMBER(H65:Z65)*$H$10:$Z$10) * 0.85
       )
     ) * 100,
     ""
   )
)</f>
        <v/>
      </c>
      <c r="AF65" s="1" t="str" cm="1">
        <f t="array" ref="AF65">IF(
   SUMPRODUCT(($C$9:$G$9="CO6")*ISNUMBER($C$10:$G$10)*ISNUMBER(C65:G65)) +
   SUMPRODUCT(($H$9:$Z$9="CO6")*ISNUMBER($H$10:$Z$10)*ISNUMBER(H65:Z65)) = 0,
   "",
   IFERROR(
     (
       IF(
         SUMPRODUCT(($C$9:$G$9="CO6")*ISNUMBER($C$10:$G$10)*ISNUMBER(C65:G65)) = 0,
         0,
         SUMPRODUCT(($C$9:$G$9="CO6")*ISNUMBER($C$10:$G$10)*ISNUMBER(C65:G65)*C65:G65) /
         SUMPRODUCT(($C$9:$G$9="CO6")*ISNUMBER($C$10:$G$10)*ISNUMBER(C65:G65)*$C$10:$G$10) * 0.15
       ) +
       IF(
         SUMPRODUCT(($H$9:$Z$9="CO6")*ISNUMBER($H$10:$Z$10)*ISNUMBER(H65:Z65)) = 0,
         0,
         SUMPRODUCT(($H$9:$Z$9="CO6")*ISNUMBER($H$10:$Z$10)*ISNUMBER(H65:Z65)*H65:Z65) /
         SUMPRODUCT(($H$9:$Z$9="CO6")*ISNUMBER($H$10:$Z$10)*ISNUMBER(H65:Z65)*$H$10:$Z$10) * 0.85
       )
     ) * 100,
     ""
   )
)</f>
        <v/>
      </c>
      <c r="AG65" s="1" t="str" cm="1">
        <f t="array" ref="AG65">IF(
   SUMPRODUCT(($C$9:$G$9="CO7")*ISNUMBER($C$10:$G$10)*ISNUMBER(C65:G65)) +
   SUMPRODUCT(($H$9:$Z$9="CO7")*ISNUMBER($H$10:$Z$10)*ISNUMBER(H65:Z65)) = 0,
   "",
   IFERROR(
     (
       IF(
         SUMPRODUCT(($C$9:$G$9="CO7")*ISNUMBER($C$10:$G$10)*ISNUMBER(C65:G65)) = 0,
         0,
         SUMPRODUCT(($C$9:$G$9="CO7")*ISNUMBER($C$10:$G$10)*ISNUMBER(C65:G65)*C65:G65) /
         SUMPRODUCT(($C$9:$G$9="CO7")*ISNUMBER($C$10:$G$10)*ISNUMBER(C65:G65)*$C$10:$G$10) * 0.15
       ) +
       IF(
         SUMPRODUCT(($H$9:$Z$9="CO7")*ISNUMBER($H$10:$Z$10)*ISNUMBER(H65:Z65)) = 0,
         0,
         SUMPRODUCT(($H$9:$Z$9="CO7")*ISNUMBER($H$10:$Z$10)*ISNUMBER(H65:Z65)*H65:Z65) /
         SUMPRODUCT(($H$9:$Z$9="CO7")*ISNUMBER($H$10:$Z$10)*ISNUMBER(H65:Z65)*$H$10:$Z$10) * 0.85
       )
     ) * 100,
     ""
   )
)</f>
        <v/>
      </c>
      <c r="AH65" s="3" t="str" cm="1">
        <f t="array" ref="AH65">IF(
   SUMPRODUCT(($C$9:$G$9="CO8")*ISNUMBER($C$10:$G$10)*ISNUMBER(C65:G65)) +
   SUMPRODUCT(($H$9:$Z$9="CO8")*ISNUMBER($H$10:$Z$10)*ISNUMBER(H65:Z65)) = 0,
   "",
   IFERROR(
     (
       IF(
         SUMPRODUCT(($C$9:$G$9="CO8")*ISNUMBER($C$10:$G$10)*ISNUMBER(C65:G65)) = 0,
         0,
         SUMPRODUCT(($C$9:$G$9="CO8")*ISNUMBER($C$10:$G$10)*ISNUMBER(C65:G65)*C65:G65) /
         SUMPRODUCT(($C$9:$G$9="CO8")*ISNUMBER($C$10:$G$10)*ISNUMBER(C65:G65)*$C$10:$G$10) * 0.15
       ) +
       IF(
         SUMPRODUCT(($H$9:$Z$9="CO8")*ISNUMBER($H$10:$Z$10)*ISNUMBER(H65:Z65)) = 0,
         0,
         SUMPRODUCT(($H$9:$Z$9="CO8")*ISNUMBER($H$10:$Z$10)*ISNUMBER(H65:Z65)*H65:Z65) /
         SUMPRODUCT(($H$9:$Z$9="CO8")*ISNUMBER($H$10:$Z$10)*ISNUMBER(H65:Z65)*$H$10:$Z$10) * 0.85
       )
     ) * 100,
     ""
   )
)</f>
        <v/>
      </c>
      <c r="AI65" s="1" t="str">
        <f t="shared" si="10"/>
        <v/>
      </c>
      <c r="AJ65" s="1" t="str">
        <f t="shared" si="11"/>
        <v/>
      </c>
      <c r="AK65" s="1" t="str">
        <f t="shared" si="12"/>
        <v/>
      </c>
      <c r="AL65" s="1" t="str">
        <f t="shared" si="4"/>
        <v>F</v>
      </c>
      <c r="AM65" s="1" t="str">
        <f t="shared" si="4"/>
        <v/>
      </c>
      <c r="AN65" s="1" t="str">
        <f t="shared" si="4"/>
        <v/>
      </c>
      <c r="AO65" s="1" t="str">
        <f t="shared" si="4"/>
        <v/>
      </c>
      <c r="AP65" s="1" t="str">
        <f t="shared" si="4"/>
        <v/>
      </c>
    </row>
    <row r="66" spans="1:42" ht="16.2" thickBot="1" x14ac:dyDescent="0.35">
      <c r="A66" s="62">
        <v>2508119</v>
      </c>
      <c r="B66" s="58" t="s">
        <v>163</v>
      </c>
      <c r="C66" s="78">
        <v>2</v>
      </c>
      <c r="D66" s="82">
        <v>3</v>
      </c>
      <c r="E66" s="88">
        <v>2.5</v>
      </c>
      <c r="F66" s="90" t="s">
        <v>180</v>
      </c>
      <c r="G66" s="89">
        <v>3</v>
      </c>
      <c r="H66" s="14">
        <v>0</v>
      </c>
      <c r="I66" s="14">
        <v>1</v>
      </c>
      <c r="J66" s="14">
        <v>1</v>
      </c>
      <c r="K66" s="14">
        <v>1</v>
      </c>
      <c r="L66" s="14">
        <v>0</v>
      </c>
      <c r="M66" s="14">
        <v>0</v>
      </c>
      <c r="N66" s="14">
        <v>2</v>
      </c>
      <c r="O66" s="14">
        <v>0</v>
      </c>
      <c r="P66" s="14">
        <v>0</v>
      </c>
      <c r="Q66" s="14">
        <v>0</v>
      </c>
      <c r="R66" s="14">
        <v>1.5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98">
        <v>17</v>
      </c>
      <c r="Y66" s="99">
        <v>6</v>
      </c>
      <c r="Z66" s="89">
        <v>2</v>
      </c>
      <c r="AA66" s="1" t="str" cm="1">
        <f t="array" ref="AA66">IF(
   SUMPRODUCT(($C$9:$G$9="CO1")*ISNUMBER($C$10:$G$10)*ISNUMBER(C66:G66)) +
   SUMPRODUCT(($H$9:$Z$9="CO1")*ISNUMBER($H$10:$Z$10)*ISNUMBER(H66:Z66)) = 0,
   "",
   IFERROR(
     (
       IF(
         SUMPRODUCT(($C$9:$G$9="CO1")*ISNUMBER($C$10:$G$10)*ISNUMBER(C66:G66)) = 0,
         0,
         SUMPRODUCT(($C$9:$G$9="CO1")*ISNUMBER($C$10:$G$10)*ISNUMBER(C66:G66)*C66:G66) /
         SUMPRODUCT(($C$9:$G$9="CO1")*ISNUMBER($C$10:$G$10)*ISNUMBER(C66:G66)*$C$10:$G$10) * 0.15
       ) +
       IF(
         SUMPRODUCT(($H$9:$Z$9="CO1")*ISNUMBER($H$10:$Z$10)*ISNUMBER(H66:Z66)) = 0,
         0,
         SUMPRODUCT(($H$9:$Z$9="CO1")*ISNUMBER($H$10:$Z$10)*ISNUMBER(H66:Z66)*H66:Z66) /
         SUMPRODUCT(($H$9:$Z$9="CO1")*ISNUMBER($H$10:$Z$10)*ISNUMBER(H66:Z66)*$H$10:$Z$10) * 0.85
       )
     ) * 100,
     ""
   )
)</f>
        <v/>
      </c>
      <c r="AB66" s="1" t="str" cm="1">
        <f t="array" ref="AB66">IF(
   SUMPRODUCT(($C$9:$G$9="CO2")*ISNUMBER($C$10:$G$10)*ISNUMBER(C66:G66)) +
   SUMPRODUCT(($H$9:$Z$9="CO2")*ISNUMBER($H$10:$Z$10)*ISNUMBER(H66:Z66)) = 0,
   "",
   IFERROR(
     (
       IF(
         SUMPRODUCT(($C$9:$G$9="CO2")*ISNUMBER($C$10:$G$10)*ISNUMBER(C66:G66)) = 0,
         0,
         SUMPRODUCT(($C$9:$G$9="CO2")*ISNUMBER($C$10:$G$10)*ISNUMBER(C66:G66)*C66:G66) /
         SUMPRODUCT(($C$9:$G$9="CO2")*ISNUMBER($C$10:$G$10)*ISNUMBER(C66:G66)*$C$10:$G$10) * 0.15
       ) +
       IF(
         SUMPRODUCT(($H$9:$Z$9="CO2")*ISNUMBER($H$10:$Z$10)*ISNUMBER(H66:Z66)) = 0,
         0,
         SUMPRODUCT(($H$9:$Z$9="CO2")*ISNUMBER($H$10:$Z$10)*ISNUMBER(H66:Z66)*H66:Z66) /
         SUMPRODUCT(($H$9:$Z$9="CO2")*ISNUMBER($H$10:$Z$10)*ISNUMBER(H66:Z66)*$H$10:$Z$10) * 0.85
       )
     ) * 100,
     ""
   )
)</f>
        <v/>
      </c>
      <c r="AC66" s="1" cm="1">
        <f t="array" ref="AC66">IF(
   SUMPRODUCT(($C$9:$G$9="CO3")*ISNUMBER($C$10:$G$10)*ISNUMBER(C66:G66)) +
   SUMPRODUCT(($H$9:$Z$9="CO3")*ISNUMBER($H$10:$Z$10)*ISNUMBER(H66:Z66)) = 0,
   "",
   IFERROR(
     (
       IF(
         SUMPRODUCT(($C$9:$G$9="CO3")*ISNUMBER($C$10:$G$10)*ISNUMBER(C66:G66)) = 0,
         0,
         SUMPRODUCT(($C$9:$G$9="CO3")*ISNUMBER($C$10:$G$10)*ISNUMBER(C66:G66)*C66:G66) /
         SUMPRODUCT(($C$9:$G$9="CO3")*ISNUMBER($C$10:$G$10)*ISNUMBER(C66:G66)*$C$10:$G$10) * 0.15
       ) +
       IF(
         SUMPRODUCT(($H$9:$Z$9="CO3")*ISNUMBER($H$10:$Z$10)*ISNUMBER(H66:Z66)) = 0,
         0,
         SUMPRODUCT(($H$9:$Z$9="CO3")*ISNUMBER($H$10:$Z$10)*ISNUMBER(H66:Z66)*H66:Z66) /
         SUMPRODUCT(($H$9:$Z$9="CO3")*ISNUMBER($H$10:$Z$10)*ISNUMBER(H66:Z66)*$H$10:$Z$10) * 0.85
       )
     ) * 100,
     ""
   )
)</f>
        <v>51.607142857142854</v>
      </c>
      <c r="AD66" s="1" t="str" cm="1">
        <f t="array" ref="AD66">IF(
   SUMPRODUCT(($C$9:$G$9="CO4")*ISNUMBER($C$10:$G$10)*ISNUMBER(C66:G66)) +
   SUMPRODUCT(($H$9:$Z$9="CO4")*ISNUMBER($H$10:$Z$10)*ISNUMBER(H66:Z66)) = 0,
   "",
   IFERROR(
     (
       IF(
         SUMPRODUCT(($C$9:$G$9="CO4")*ISNUMBER($C$10:$G$10)*ISNUMBER(C66:G66)) = 0,
         0,
         SUMPRODUCT(($C$9:$G$9="CO4")*ISNUMBER($C$10:$G$10)*ISNUMBER(C66:G66)*C66:G66) /
         SUMPRODUCT(($C$9:$G$9="CO4")*ISNUMBER($C$10:$G$10)*ISNUMBER(C66:G66)*$C$10:$G$10) * 0.15
       ) +
       IF(
         SUMPRODUCT(($H$9:$Z$9="CO4")*ISNUMBER($H$10:$Z$10)*ISNUMBER(H66:Z66)) = 0,
         0,
         SUMPRODUCT(($H$9:$Z$9="CO4")*ISNUMBER($H$10:$Z$10)*ISNUMBER(H66:Z66)*H66:Z66) /
         SUMPRODUCT(($H$9:$Z$9="CO4")*ISNUMBER($H$10:$Z$10)*ISNUMBER(H66:Z66)*$H$10:$Z$10) * 0.85
       )
     ) * 100,
     ""
   )
)</f>
        <v/>
      </c>
      <c r="AE66" s="1" t="str" cm="1">
        <f t="array" ref="AE66">IF(
   SUMPRODUCT(($C$9:$G$9="CO5")*ISNUMBER($C$10:$G$10)*ISNUMBER(C66:G66)) +
   SUMPRODUCT(($H$9:$Z$9="CO5")*ISNUMBER($H$10:$Z$10)*ISNUMBER(H66:Z66)) = 0,
   "",
   IFERROR(
     (
       IF(
         SUMPRODUCT(($C$9:$G$9="CO5")*ISNUMBER($C$10:$G$10)*ISNUMBER(C66:G66)) = 0,
         0,
         SUMPRODUCT(($C$9:$G$9="CO5")*ISNUMBER($C$10:$G$10)*ISNUMBER(C66:G66)*C66:G66) /
         SUMPRODUCT(($C$9:$G$9="CO5")*ISNUMBER($C$10:$G$10)*ISNUMBER(C66:G66)*$C$10:$G$10) * 0.15
       ) +
       IF(
         SUMPRODUCT(($H$9:$Z$9="CO5")*ISNUMBER($H$10:$Z$10)*ISNUMBER(H66:Z66)) = 0,
         0,
         SUMPRODUCT(($H$9:$Z$9="CO5")*ISNUMBER($H$10:$Z$10)*ISNUMBER(H66:Z66)*H66:Z66) /
         SUMPRODUCT(($H$9:$Z$9="CO5")*ISNUMBER($H$10:$Z$10)*ISNUMBER(H66:Z66)*$H$10:$Z$10) * 0.85
       )
     ) * 100,
     ""
   )
)</f>
        <v/>
      </c>
      <c r="AF66" s="1" t="str" cm="1">
        <f t="array" ref="AF66">IF(
   SUMPRODUCT(($C$9:$G$9="CO6")*ISNUMBER($C$10:$G$10)*ISNUMBER(C66:G66)) +
   SUMPRODUCT(($H$9:$Z$9="CO6")*ISNUMBER($H$10:$Z$10)*ISNUMBER(H66:Z66)) = 0,
   "",
   IFERROR(
     (
       IF(
         SUMPRODUCT(($C$9:$G$9="CO6")*ISNUMBER($C$10:$G$10)*ISNUMBER(C66:G66)) = 0,
         0,
         SUMPRODUCT(($C$9:$G$9="CO6")*ISNUMBER($C$10:$G$10)*ISNUMBER(C66:G66)*C66:G66) /
         SUMPRODUCT(($C$9:$G$9="CO6")*ISNUMBER($C$10:$G$10)*ISNUMBER(C66:G66)*$C$10:$G$10) * 0.15
       ) +
       IF(
         SUMPRODUCT(($H$9:$Z$9="CO6")*ISNUMBER($H$10:$Z$10)*ISNUMBER(H66:Z66)) = 0,
         0,
         SUMPRODUCT(($H$9:$Z$9="CO6")*ISNUMBER($H$10:$Z$10)*ISNUMBER(H66:Z66)*H66:Z66) /
         SUMPRODUCT(($H$9:$Z$9="CO6")*ISNUMBER($H$10:$Z$10)*ISNUMBER(H66:Z66)*$H$10:$Z$10) * 0.85
       )
     ) * 100,
     ""
   )
)</f>
        <v/>
      </c>
      <c r="AG66" s="1" t="str" cm="1">
        <f t="array" ref="AG66">IF(
   SUMPRODUCT(($C$9:$G$9="CO7")*ISNUMBER($C$10:$G$10)*ISNUMBER(C66:G66)) +
   SUMPRODUCT(($H$9:$Z$9="CO7")*ISNUMBER($H$10:$Z$10)*ISNUMBER(H66:Z66)) = 0,
   "",
   IFERROR(
     (
       IF(
         SUMPRODUCT(($C$9:$G$9="CO7")*ISNUMBER($C$10:$G$10)*ISNUMBER(C66:G66)) = 0,
         0,
         SUMPRODUCT(($C$9:$G$9="CO7")*ISNUMBER($C$10:$G$10)*ISNUMBER(C66:G66)*C66:G66) /
         SUMPRODUCT(($C$9:$G$9="CO7")*ISNUMBER($C$10:$G$10)*ISNUMBER(C66:G66)*$C$10:$G$10) * 0.15
       ) +
       IF(
         SUMPRODUCT(($H$9:$Z$9="CO7")*ISNUMBER($H$10:$Z$10)*ISNUMBER(H66:Z66)) = 0,
         0,
         SUMPRODUCT(($H$9:$Z$9="CO7")*ISNUMBER($H$10:$Z$10)*ISNUMBER(H66:Z66)*H66:Z66) /
         SUMPRODUCT(($H$9:$Z$9="CO7")*ISNUMBER($H$10:$Z$10)*ISNUMBER(H66:Z66)*$H$10:$Z$10) * 0.85
       )
     ) * 100,
     ""
   )
)</f>
        <v/>
      </c>
      <c r="AH66" s="3" t="str" cm="1">
        <f t="array" ref="AH66">IF(
   SUMPRODUCT(($C$9:$G$9="CO8")*ISNUMBER($C$10:$G$10)*ISNUMBER(C66:G66)) +
   SUMPRODUCT(($H$9:$Z$9="CO8")*ISNUMBER($H$10:$Z$10)*ISNUMBER(H66:Z66)) = 0,
   "",
   IFERROR(
     (
       IF(
         SUMPRODUCT(($C$9:$G$9="CO8")*ISNUMBER($C$10:$G$10)*ISNUMBER(C66:G66)) = 0,
         0,
         SUMPRODUCT(($C$9:$G$9="CO8")*ISNUMBER($C$10:$G$10)*ISNUMBER(C66:G66)*C66:G66) /
         SUMPRODUCT(($C$9:$G$9="CO8")*ISNUMBER($C$10:$G$10)*ISNUMBER(C66:G66)*$C$10:$G$10) * 0.15
       ) +
       IF(
         SUMPRODUCT(($H$9:$Z$9="CO8")*ISNUMBER($H$10:$Z$10)*ISNUMBER(H66:Z66)) = 0,
         0,
         SUMPRODUCT(($H$9:$Z$9="CO8")*ISNUMBER($H$10:$Z$10)*ISNUMBER(H66:Z66)*H66:Z66) /
         SUMPRODUCT(($H$9:$Z$9="CO8")*ISNUMBER($H$10:$Z$10)*ISNUMBER(H66:Z66)*$H$10:$Z$10) * 0.85
       )
     ) * 100,
     ""
   )
)</f>
        <v/>
      </c>
      <c r="AI66" s="1" t="str">
        <f t="shared" si="10"/>
        <v/>
      </c>
      <c r="AJ66" s="1" t="str">
        <f t="shared" si="11"/>
        <v/>
      </c>
      <c r="AK66" s="1" t="str">
        <f t="shared" si="12"/>
        <v>S</v>
      </c>
      <c r="AL66" s="1" t="str">
        <f t="shared" si="4"/>
        <v/>
      </c>
      <c r="AM66" s="1" t="str">
        <f t="shared" si="4"/>
        <v/>
      </c>
      <c r="AN66" s="1" t="str">
        <f t="shared" si="4"/>
        <v/>
      </c>
      <c r="AO66" s="1" t="str">
        <f t="shared" si="4"/>
        <v/>
      </c>
      <c r="AP66" s="1" t="str">
        <f t="shared" si="4"/>
        <v/>
      </c>
    </row>
    <row r="67" spans="1:42" ht="16.2" thickBot="1" x14ac:dyDescent="0.35">
      <c r="A67" s="62">
        <v>2508120</v>
      </c>
      <c r="B67" s="58" t="s">
        <v>164</v>
      </c>
      <c r="C67" s="77">
        <v>3</v>
      </c>
      <c r="D67" s="82">
        <v>4</v>
      </c>
      <c r="E67" s="88">
        <v>5</v>
      </c>
      <c r="F67" s="89">
        <v>5</v>
      </c>
      <c r="G67" s="89">
        <v>5</v>
      </c>
      <c r="H67" s="14">
        <v>1</v>
      </c>
      <c r="I67" s="14">
        <v>1</v>
      </c>
      <c r="J67" s="14">
        <v>1</v>
      </c>
      <c r="K67" s="14">
        <v>1</v>
      </c>
      <c r="L67" s="14">
        <v>0</v>
      </c>
      <c r="M67" s="14">
        <v>1</v>
      </c>
      <c r="N67" s="14">
        <v>2</v>
      </c>
      <c r="O67" s="14">
        <v>2</v>
      </c>
      <c r="P67" s="14">
        <v>0</v>
      </c>
      <c r="Q67" s="14">
        <v>2</v>
      </c>
      <c r="R67" s="14">
        <v>1</v>
      </c>
      <c r="S67" s="14">
        <v>0</v>
      </c>
      <c r="T67" s="14">
        <v>1</v>
      </c>
      <c r="U67" s="14">
        <v>0</v>
      </c>
      <c r="V67" s="14">
        <v>2</v>
      </c>
      <c r="W67" s="14">
        <v>2</v>
      </c>
      <c r="X67" s="98">
        <v>23</v>
      </c>
      <c r="Y67" s="99">
        <v>8</v>
      </c>
      <c r="Z67" s="89">
        <v>8</v>
      </c>
      <c r="AA67" s="1" cm="1">
        <f t="array" ref="AA67">IF(
   SUMPRODUCT(($C$9:$G$9="CO1")*ISNUMBER($C$10:$G$10)*ISNUMBER(C67:G67)) +
   SUMPRODUCT(($H$9:$Z$9="CO1")*ISNUMBER($H$10:$Z$10)*ISNUMBER(H67:Z67)) = 0,
   "",
   IFERROR(
     (
       IF(
         SUMPRODUCT(($C$9:$G$9="CO1")*ISNUMBER($C$10:$G$10)*ISNUMBER(C67:G67)) = 0,
         0,
         SUMPRODUCT(($C$9:$G$9="CO1")*ISNUMBER($C$10:$G$10)*ISNUMBER(C67:G67)*C67:G67) /
         SUMPRODUCT(($C$9:$G$9="CO1")*ISNUMBER($C$10:$G$10)*ISNUMBER(C67:G67)*$C$10:$G$10) * 0.15
       ) +
       IF(
         SUMPRODUCT(($H$9:$Z$9="CO1")*ISNUMBER($H$10:$Z$10)*ISNUMBER(H67:Z67)) = 0,
         0,
         SUMPRODUCT(($H$9:$Z$9="CO1")*ISNUMBER($H$10:$Z$10)*ISNUMBER(H67:Z67)*H67:Z67) /
         SUMPRODUCT(($H$9:$Z$9="CO1")*ISNUMBER($H$10:$Z$10)*ISNUMBER(H67:Z67)*$H$10:$Z$10) * 0.85
       )
     ) * 100,
     ""
   )
)</f>
        <v>79.833333333333329</v>
      </c>
      <c r="AB67" s="1" cm="1">
        <f t="array" ref="AB67">IF(
   SUMPRODUCT(($C$9:$G$9="CO2")*ISNUMBER($C$10:$G$10)*ISNUMBER(C67:G67)) +
   SUMPRODUCT(($H$9:$Z$9="CO2")*ISNUMBER($H$10:$Z$10)*ISNUMBER(H67:Z67)) = 0,
   "",
   IFERROR(
     (
       IF(
         SUMPRODUCT(($C$9:$G$9="CO2")*ISNUMBER($C$10:$G$10)*ISNUMBER(C67:G67)) = 0,
         0,
         SUMPRODUCT(($C$9:$G$9="CO2")*ISNUMBER($C$10:$G$10)*ISNUMBER(C67:G67)*C67:G67) /
         SUMPRODUCT(($C$9:$G$9="CO2")*ISNUMBER($C$10:$G$10)*ISNUMBER(C67:G67)*$C$10:$G$10) * 0.15
       ) +
       IF(
         SUMPRODUCT(($H$9:$Z$9="CO2")*ISNUMBER($H$10:$Z$10)*ISNUMBER(H67:Z67)) = 0,
         0,
         SUMPRODUCT(($H$9:$Z$9="CO2")*ISNUMBER($H$10:$Z$10)*ISNUMBER(H67:Z67)*H67:Z67) /
         SUMPRODUCT(($H$9:$Z$9="CO2")*ISNUMBER($H$10:$Z$10)*ISNUMBER(H67:Z67)*$H$10:$Z$10) * 0.85
       )
     ) * 100,
     ""
   )
)</f>
        <v>71.9375</v>
      </c>
      <c r="AC67" s="1" cm="1">
        <f t="array" ref="AC67">IF(
   SUMPRODUCT(($C$9:$G$9="CO3")*ISNUMBER($C$10:$G$10)*ISNUMBER(C67:G67)) +
   SUMPRODUCT(($H$9:$Z$9="CO3")*ISNUMBER($H$10:$Z$10)*ISNUMBER(H67:Z67)) = 0,
   "",
   IFERROR(
     (
       IF(
         SUMPRODUCT(($C$9:$G$9="CO3")*ISNUMBER($C$10:$G$10)*ISNUMBER(C67:G67)) = 0,
         0,
         SUMPRODUCT(($C$9:$G$9="CO3")*ISNUMBER($C$10:$G$10)*ISNUMBER(C67:G67)*C67:G67) /
         SUMPRODUCT(($C$9:$G$9="CO3")*ISNUMBER($C$10:$G$10)*ISNUMBER(C67:G67)*$C$10:$G$10) * 0.15
       ) +
       IF(
         SUMPRODUCT(($H$9:$Z$9="CO3")*ISNUMBER($H$10:$Z$10)*ISNUMBER(H67:Z67)) = 0,
         0,
         SUMPRODUCT(($H$9:$Z$9="CO3")*ISNUMBER($H$10:$Z$10)*ISNUMBER(H67:Z67)*H67:Z67) /
         SUMPRODUCT(($H$9:$Z$9="CO3")*ISNUMBER($H$10:$Z$10)*ISNUMBER(H67:Z67)*$H$10:$Z$10) * 0.85
       )
     ) * 100,
     ""
   )
)</f>
        <v>93.928571428571431</v>
      </c>
      <c r="AD67" s="1" cm="1">
        <f t="array" ref="AD67">IF(
   SUMPRODUCT(($C$9:$G$9="CO4")*ISNUMBER($C$10:$G$10)*ISNUMBER(C67:G67)) +
   SUMPRODUCT(($H$9:$Z$9="CO4")*ISNUMBER($H$10:$Z$10)*ISNUMBER(H67:Z67)) = 0,
   "",
   IFERROR(
     (
       IF(
         SUMPRODUCT(($C$9:$G$9="CO4")*ISNUMBER($C$10:$G$10)*ISNUMBER(C67:G67)) = 0,
         0,
         SUMPRODUCT(($C$9:$G$9="CO4")*ISNUMBER($C$10:$G$10)*ISNUMBER(C67:G67)*C67:G67) /
         SUMPRODUCT(($C$9:$G$9="CO4")*ISNUMBER($C$10:$G$10)*ISNUMBER(C67:G67)*$C$10:$G$10) * 0.15
       ) +
       IF(
         SUMPRODUCT(($H$9:$Z$9="CO4")*ISNUMBER($H$10:$Z$10)*ISNUMBER(H67:Z67)) = 0,
         0,
         SUMPRODUCT(($H$9:$Z$9="CO4")*ISNUMBER($H$10:$Z$10)*ISNUMBER(H67:Z67)*H67:Z67) /
         SUMPRODUCT(($H$9:$Z$9="CO4")*ISNUMBER($H$10:$Z$10)*ISNUMBER(H67:Z67)*$H$10:$Z$10) * 0.85
       )
     ) * 100,
     ""
   )
)</f>
        <v>71.666666666666671</v>
      </c>
      <c r="AE67" s="1" t="str" cm="1">
        <f t="array" ref="AE67">IF(
   SUMPRODUCT(($C$9:$G$9="CO5")*ISNUMBER($C$10:$G$10)*ISNUMBER(C67:G67)) +
   SUMPRODUCT(($H$9:$Z$9="CO5")*ISNUMBER($H$10:$Z$10)*ISNUMBER(H67:Z67)) = 0,
   "",
   IFERROR(
     (
       IF(
         SUMPRODUCT(($C$9:$G$9="CO5")*ISNUMBER($C$10:$G$10)*ISNUMBER(C67:G67)) = 0,
         0,
         SUMPRODUCT(($C$9:$G$9="CO5")*ISNUMBER($C$10:$G$10)*ISNUMBER(C67:G67)*C67:G67) /
         SUMPRODUCT(($C$9:$G$9="CO5")*ISNUMBER($C$10:$G$10)*ISNUMBER(C67:G67)*$C$10:$G$10) * 0.15
       ) +
       IF(
         SUMPRODUCT(($H$9:$Z$9="CO5")*ISNUMBER($H$10:$Z$10)*ISNUMBER(H67:Z67)) = 0,
         0,
         SUMPRODUCT(($H$9:$Z$9="CO5")*ISNUMBER($H$10:$Z$10)*ISNUMBER(H67:Z67)*H67:Z67) /
         SUMPRODUCT(($H$9:$Z$9="CO5")*ISNUMBER($H$10:$Z$10)*ISNUMBER(H67:Z67)*$H$10:$Z$10) * 0.85
       )
     ) * 100,
     ""
   )
)</f>
        <v/>
      </c>
      <c r="AF67" s="1" t="str" cm="1">
        <f t="array" ref="AF67">IF(
   SUMPRODUCT(($C$9:$G$9="CO6")*ISNUMBER($C$10:$G$10)*ISNUMBER(C67:G67)) +
   SUMPRODUCT(($H$9:$Z$9="CO6")*ISNUMBER($H$10:$Z$10)*ISNUMBER(H67:Z67)) = 0,
   "",
   IFERROR(
     (
       IF(
         SUMPRODUCT(($C$9:$G$9="CO6")*ISNUMBER($C$10:$G$10)*ISNUMBER(C67:G67)) = 0,
         0,
         SUMPRODUCT(($C$9:$G$9="CO6")*ISNUMBER($C$10:$G$10)*ISNUMBER(C67:G67)*C67:G67) /
         SUMPRODUCT(($C$9:$G$9="CO6")*ISNUMBER($C$10:$G$10)*ISNUMBER(C67:G67)*$C$10:$G$10) * 0.15
       ) +
       IF(
         SUMPRODUCT(($H$9:$Z$9="CO6")*ISNUMBER($H$10:$Z$10)*ISNUMBER(H67:Z67)) = 0,
         0,
         SUMPRODUCT(($H$9:$Z$9="CO6")*ISNUMBER($H$10:$Z$10)*ISNUMBER(H67:Z67)*H67:Z67) /
         SUMPRODUCT(($H$9:$Z$9="CO6")*ISNUMBER($H$10:$Z$10)*ISNUMBER(H67:Z67)*$H$10:$Z$10) * 0.85
       )
     ) * 100,
     ""
   )
)</f>
        <v/>
      </c>
      <c r="AG67" s="1" t="str" cm="1">
        <f t="array" ref="AG67">IF(
   SUMPRODUCT(($C$9:$G$9="CO7")*ISNUMBER($C$10:$G$10)*ISNUMBER(C67:G67)) +
   SUMPRODUCT(($H$9:$Z$9="CO7")*ISNUMBER($H$10:$Z$10)*ISNUMBER(H67:Z67)) = 0,
   "",
   IFERROR(
     (
       IF(
         SUMPRODUCT(($C$9:$G$9="CO7")*ISNUMBER($C$10:$G$10)*ISNUMBER(C67:G67)) = 0,
         0,
         SUMPRODUCT(($C$9:$G$9="CO7")*ISNUMBER($C$10:$G$10)*ISNUMBER(C67:G67)*C67:G67) /
         SUMPRODUCT(($C$9:$G$9="CO7")*ISNUMBER($C$10:$G$10)*ISNUMBER(C67:G67)*$C$10:$G$10) * 0.15
       ) +
       IF(
         SUMPRODUCT(($H$9:$Z$9="CO7")*ISNUMBER($H$10:$Z$10)*ISNUMBER(H67:Z67)) = 0,
         0,
         SUMPRODUCT(($H$9:$Z$9="CO7")*ISNUMBER($H$10:$Z$10)*ISNUMBER(H67:Z67)*H67:Z67) /
         SUMPRODUCT(($H$9:$Z$9="CO7")*ISNUMBER($H$10:$Z$10)*ISNUMBER(H67:Z67)*$H$10:$Z$10) * 0.85
       )
     ) * 100,
     ""
   )
)</f>
        <v/>
      </c>
      <c r="AH67" s="3" t="str" cm="1">
        <f t="array" ref="AH67">IF(
   SUMPRODUCT(($C$9:$G$9="CO8")*ISNUMBER($C$10:$G$10)*ISNUMBER(C67:G67)) +
   SUMPRODUCT(($H$9:$Z$9="CO8")*ISNUMBER($H$10:$Z$10)*ISNUMBER(H67:Z67)) = 0,
   "",
   IFERROR(
     (
       IF(
         SUMPRODUCT(($C$9:$G$9="CO8")*ISNUMBER($C$10:$G$10)*ISNUMBER(C67:G67)) = 0,
         0,
         SUMPRODUCT(($C$9:$G$9="CO8")*ISNUMBER($C$10:$G$10)*ISNUMBER(C67:G67)*C67:G67) /
         SUMPRODUCT(($C$9:$G$9="CO8")*ISNUMBER($C$10:$G$10)*ISNUMBER(C67:G67)*$C$10:$G$10) * 0.15
       ) +
       IF(
         SUMPRODUCT(($H$9:$Z$9="CO8")*ISNUMBER($H$10:$Z$10)*ISNUMBER(H67:Z67)) = 0,
         0,
         SUMPRODUCT(($H$9:$Z$9="CO8")*ISNUMBER($H$10:$Z$10)*ISNUMBER(H67:Z67)*H67:Z67) /
         SUMPRODUCT(($H$9:$Z$9="CO8")*ISNUMBER($H$10:$Z$10)*ISNUMBER(H67:Z67)*$H$10:$Z$10) * 0.85
       )
     ) * 100,
     ""
   )
)</f>
        <v/>
      </c>
      <c r="AI67" s="1" t="str">
        <f t="shared" si="10"/>
        <v>D</v>
      </c>
      <c r="AJ67" s="1" t="str">
        <f t="shared" si="11"/>
        <v>D</v>
      </c>
      <c r="AK67" s="1" t="str">
        <f t="shared" si="12"/>
        <v>D</v>
      </c>
      <c r="AL67" s="1" t="str">
        <f t="shared" si="4"/>
        <v>D</v>
      </c>
      <c r="AM67" s="1" t="str">
        <f t="shared" si="4"/>
        <v/>
      </c>
      <c r="AN67" s="1" t="str">
        <f t="shared" si="4"/>
        <v/>
      </c>
      <c r="AO67" s="1" t="str">
        <f t="shared" si="4"/>
        <v/>
      </c>
      <c r="AP67" s="1" t="str">
        <f t="shared" si="4"/>
        <v/>
      </c>
    </row>
    <row r="68" spans="1:42" ht="16.2" thickBot="1" x14ac:dyDescent="0.35">
      <c r="A68" s="62">
        <v>2508122</v>
      </c>
      <c r="B68" s="58" t="s">
        <v>165</v>
      </c>
      <c r="C68" s="77">
        <v>3.5</v>
      </c>
      <c r="D68" s="83" t="s">
        <v>180</v>
      </c>
      <c r="E68" s="92">
        <v>5</v>
      </c>
      <c r="F68" s="90">
        <v>0</v>
      </c>
      <c r="G68" s="90" t="s">
        <v>180</v>
      </c>
      <c r="H68" s="14">
        <v>1</v>
      </c>
      <c r="I68" s="14">
        <v>1</v>
      </c>
      <c r="J68" s="14">
        <v>1</v>
      </c>
      <c r="K68" s="14">
        <v>1</v>
      </c>
      <c r="L68" s="14">
        <v>0</v>
      </c>
      <c r="M68" s="14">
        <v>0</v>
      </c>
      <c r="N68" s="14">
        <v>2</v>
      </c>
      <c r="O68" s="14">
        <v>0</v>
      </c>
      <c r="P68" s="14">
        <v>1</v>
      </c>
      <c r="Q68" s="14">
        <v>0</v>
      </c>
      <c r="R68" s="14">
        <v>1</v>
      </c>
      <c r="S68" s="14">
        <v>0</v>
      </c>
      <c r="T68" s="14">
        <v>1</v>
      </c>
      <c r="U68" s="14">
        <v>0</v>
      </c>
      <c r="V68" s="14">
        <v>0</v>
      </c>
      <c r="W68" s="14">
        <v>0</v>
      </c>
      <c r="X68" s="98">
        <v>21</v>
      </c>
      <c r="Y68" s="99">
        <v>0</v>
      </c>
      <c r="Z68" s="89">
        <v>5</v>
      </c>
      <c r="AA68" s="1" t="str" cm="1">
        <f t="array" ref="AA68">IF(
   SUMPRODUCT(($C$9:$G$9="CO1")*ISNUMBER($C$10:$G$10)*ISNUMBER(C68:G68)) +
   SUMPRODUCT(($H$9:$Z$9="CO1")*ISNUMBER($H$10:$Z$10)*ISNUMBER(H68:Z68)) = 0,
   "",
   IFERROR(
     (
       IF(
         SUMPRODUCT(($C$9:$G$9="CO1")*ISNUMBER($C$10:$G$10)*ISNUMBER(C68:G68)) = 0,
         0,
         SUMPRODUCT(($C$9:$G$9="CO1")*ISNUMBER($C$10:$G$10)*ISNUMBER(C68:G68)*C68:G68) /
         SUMPRODUCT(($C$9:$G$9="CO1")*ISNUMBER($C$10:$G$10)*ISNUMBER(C68:G68)*$C$10:$G$10) * 0.15
       ) +
       IF(
         SUMPRODUCT(($H$9:$Z$9="CO1")*ISNUMBER($H$10:$Z$10)*ISNUMBER(H68:Z68)) = 0,
         0,
         SUMPRODUCT(($H$9:$Z$9="CO1")*ISNUMBER($H$10:$Z$10)*ISNUMBER(H68:Z68)*H68:Z68) /
         SUMPRODUCT(($H$9:$Z$9="CO1")*ISNUMBER($H$10:$Z$10)*ISNUMBER(H68:Z68)*$H$10:$Z$10) * 0.85
       )
     ) * 100,
     ""
   )
)</f>
        <v/>
      </c>
      <c r="AB68" s="1" t="str" cm="1">
        <f t="array" ref="AB68">IF(
   SUMPRODUCT(($C$9:$G$9="CO2")*ISNUMBER($C$10:$G$10)*ISNUMBER(C68:G68)) +
   SUMPRODUCT(($H$9:$Z$9="CO2")*ISNUMBER($H$10:$Z$10)*ISNUMBER(H68:Z68)) = 0,
   "",
   IFERROR(
     (
       IF(
         SUMPRODUCT(($C$9:$G$9="CO2")*ISNUMBER($C$10:$G$10)*ISNUMBER(C68:G68)) = 0,
         0,
         SUMPRODUCT(($C$9:$G$9="CO2")*ISNUMBER($C$10:$G$10)*ISNUMBER(C68:G68)*C68:G68) /
         SUMPRODUCT(($C$9:$G$9="CO2")*ISNUMBER($C$10:$G$10)*ISNUMBER(C68:G68)*$C$10:$G$10) * 0.15
       ) +
       IF(
         SUMPRODUCT(($H$9:$Z$9="CO2")*ISNUMBER($H$10:$Z$10)*ISNUMBER(H68:Z68)) = 0,
         0,
         SUMPRODUCT(($H$9:$Z$9="CO2")*ISNUMBER($H$10:$Z$10)*ISNUMBER(H68:Z68)*H68:Z68) /
         SUMPRODUCT(($H$9:$Z$9="CO2")*ISNUMBER($H$10:$Z$10)*ISNUMBER(H68:Z68)*$H$10:$Z$10) * 0.85
       )
     ) * 100,
     ""
   )
)</f>
        <v/>
      </c>
      <c r="AC68" s="1" t="str" cm="1">
        <f t="array" ref="AC68">IF(
   SUMPRODUCT(($C$9:$G$9="CO3")*ISNUMBER($C$10:$G$10)*ISNUMBER(C68:G68)) +
   SUMPRODUCT(($H$9:$Z$9="CO3")*ISNUMBER($H$10:$Z$10)*ISNUMBER(H68:Z68)) = 0,
   "",
   IFERROR(
     (
       IF(
         SUMPRODUCT(($C$9:$G$9="CO3")*ISNUMBER($C$10:$G$10)*ISNUMBER(C68:G68)) = 0,
         0,
         SUMPRODUCT(($C$9:$G$9="CO3")*ISNUMBER($C$10:$G$10)*ISNUMBER(C68:G68)*C68:G68) /
         SUMPRODUCT(($C$9:$G$9="CO3")*ISNUMBER($C$10:$G$10)*ISNUMBER(C68:G68)*$C$10:$G$10) * 0.15
       ) +
       IF(
         SUMPRODUCT(($H$9:$Z$9="CO3")*ISNUMBER($H$10:$Z$10)*ISNUMBER(H68:Z68)) = 0,
         0,
         SUMPRODUCT(($H$9:$Z$9="CO3")*ISNUMBER($H$10:$Z$10)*ISNUMBER(H68:Z68)*H68:Z68) /
         SUMPRODUCT(($H$9:$Z$9="CO3")*ISNUMBER($H$10:$Z$10)*ISNUMBER(H68:Z68)*$H$10:$Z$10) * 0.85
       )
     ) * 100,
     ""
   )
)</f>
        <v/>
      </c>
      <c r="AD68" s="1" cm="1">
        <f t="array" ref="AD68">IF(
   SUMPRODUCT(($C$9:$G$9="CO4")*ISNUMBER($C$10:$G$10)*ISNUMBER(C68:G68)) +
   SUMPRODUCT(($H$9:$Z$9="CO4")*ISNUMBER($H$10:$Z$10)*ISNUMBER(H68:Z68)) = 0,
   "",
   IFERROR(
     (
       IF(
         SUMPRODUCT(($C$9:$G$9="CO4")*ISNUMBER($C$10:$G$10)*ISNUMBER(C68:G68)) = 0,
         0,
         SUMPRODUCT(($C$9:$G$9="CO4")*ISNUMBER($C$10:$G$10)*ISNUMBER(C68:G68)*C68:G68) /
         SUMPRODUCT(($C$9:$G$9="CO4")*ISNUMBER($C$10:$G$10)*ISNUMBER(C68:G68)*$C$10:$G$10) * 0.15
       ) +
       IF(
         SUMPRODUCT(($H$9:$Z$9="CO4")*ISNUMBER($H$10:$Z$10)*ISNUMBER(H68:Z68)) = 0,
         0,
         SUMPRODUCT(($H$9:$Z$9="CO4")*ISNUMBER($H$10:$Z$10)*ISNUMBER(H68:Z68)*H68:Z68) /
         SUMPRODUCT(($H$9:$Z$9="CO4")*ISNUMBER($H$10:$Z$10)*ISNUMBER(H68:Z68)*$H$10:$Z$10) * 0.85
       )
     ) * 100,
     ""
   )
)</f>
        <v>0</v>
      </c>
      <c r="AE68" s="1" t="str" cm="1">
        <f t="array" ref="AE68">IF(
   SUMPRODUCT(($C$9:$G$9="CO5")*ISNUMBER($C$10:$G$10)*ISNUMBER(C68:G68)) +
   SUMPRODUCT(($H$9:$Z$9="CO5")*ISNUMBER($H$10:$Z$10)*ISNUMBER(H68:Z68)) = 0,
   "",
   IFERROR(
     (
       IF(
         SUMPRODUCT(($C$9:$G$9="CO5")*ISNUMBER($C$10:$G$10)*ISNUMBER(C68:G68)) = 0,
         0,
         SUMPRODUCT(($C$9:$G$9="CO5")*ISNUMBER($C$10:$G$10)*ISNUMBER(C68:G68)*C68:G68) /
         SUMPRODUCT(($C$9:$G$9="CO5")*ISNUMBER($C$10:$G$10)*ISNUMBER(C68:G68)*$C$10:$G$10) * 0.15
       ) +
       IF(
         SUMPRODUCT(($H$9:$Z$9="CO5")*ISNUMBER($H$10:$Z$10)*ISNUMBER(H68:Z68)) = 0,
         0,
         SUMPRODUCT(($H$9:$Z$9="CO5")*ISNUMBER($H$10:$Z$10)*ISNUMBER(H68:Z68)*H68:Z68) /
         SUMPRODUCT(($H$9:$Z$9="CO5")*ISNUMBER($H$10:$Z$10)*ISNUMBER(H68:Z68)*$H$10:$Z$10) * 0.85
       )
     ) * 100,
     ""
   )
)</f>
        <v/>
      </c>
      <c r="AF68" s="1" t="str" cm="1">
        <f t="array" ref="AF68">IF(
   SUMPRODUCT(($C$9:$G$9="CO6")*ISNUMBER($C$10:$G$10)*ISNUMBER(C68:G68)) +
   SUMPRODUCT(($H$9:$Z$9="CO6")*ISNUMBER($H$10:$Z$10)*ISNUMBER(H68:Z68)) = 0,
   "",
   IFERROR(
     (
       IF(
         SUMPRODUCT(($C$9:$G$9="CO6")*ISNUMBER($C$10:$G$10)*ISNUMBER(C68:G68)) = 0,
         0,
         SUMPRODUCT(($C$9:$G$9="CO6")*ISNUMBER($C$10:$G$10)*ISNUMBER(C68:G68)*C68:G68) /
         SUMPRODUCT(($C$9:$G$9="CO6")*ISNUMBER($C$10:$G$10)*ISNUMBER(C68:G68)*$C$10:$G$10) * 0.15
       ) +
       IF(
         SUMPRODUCT(($H$9:$Z$9="CO6")*ISNUMBER($H$10:$Z$10)*ISNUMBER(H68:Z68)) = 0,
         0,
         SUMPRODUCT(($H$9:$Z$9="CO6")*ISNUMBER($H$10:$Z$10)*ISNUMBER(H68:Z68)*H68:Z68) /
         SUMPRODUCT(($H$9:$Z$9="CO6")*ISNUMBER($H$10:$Z$10)*ISNUMBER(H68:Z68)*$H$10:$Z$10) * 0.85
       )
     ) * 100,
     ""
   )
)</f>
        <v/>
      </c>
      <c r="AG68" s="1" t="str" cm="1">
        <f t="array" ref="AG68">IF(
   SUMPRODUCT(($C$9:$G$9="CO7")*ISNUMBER($C$10:$G$10)*ISNUMBER(C68:G68)) +
   SUMPRODUCT(($H$9:$Z$9="CO7")*ISNUMBER($H$10:$Z$10)*ISNUMBER(H68:Z68)) = 0,
   "",
   IFERROR(
     (
       IF(
         SUMPRODUCT(($C$9:$G$9="CO7")*ISNUMBER($C$10:$G$10)*ISNUMBER(C68:G68)) = 0,
         0,
         SUMPRODUCT(($C$9:$G$9="CO7")*ISNUMBER($C$10:$G$10)*ISNUMBER(C68:G68)*C68:G68) /
         SUMPRODUCT(($C$9:$G$9="CO7")*ISNUMBER($C$10:$G$10)*ISNUMBER(C68:G68)*$C$10:$G$10) * 0.15
       ) +
       IF(
         SUMPRODUCT(($H$9:$Z$9="CO7")*ISNUMBER($H$10:$Z$10)*ISNUMBER(H68:Z68)) = 0,
         0,
         SUMPRODUCT(($H$9:$Z$9="CO7")*ISNUMBER($H$10:$Z$10)*ISNUMBER(H68:Z68)*H68:Z68) /
         SUMPRODUCT(($H$9:$Z$9="CO7")*ISNUMBER($H$10:$Z$10)*ISNUMBER(H68:Z68)*$H$10:$Z$10) * 0.85
       )
     ) * 100,
     ""
   )
)</f>
        <v/>
      </c>
      <c r="AH68" s="3" t="str" cm="1">
        <f t="array" ref="AH68">IF(
   SUMPRODUCT(($C$9:$G$9="CO8")*ISNUMBER($C$10:$G$10)*ISNUMBER(C68:G68)) +
   SUMPRODUCT(($H$9:$Z$9="CO8")*ISNUMBER($H$10:$Z$10)*ISNUMBER(H68:Z68)) = 0,
   "",
   IFERROR(
     (
       IF(
         SUMPRODUCT(($C$9:$G$9="CO8")*ISNUMBER($C$10:$G$10)*ISNUMBER(C68:G68)) = 0,
         0,
         SUMPRODUCT(($C$9:$G$9="CO8")*ISNUMBER($C$10:$G$10)*ISNUMBER(C68:G68)*C68:G68) /
         SUMPRODUCT(($C$9:$G$9="CO8")*ISNUMBER($C$10:$G$10)*ISNUMBER(C68:G68)*$C$10:$G$10) * 0.15
       ) +
       IF(
         SUMPRODUCT(($H$9:$Z$9="CO8")*ISNUMBER($H$10:$Z$10)*ISNUMBER(H68:Z68)) = 0,
         0,
         SUMPRODUCT(($H$9:$Z$9="CO8")*ISNUMBER($H$10:$Z$10)*ISNUMBER(H68:Z68)*H68:Z68) /
         SUMPRODUCT(($H$9:$Z$9="CO8")*ISNUMBER($H$10:$Z$10)*ISNUMBER(H68:Z68)*$H$10:$Z$10) * 0.85
       )
     ) * 100,
     ""
   )
)</f>
        <v/>
      </c>
      <c r="AI68" s="1" t="str">
        <f t="shared" si="10"/>
        <v/>
      </c>
      <c r="AJ68" s="1" t="str">
        <f t="shared" si="11"/>
        <v/>
      </c>
      <c r="AK68" s="1" t="str">
        <f t="shared" si="12"/>
        <v/>
      </c>
      <c r="AL68" s="1" t="str">
        <f t="shared" si="4"/>
        <v>F</v>
      </c>
      <c r="AM68" s="1" t="str">
        <f t="shared" si="4"/>
        <v/>
      </c>
      <c r="AN68" s="1" t="str">
        <f t="shared" si="4"/>
        <v/>
      </c>
      <c r="AO68" s="1" t="str">
        <f t="shared" si="4"/>
        <v/>
      </c>
      <c r="AP68" s="1" t="str">
        <f t="shared" si="4"/>
        <v/>
      </c>
    </row>
    <row r="69" spans="1:42" ht="16.2" thickBot="1" x14ac:dyDescent="0.35">
      <c r="A69" s="62">
        <v>2508123</v>
      </c>
      <c r="B69" s="58" t="s">
        <v>166</v>
      </c>
      <c r="C69" s="77">
        <v>3</v>
      </c>
      <c r="D69" s="82">
        <v>5</v>
      </c>
      <c r="E69" s="88">
        <v>2.5</v>
      </c>
      <c r="F69" s="89">
        <v>5</v>
      </c>
      <c r="G69" s="89">
        <v>3</v>
      </c>
      <c r="H69" s="14">
        <v>0</v>
      </c>
      <c r="I69" s="14">
        <v>1</v>
      </c>
      <c r="J69" s="14">
        <v>1</v>
      </c>
      <c r="K69" s="14">
        <v>1</v>
      </c>
      <c r="L69" s="14">
        <v>0</v>
      </c>
      <c r="M69" s="14">
        <v>1</v>
      </c>
      <c r="N69" s="14">
        <v>2</v>
      </c>
      <c r="O69" s="14">
        <v>0</v>
      </c>
      <c r="P69" s="14">
        <v>2</v>
      </c>
      <c r="Q69" s="14">
        <v>0</v>
      </c>
      <c r="R69" s="14">
        <v>1</v>
      </c>
      <c r="S69" s="14">
        <v>0</v>
      </c>
      <c r="T69" s="14">
        <v>1</v>
      </c>
      <c r="U69" s="14">
        <v>2</v>
      </c>
      <c r="V69" s="14">
        <v>0</v>
      </c>
      <c r="W69" s="14">
        <v>1</v>
      </c>
      <c r="X69" s="98">
        <v>20</v>
      </c>
      <c r="Y69" s="99">
        <v>8</v>
      </c>
      <c r="Z69" s="89">
        <v>7</v>
      </c>
      <c r="AA69" s="1" cm="1">
        <f t="array" ref="AA69">IF(
   SUMPRODUCT(($C$9:$G$9="CO1")*ISNUMBER($C$10:$G$10)*ISNUMBER(C69:G69)) +
   SUMPRODUCT(($H$9:$Z$9="CO1")*ISNUMBER($H$10:$Z$10)*ISNUMBER(H69:Z69)) = 0,
   "",
   IFERROR(
     (
       IF(
         SUMPRODUCT(($C$9:$G$9="CO1")*ISNUMBER($C$10:$G$10)*ISNUMBER(C69:G69)) = 0,
         0,
         SUMPRODUCT(($C$9:$G$9="CO1")*ISNUMBER($C$10:$G$10)*ISNUMBER(C69:G69)*C69:G69) /
         SUMPRODUCT(($C$9:$G$9="CO1")*ISNUMBER($C$10:$G$10)*ISNUMBER(C69:G69)*$C$10:$G$10) * 0.15
       ) +
       IF(
         SUMPRODUCT(($H$9:$Z$9="CO1")*ISNUMBER($H$10:$Z$10)*ISNUMBER(H69:Z69)) = 0,
         0,
         SUMPRODUCT(($H$9:$Z$9="CO1")*ISNUMBER($H$10:$Z$10)*ISNUMBER(H69:Z69)*H69:Z69) /
         SUMPRODUCT(($H$9:$Z$9="CO1")*ISNUMBER($H$10:$Z$10)*ISNUMBER(H69:Z69)*$H$10:$Z$10) * 0.85
       )
     ) * 100,
     ""
   )
)</f>
        <v>70.388888888888886</v>
      </c>
      <c r="AB69" s="1" cm="1">
        <f t="array" ref="AB69">IF(
   SUMPRODUCT(($C$9:$G$9="CO2")*ISNUMBER($C$10:$G$10)*ISNUMBER(C69:G69)) +
   SUMPRODUCT(($H$9:$Z$9="CO2")*ISNUMBER($H$10:$Z$10)*ISNUMBER(H69:Z69)) = 0,
   "",
   IFERROR(
     (
       IF(
         SUMPRODUCT(($C$9:$G$9="CO2")*ISNUMBER($C$10:$G$10)*ISNUMBER(C69:G69)) = 0,
         0,
         SUMPRODUCT(($C$9:$G$9="CO2")*ISNUMBER($C$10:$G$10)*ISNUMBER(C69:G69)*C69:G69) /
         SUMPRODUCT(($C$9:$G$9="CO2")*ISNUMBER($C$10:$G$10)*ISNUMBER(C69:G69)*$C$10:$G$10) * 0.15
       ) +
       IF(
         SUMPRODUCT(($H$9:$Z$9="CO2")*ISNUMBER($H$10:$Z$10)*ISNUMBER(H69:Z69)) = 0,
         0,
         SUMPRODUCT(($H$9:$Z$9="CO2")*ISNUMBER($H$10:$Z$10)*ISNUMBER(H69:Z69)*H69:Z69) /
         SUMPRODUCT(($H$9:$Z$9="CO2")*ISNUMBER($H$10:$Z$10)*ISNUMBER(H69:Z69)*$H$10:$Z$10) * 0.85
       )
     ) * 100,
     ""
   )
)</f>
        <v>69.687499999999986</v>
      </c>
      <c r="AC69" s="1" cm="1">
        <f t="array" ref="AC69">IF(
   SUMPRODUCT(($C$9:$G$9="CO3")*ISNUMBER($C$10:$G$10)*ISNUMBER(C69:G69)) +
   SUMPRODUCT(($H$9:$Z$9="CO3")*ISNUMBER($H$10:$Z$10)*ISNUMBER(H69:Z69)) = 0,
   "",
   IFERROR(
     (
       IF(
         SUMPRODUCT(($C$9:$G$9="CO3")*ISNUMBER($C$10:$G$10)*ISNUMBER(C69:G69)) = 0,
         0,
         SUMPRODUCT(($C$9:$G$9="CO3")*ISNUMBER($C$10:$G$10)*ISNUMBER(C69:G69)*C69:G69) /
         SUMPRODUCT(($C$9:$G$9="CO3")*ISNUMBER($C$10:$G$10)*ISNUMBER(C69:G69)*$C$10:$G$10) * 0.15
       ) +
       IF(
         SUMPRODUCT(($H$9:$Z$9="CO3")*ISNUMBER($H$10:$Z$10)*ISNUMBER(H69:Z69)) = 0,
         0,
         SUMPRODUCT(($H$9:$Z$9="CO3")*ISNUMBER($H$10:$Z$10)*ISNUMBER(H69:Z69)*H69:Z69) /
         SUMPRODUCT(($H$9:$Z$9="CO3")*ISNUMBER($H$10:$Z$10)*ISNUMBER(H69:Z69)*$H$10:$Z$10) * 0.85
       )
     ) * 100,
     ""
   )
)</f>
        <v>78.75</v>
      </c>
      <c r="AD69" s="1" cm="1">
        <f t="array" ref="AD69">IF(
   SUMPRODUCT(($C$9:$G$9="CO4")*ISNUMBER($C$10:$G$10)*ISNUMBER(C69:G69)) +
   SUMPRODUCT(($H$9:$Z$9="CO4")*ISNUMBER($H$10:$Z$10)*ISNUMBER(H69:Z69)) = 0,
   "",
   IFERROR(
     (
       IF(
         SUMPRODUCT(($C$9:$G$9="CO4")*ISNUMBER($C$10:$G$10)*ISNUMBER(C69:G69)) = 0,
         0,
         SUMPRODUCT(($C$9:$G$9="CO4")*ISNUMBER($C$10:$G$10)*ISNUMBER(C69:G69)*C69:G69) /
         SUMPRODUCT(($C$9:$G$9="CO4")*ISNUMBER($C$10:$G$10)*ISNUMBER(C69:G69)*$C$10:$G$10) * 0.15
       ) +
       IF(
         SUMPRODUCT(($H$9:$Z$9="CO4")*ISNUMBER($H$10:$Z$10)*ISNUMBER(H69:Z69)) = 0,
         0,
         SUMPRODUCT(($H$9:$Z$9="CO4")*ISNUMBER($H$10:$Z$10)*ISNUMBER(H69:Z69)*H69:Z69) /
         SUMPRODUCT(($H$9:$Z$9="CO4")*ISNUMBER($H$10:$Z$10)*ISNUMBER(H69:Z69)*$H$10:$Z$10) * 0.85
       )
     ) * 100,
     ""
   )
)</f>
        <v>51.5</v>
      </c>
      <c r="AE69" s="1" t="str" cm="1">
        <f t="array" ref="AE69">IF(
   SUMPRODUCT(($C$9:$G$9="CO5")*ISNUMBER($C$10:$G$10)*ISNUMBER(C69:G69)) +
   SUMPRODUCT(($H$9:$Z$9="CO5")*ISNUMBER($H$10:$Z$10)*ISNUMBER(H69:Z69)) = 0,
   "",
   IFERROR(
     (
       IF(
         SUMPRODUCT(($C$9:$G$9="CO5")*ISNUMBER($C$10:$G$10)*ISNUMBER(C69:G69)) = 0,
         0,
         SUMPRODUCT(($C$9:$G$9="CO5")*ISNUMBER($C$10:$G$10)*ISNUMBER(C69:G69)*C69:G69) /
         SUMPRODUCT(($C$9:$G$9="CO5")*ISNUMBER($C$10:$G$10)*ISNUMBER(C69:G69)*$C$10:$G$10) * 0.15
       ) +
       IF(
         SUMPRODUCT(($H$9:$Z$9="CO5")*ISNUMBER($H$10:$Z$10)*ISNUMBER(H69:Z69)) = 0,
         0,
         SUMPRODUCT(($H$9:$Z$9="CO5")*ISNUMBER($H$10:$Z$10)*ISNUMBER(H69:Z69)*H69:Z69) /
         SUMPRODUCT(($H$9:$Z$9="CO5")*ISNUMBER($H$10:$Z$10)*ISNUMBER(H69:Z69)*$H$10:$Z$10) * 0.85
       )
     ) * 100,
     ""
   )
)</f>
        <v/>
      </c>
      <c r="AF69" s="1" t="str" cm="1">
        <f t="array" ref="AF69">IF(
   SUMPRODUCT(($C$9:$G$9="CO6")*ISNUMBER($C$10:$G$10)*ISNUMBER(C69:G69)) +
   SUMPRODUCT(($H$9:$Z$9="CO6")*ISNUMBER($H$10:$Z$10)*ISNUMBER(H69:Z69)) = 0,
   "",
   IFERROR(
     (
       IF(
         SUMPRODUCT(($C$9:$G$9="CO6")*ISNUMBER($C$10:$G$10)*ISNUMBER(C69:G69)) = 0,
         0,
         SUMPRODUCT(($C$9:$G$9="CO6")*ISNUMBER($C$10:$G$10)*ISNUMBER(C69:G69)*C69:G69) /
         SUMPRODUCT(($C$9:$G$9="CO6")*ISNUMBER($C$10:$G$10)*ISNUMBER(C69:G69)*$C$10:$G$10) * 0.15
       ) +
       IF(
         SUMPRODUCT(($H$9:$Z$9="CO6")*ISNUMBER($H$10:$Z$10)*ISNUMBER(H69:Z69)) = 0,
         0,
         SUMPRODUCT(($H$9:$Z$9="CO6")*ISNUMBER($H$10:$Z$10)*ISNUMBER(H69:Z69)*H69:Z69) /
         SUMPRODUCT(($H$9:$Z$9="CO6")*ISNUMBER($H$10:$Z$10)*ISNUMBER(H69:Z69)*$H$10:$Z$10) * 0.85
       )
     ) * 100,
     ""
   )
)</f>
        <v/>
      </c>
      <c r="AG69" s="1" t="str" cm="1">
        <f t="array" ref="AG69">IF(
   SUMPRODUCT(($C$9:$G$9="CO7")*ISNUMBER($C$10:$G$10)*ISNUMBER(C69:G69)) +
   SUMPRODUCT(($H$9:$Z$9="CO7")*ISNUMBER($H$10:$Z$10)*ISNUMBER(H69:Z69)) = 0,
   "",
   IFERROR(
     (
       IF(
         SUMPRODUCT(($C$9:$G$9="CO7")*ISNUMBER($C$10:$G$10)*ISNUMBER(C69:G69)) = 0,
         0,
         SUMPRODUCT(($C$9:$G$9="CO7")*ISNUMBER($C$10:$G$10)*ISNUMBER(C69:G69)*C69:G69) /
         SUMPRODUCT(($C$9:$G$9="CO7")*ISNUMBER($C$10:$G$10)*ISNUMBER(C69:G69)*$C$10:$G$10) * 0.15
       ) +
       IF(
         SUMPRODUCT(($H$9:$Z$9="CO7")*ISNUMBER($H$10:$Z$10)*ISNUMBER(H69:Z69)) = 0,
         0,
         SUMPRODUCT(($H$9:$Z$9="CO7")*ISNUMBER($H$10:$Z$10)*ISNUMBER(H69:Z69)*H69:Z69) /
         SUMPRODUCT(($H$9:$Z$9="CO7")*ISNUMBER($H$10:$Z$10)*ISNUMBER(H69:Z69)*$H$10:$Z$10) * 0.85
       )
     ) * 100,
     ""
   )
)</f>
        <v/>
      </c>
      <c r="AH69" s="3" t="str" cm="1">
        <f t="array" ref="AH69">IF(
   SUMPRODUCT(($C$9:$G$9="CO8")*ISNUMBER($C$10:$G$10)*ISNUMBER(C69:G69)) +
   SUMPRODUCT(($H$9:$Z$9="CO8")*ISNUMBER($H$10:$Z$10)*ISNUMBER(H69:Z69)) = 0,
   "",
   IFERROR(
     (
       IF(
         SUMPRODUCT(($C$9:$G$9="CO8")*ISNUMBER($C$10:$G$10)*ISNUMBER(C69:G69)) = 0,
         0,
         SUMPRODUCT(($C$9:$G$9="CO8")*ISNUMBER($C$10:$G$10)*ISNUMBER(C69:G69)*C69:G69) /
         SUMPRODUCT(($C$9:$G$9="CO8")*ISNUMBER($C$10:$G$10)*ISNUMBER(C69:G69)*$C$10:$G$10) * 0.15
       ) +
       IF(
         SUMPRODUCT(($H$9:$Z$9="CO8")*ISNUMBER($H$10:$Z$10)*ISNUMBER(H69:Z69)) = 0,
         0,
         SUMPRODUCT(($H$9:$Z$9="CO8")*ISNUMBER($H$10:$Z$10)*ISNUMBER(H69:Z69)*H69:Z69) /
         SUMPRODUCT(($H$9:$Z$9="CO8")*ISNUMBER($H$10:$Z$10)*ISNUMBER(H69:Z69)*$H$10:$Z$10) * 0.85
       )
     ) * 100,
     ""
   )
)</f>
        <v/>
      </c>
      <c r="AI69" s="1" t="str">
        <f t="shared" si="10"/>
        <v>D</v>
      </c>
      <c r="AJ69" s="1" t="str">
        <f t="shared" si="11"/>
        <v>First</v>
      </c>
      <c r="AK69" s="1" t="str">
        <f t="shared" si="12"/>
        <v>D</v>
      </c>
      <c r="AL69" s="1" t="str">
        <f t="shared" si="4"/>
        <v>S</v>
      </c>
      <c r="AM69" s="1" t="str">
        <f t="shared" si="4"/>
        <v/>
      </c>
      <c r="AN69" s="1" t="str">
        <f t="shared" si="4"/>
        <v/>
      </c>
      <c r="AO69" s="1" t="str">
        <f t="shared" si="4"/>
        <v/>
      </c>
      <c r="AP69" s="1" t="str">
        <f t="shared" si="4"/>
        <v/>
      </c>
    </row>
    <row r="70" spans="1:42" ht="16.2" thickBot="1" x14ac:dyDescent="0.35">
      <c r="A70" s="62">
        <v>2508124</v>
      </c>
      <c r="B70" s="58" t="s">
        <v>167</v>
      </c>
      <c r="C70" s="77">
        <v>3</v>
      </c>
      <c r="D70" s="82">
        <v>4</v>
      </c>
      <c r="E70" s="88">
        <v>2.5</v>
      </c>
      <c r="F70" s="89">
        <v>5</v>
      </c>
      <c r="G70" s="89">
        <v>5</v>
      </c>
      <c r="H70" s="14">
        <v>1</v>
      </c>
      <c r="I70" s="14">
        <v>1</v>
      </c>
      <c r="J70" s="14">
        <v>1</v>
      </c>
      <c r="K70" s="14">
        <v>1</v>
      </c>
      <c r="L70" s="14">
        <v>1</v>
      </c>
      <c r="M70" s="14">
        <v>0</v>
      </c>
      <c r="N70" s="14">
        <v>2</v>
      </c>
      <c r="O70" s="14">
        <v>2</v>
      </c>
      <c r="P70" s="14">
        <v>2</v>
      </c>
      <c r="Q70" s="14">
        <v>2</v>
      </c>
      <c r="R70" s="14">
        <v>2</v>
      </c>
      <c r="S70" s="14">
        <v>0</v>
      </c>
      <c r="T70" s="14">
        <v>1</v>
      </c>
      <c r="U70" s="14">
        <v>2</v>
      </c>
      <c r="V70" s="14">
        <v>1</v>
      </c>
      <c r="W70" s="14">
        <v>1</v>
      </c>
      <c r="X70" s="98">
        <v>21</v>
      </c>
      <c r="Y70" s="99">
        <v>8</v>
      </c>
      <c r="Z70" s="89">
        <v>8</v>
      </c>
      <c r="AA70" s="1" cm="1">
        <f t="array" ref="AA70">IF(
   SUMPRODUCT(($C$9:$G$9="CO1")*ISNUMBER($C$10:$G$10)*ISNUMBER(C70:G70)) +
   SUMPRODUCT(($H$9:$Z$9="CO1")*ISNUMBER($H$10:$Z$10)*ISNUMBER(H70:Z70)) = 0,
   "",
   IFERROR(
     (
       IF(
         SUMPRODUCT(($C$9:$G$9="CO1")*ISNUMBER($C$10:$G$10)*ISNUMBER(C70:G70)) = 0,
         0,
         SUMPRODUCT(($C$9:$G$9="CO1")*ISNUMBER($C$10:$G$10)*ISNUMBER(C70:G70)*C70:G70) /
         SUMPRODUCT(($C$9:$G$9="CO1")*ISNUMBER($C$10:$G$10)*ISNUMBER(C70:G70)*$C$10:$G$10) * 0.15
       ) +
       IF(
         SUMPRODUCT(($H$9:$Z$9="CO1")*ISNUMBER($H$10:$Z$10)*ISNUMBER(H70:Z70)) = 0,
         0,
         SUMPRODUCT(($H$9:$Z$9="CO1")*ISNUMBER($H$10:$Z$10)*ISNUMBER(H70:Z70)*H70:Z70) /
         SUMPRODUCT(($H$9:$Z$9="CO1")*ISNUMBER($H$10:$Z$10)*ISNUMBER(H70:Z70)*$H$10:$Z$10) * 0.85
       )
     ) * 100,
     ""
   )
)</f>
        <v>79.833333333333329</v>
      </c>
      <c r="AB70" s="1" cm="1">
        <f t="array" ref="AB70">IF(
   SUMPRODUCT(($C$9:$G$9="CO2")*ISNUMBER($C$10:$G$10)*ISNUMBER(C70:G70)) +
   SUMPRODUCT(($H$9:$Z$9="CO2")*ISNUMBER($H$10:$Z$10)*ISNUMBER(H70:Z70)) = 0,
   "",
   IFERROR(
     (
       IF(
         SUMPRODUCT(($C$9:$G$9="CO2")*ISNUMBER($C$10:$G$10)*ISNUMBER(C70:G70)) = 0,
         0,
         SUMPRODUCT(($C$9:$G$9="CO2")*ISNUMBER($C$10:$G$10)*ISNUMBER(C70:G70)*C70:G70) /
         SUMPRODUCT(($C$9:$G$9="CO2")*ISNUMBER($C$10:$G$10)*ISNUMBER(C70:G70)*$C$10:$G$10) * 0.15
       ) +
       IF(
         SUMPRODUCT(($H$9:$Z$9="CO2")*ISNUMBER($H$10:$Z$10)*ISNUMBER(H70:Z70)) = 0,
         0,
         SUMPRODUCT(($H$9:$Z$9="CO2")*ISNUMBER($H$10:$Z$10)*ISNUMBER(H70:Z70)*H70:Z70) /
         SUMPRODUCT(($H$9:$Z$9="CO2")*ISNUMBER($H$10:$Z$10)*ISNUMBER(H70:Z70)*$H$10:$Z$10) * 0.85
       )
     ) * 100,
     ""
   )
)</f>
        <v>84.125</v>
      </c>
      <c r="AC70" s="1" cm="1">
        <f t="array" ref="AC70">IF(
   SUMPRODUCT(($C$9:$G$9="CO3")*ISNUMBER($C$10:$G$10)*ISNUMBER(C70:G70)) +
   SUMPRODUCT(($H$9:$Z$9="CO3")*ISNUMBER($H$10:$Z$10)*ISNUMBER(H70:Z70)) = 0,
   "",
   IFERROR(
     (
       IF(
         SUMPRODUCT(($C$9:$G$9="CO3")*ISNUMBER($C$10:$G$10)*ISNUMBER(C70:G70)) = 0,
         0,
         SUMPRODUCT(($C$9:$G$9="CO3")*ISNUMBER($C$10:$G$10)*ISNUMBER(C70:G70)*C70:G70) /
         SUMPRODUCT(($C$9:$G$9="CO3")*ISNUMBER($C$10:$G$10)*ISNUMBER(C70:G70)*$C$10:$G$10) * 0.15
       ) +
       IF(
         SUMPRODUCT(($H$9:$Z$9="CO3")*ISNUMBER($H$10:$Z$10)*ISNUMBER(H70:Z70)) = 0,
         0,
         SUMPRODUCT(($H$9:$Z$9="CO3")*ISNUMBER($H$10:$Z$10)*ISNUMBER(H70:Z70)*H70:Z70) /
         SUMPRODUCT(($H$9:$Z$9="CO3")*ISNUMBER($H$10:$Z$10)*ISNUMBER(H70:Z70)*$H$10:$Z$10) * 0.85
       )
     ) * 100,
     ""
   )
)</f>
        <v>87.857142857142861</v>
      </c>
      <c r="AD70" s="1" cm="1">
        <f t="array" ref="AD70">IF(
   SUMPRODUCT(($C$9:$G$9="CO4")*ISNUMBER($C$10:$G$10)*ISNUMBER(C70:G70)) +
   SUMPRODUCT(($H$9:$Z$9="CO4")*ISNUMBER($H$10:$Z$10)*ISNUMBER(H70:Z70)) = 0,
   "",
   IFERROR(
     (
       IF(
         SUMPRODUCT(($C$9:$G$9="CO4")*ISNUMBER($C$10:$G$10)*ISNUMBER(C70:G70)) = 0,
         0,
         SUMPRODUCT(($C$9:$G$9="CO4")*ISNUMBER($C$10:$G$10)*ISNUMBER(C70:G70)*C70:G70) /
         SUMPRODUCT(($C$9:$G$9="CO4")*ISNUMBER($C$10:$G$10)*ISNUMBER(C70:G70)*$C$10:$G$10) * 0.15
       ) +
       IF(
         SUMPRODUCT(($H$9:$Z$9="CO4")*ISNUMBER($H$10:$Z$10)*ISNUMBER(H70:Z70)) = 0,
         0,
         SUMPRODUCT(($H$9:$Z$9="CO4")*ISNUMBER($H$10:$Z$10)*ISNUMBER(H70:Z70)*H70:Z70) /
         SUMPRODUCT(($H$9:$Z$9="CO4")*ISNUMBER($H$10:$Z$10)*ISNUMBER(H70:Z70)*$H$10:$Z$10) * 0.85
       )
     ) * 100,
     ""
   )
)</f>
        <v>71.666666666666671</v>
      </c>
      <c r="AE70" s="1" t="str" cm="1">
        <f t="array" ref="AE70">IF(
   SUMPRODUCT(($C$9:$G$9="CO5")*ISNUMBER($C$10:$G$10)*ISNUMBER(C70:G70)) +
   SUMPRODUCT(($H$9:$Z$9="CO5")*ISNUMBER($H$10:$Z$10)*ISNUMBER(H70:Z70)) = 0,
   "",
   IFERROR(
     (
       IF(
         SUMPRODUCT(($C$9:$G$9="CO5")*ISNUMBER($C$10:$G$10)*ISNUMBER(C70:G70)) = 0,
         0,
         SUMPRODUCT(($C$9:$G$9="CO5")*ISNUMBER($C$10:$G$10)*ISNUMBER(C70:G70)*C70:G70) /
         SUMPRODUCT(($C$9:$G$9="CO5")*ISNUMBER($C$10:$G$10)*ISNUMBER(C70:G70)*$C$10:$G$10) * 0.15
       ) +
       IF(
         SUMPRODUCT(($H$9:$Z$9="CO5")*ISNUMBER($H$10:$Z$10)*ISNUMBER(H70:Z70)) = 0,
         0,
         SUMPRODUCT(($H$9:$Z$9="CO5")*ISNUMBER($H$10:$Z$10)*ISNUMBER(H70:Z70)*H70:Z70) /
         SUMPRODUCT(($H$9:$Z$9="CO5")*ISNUMBER($H$10:$Z$10)*ISNUMBER(H70:Z70)*$H$10:$Z$10) * 0.85
       )
     ) * 100,
     ""
   )
)</f>
        <v/>
      </c>
      <c r="AF70" s="1" t="str" cm="1">
        <f t="array" ref="AF70">IF(
   SUMPRODUCT(($C$9:$G$9="CO6")*ISNUMBER($C$10:$G$10)*ISNUMBER(C70:G70)) +
   SUMPRODUCT(($H$9:$Z$9="CO6")*ISNUMBER($H$10:$Z$10)*ISNUMBER(H70:Z70)) = 0,
   "",
   IFERROR(
     (
       IF(
         SUMPRODUCT(($C$9:$G$9="CO6")*ISNUMBER($C$10:$G$10)*ISNUMBER(C70:G70)) = 0,
         0,
         SUMPRODUCT(($C$9:$G$9="CO6")*ISNUMBER($C$10:$G$10)*ISNUMBER(C70:G70)*C70:G70) /
         SUMPRODUCT(($C$9:$G$9="CO6")*ISNUMBER($C$10:$G$10)*ISNUMBER(C70:G70)*$C$10:$G$10) * 0.15
       ) +
       IF(
         SUMPRODUCT(($H$9:$Z$9="CO6")*ISNUMBER($H$10:$Z$10)*ISNUMBER(H70:Z70)) = 0,
         0,
         SUMPRODUCT(($H$9:$Z$9="CO6")*ISNUMBER($H$10:$Z$10)*ISNUMBER(H70:Z70)*H70:Z70) /
         SUMPRODUCT(($H$9:$Z$9="CO6")*ISNUMBER($H$10:$Z$10)*ISNUMBER(H70:Z70)*$H$10:$Z$10) * 0.85
       )
     ) * 100,
     ""
   )
)</f>
        <v/>
      </c>
      <c r="AG70" s="1" t="str" cm="1">
        <f t="array" ref="AG70">IF(
   SUMPRODUCT(($C$9:$G$9="CO7")*ISNUMBER($C$10:$G$10)*ISNUMBER(C70:G70)) +
   SUMPRODUCT(($H$9:$Z$9="CO7")*ISNUMBER($H$10:$Z$10)*ISNUMBER(H70:Z70)) = 0,
   "",
   IFERROR(
     (
       IF(
         SUMPRODUCT(($C$9:$G$9="CO7")*ISNUMBER($C$10:$G$10)*ISNUMBER(C70:G70)) = 0,
         0,
         SUMPRODUCT(($C$9:$G$9="CO7")*ISNUMBER($C$10:$G$10)*ISNUMBER(C70:G70)*C70:G70) /
         SUMPRODUCT(($C$9:$G$9="CO7")*ISNUMBER($C$10:$G$10)*ISNUMBER(C70:G70)*$C$10:$G$10) * 0.15
       ) +
       IF(
         SUMPRODUCT(($H$9:$Z$9="CO7")*ISNUMBER($H$10:$Z$10)*ISNUMBER(H70:Z70)) = 0,
         0,
         SUMPRODUCT(($H$9:$Z$9="CO7")*ISNUMBER($H$10:$Z$10)*ISNUMBER(H70:Z70)*H70:Z70) /
         SUMPRODUCT(($H$9:$Z$9="CO7")*ISNUMBER($H$10:$Z$10)*ISNUMBER(H70:Z70)*$H$10:$Z$10) * 0.85
       )
     ) * 100,
     ""
   )
)</f>
        <v/>
      </c>
      <c r="AH70" s="3" t="str" cm="1">
        <f t="array" ref="AH70">IF(
   SUMPRODUCT(($C$9:$G$9="CO8")*ISNUMBER($C$10:$G$10)*ISNUMBER(C70:G70)) +
   SUMPRODUCT(($H$9:$Z$9="CO8")*ISNUMBER($H$10:$Z$10)*ISNUMBER(H70:Z70)) = 0,
   "",
   IFERROR(
     (
       IF(
         SUMPRODUCT(($C$9:$G$9="CO8")*ISNUMBER($C$10:$G$10)*ISNUMBER(C70:G70)) = 0,
         0,
         SUMPRODUCT(($C$9:$G$9="CO8")*ISNUMBER($C$10:$G$10)*ISNUMBER(C70:G70)*C70:G70) /
         SUMPRODUCT(($C$9:$G$9="CO8")*ISNUMBER($C$10:$G$10)*ISNUMBER(C70:G70)*$C$10:$G$10) * 0.15
       ) +
       IF(
         SUMPRODUCT(($H$9:$Z$9="CO8")*ISNUMBER($H$10:$Z$10)*ISNUMBER(H70:Z70)) = 0,
         0,
         SUMPRODUCT(($H$9:$Z$9="CO8")*ISNUMBER($H$10:$Z$10)*ISNUMBER(H70:Z70)*H70:Z70) /
         SUMPRODUCT(($H$9:$Z$9="CO8")*ISNUMBER($H$10:$Z$10)*ISNUMBER(H70:Z70)*$H$10:$Z$10) * 0.85
       )
     ) * 100,
     ""
   )
)</f>
        <v/>
      </c>
      <c r="AI70" s="1" t="str">
        <f t="shared" si="10"/>
        <v>D</v>
      </c>
      <c r="AJ70" s="1" t="str">
        <f t="shared" si="11"/>
        <v>D</v>
      </c>
      <c r="AK70" s="1" t="str">
        <f t="shared" si="12"/>
        <v>D</v>
      </c>
      <c r="AL70" s="1" t="str">
        <f t="shared" si="4"/>
        <v>D</v>
      </c>
      <c r="AM70" s="1" t="str">
        <f t="shared" si="4"/>
        <v/>
      </c>
      <c r="AN70" s="1" t="str">
        <f t="shared" si="4"/>
        <v/>
      </c>
      <c r="AO70" s="1" t="str">
        <f t="shared" si="4"/>
        <v/>
      </c>
      <c r="AP70" s="1" t="str">
        <f t="shared" si="4"/>
        <v/>
      </c>
    </row>
    <row r="71" spans="1:42" ht="16.2" thickBot="1" x14ac:dyDescent="0.35">
      <c r="A71" s="62">
        <v>2508125</v>
      </c>
      <c r="B71" s="59" t="s">
        <v>168</v>
      </c>
      <c r="C71" s="77">
        <v>2</v>
      </c>
      <c r="D71" s="82">
        <v>3</v>
      </c>
      <c r="E71" s="88">
        <v>1.5</v>
      </c>
      <c r="F71" s="89">
        <v>5</v>
      </c>
      <c r="G71" s="90" t="s">
        <v>180</v>
      </c>
      <c r="H71" s="14">
        <v>0</v>
      </c>
      <c r="I71" s="14">
        <v>1</v>
      </c>
      <c r="J71" s="14">
        <v>0.5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1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98">
        <v>19</v>
      </c>
      <c r="Y71" s="99">
        <v>8</v>
      </c>
      <c r="Z71" s="89">
        <v>5</v>
      </c>
      <c r="AA71" s="1" t="str" cm="1">
        <f t="array" ref="AA71">IF(
   SUMPRODUCT(($C$9:$G$9="CO1")*ISNUMBER($C$10:$G$10)*ISNUMBER(C71:G71)) +
   SUMPRODUCT(($H$9:$Z$9="CO1")*ISNUMBER($H$10:$Z$10)*ISNUMBER(H71:Z71)) = 0,
   "",
   IFERROR(
     (
       IF(
         SUMPRODUCT(($C$9:$G$9="CO1")*ISNUMBER($C$10:$G$10)*ISNUMBER(C71:G71)) = 0,
         0,
         SUMPRODUCT(($C$9:$G$9="CO1")*ISNUMBER($C$10:$G$10)*ISNUMBER(C71:G71)*C71:G71) /
         SUMPRODUCT(($C$9:$G$9="CO1")*ISNUMBER($C$10:$G$10)*ISNUMBER(C71:G71)*$C$10:$G$10) * 0.15
       ) +
       IF(
         SUMPRODUCT(($H$9:$Z$9="CO1")*ISNUMBER($H$10:$Z$10)*ISNUMBER(H71:Z71)) = 0,
         0,
         SUMPRODUCT(($H$9:$Z$9="CO1")*ISNUMBER($H$10:$Z$10)*ISNUMBER(H71:Z71)*H71:Z71) /
         SUMPRODUCT(($H$9:$Z$9="CO1")*ISNUMBER($H$10:$Z$10)*ISNUMBER(H71:Z71)*$H$10:$Z$10) * 0.85
       )
     ) * 100,
     ""
   )
)</f>
        <v/>
      </c>
      <c r="AB71" s="1" t="str" cm="1">
        <f t="array" ref="AB71">IF(
   SUMPRODUCT(($C$9:$G$9="CO2")*ISNUMBER($C$10:$G$10)*ISNUMBER(C71:G71)) +
   SUMPRODUCT(($H$9:$Z$9="CO2")*ISNUMBER($H$10:$Z$10)*ISNUMBER(H71:Z71)) = 0,
   "",
   IFERROR(
     (
       IF(
         SUMPRODUCT(($C$9:$G$9="CO2")*ISNUMBER($C$10:$G$10)*ISNUMBER(C71:G71)) = 0,
         0,
         SUMPRODUCT(($C$9:$G$9="CO2")*ISNUMBER($C$10:$G$10)*ISNUMBER(C71:G71)*C71:G71) /
         SUMPRODUCT(($C$9:$G$9="CO2")*ISNUMBER($C$10:$G$10)*ISNUMBER(C71:G71)*$C$10:$G$10) * 0.15
       ) +
       IF(
         SUMPRODUCT(($H$9:$Z$9="CO2")*ISNUMBER($H$10:$Z$10)*ISNUMBER(H71:Z71)) = 0,
         0,
         SUMPRODUCT(($H$9:$Z$9="CO2")*ISNUMBER($H$10:$Z$10)*ISNUMBER(H71:Z71)*H71:Z71) /
         SUMPRODUCT(($H$9:$Z$9="CO2")*ISNUMBER($H$10:$Z$10)*ISNUMBER(H71:Z71)*$H$10:$Z$10) * 0.85
       )
     ) * 100,
     ""
   )
)</f>
        <v/>
      </c>
      <c r="AC71" s="1" t="str" cm="1">
        <f t="array" ref="AC71">IF(
   SUMPRODUCT(($C$9:$G$9="CO3")*ISNUMBER($C$10:$G$10)*ISNUMBER(C71:G71)) +
   SUMPRODUCT(($H$9:$Z$9="CO3")*ISNUMBER($H$10:$Z$10)*ISNUMBER(H71:Z71)) = 0,
   "",
   IFERROR(
     (
       IF(
         SUMPRODUCT(($C$9:$G$9="CO3")*ISNUMBER($C$10:$G$10)*ISNUMBER(C71:G71)) = 0,
         0,
         SUMPRODUCT(($C$9:$G$9="CO3")*ISNUMBER($C$10:$G$10)*ISNUMBER(C71:G71)*C71:G71) /
         SUMPRODUCT(($C$9:$G$9="CO3")*ISNUMBER($C$10:$G$10)*ISNUMBER(C71:G71)*$C$10:$G$10) * 0.15
       ) +
       IF(
         SUMPRODUCT(($H$9:$Z$9="CO3")*ISNUMBER($H$10:$Z$10)*ISNUMBER(H71:Z71)) = 0,
         0,
         SUMPRODUCT(($H$9:$Z$9="CO3")*ISNUMBER($H$10:$Z$10)*ISNUMBER(H71:Z71)*H71:Z71) /
         SUMPRODUCT(($H$9:$Z$9="CO3")*ISNUMBER($H$10:$Z$10)*ISNUMBER(H71:Z71)*$H$10:$Z$10) * 0.85
       )
     ) * 100,
     ""
   )
)</f>
        <v/>
      </c>
      <c r="AD71" s="1" cm="1">
        <f t="array" ref="AD71">IF(
   SUMPRODUCT(($C$9:$G$9="CO4")*ISNUMBER($C$10:$G$10)*ISNUMBER(C71:G71)) +
   SUMPRODUCT(($H$9:$Z$9="CO4")*ISNUMBER($H$10:$Z$10)*ISNUMBER(H71:Z71)) = 0,
   "",
   IFERROR(
     (
       IF(
         SUMPRODUCT(($C$9:$G$9="CO4")*ISNUMBER($C$10:$G$10)*ISNUMBER(C71:G71)) = 0,
         0,
         SUMPRODUCT(($C$9:$G$9="CO4")*ISNUMBER($C$10:$G$10)*ISNUMBER(C71:G71)*C71:G71) /
         SUMPRODUCT(($C$9:$G$9="CO4")*ISNUMBER($C$10:$G$10)*ISNUMBER(C71:G71)*$C$10:$G$10) * 0.15
       ) +
       IF(
         SUMPRODUCT(($H$9:$Z$9="CO4")*ISNUMBER($H$10:$Z$10)*ISNUMBER(H71:Z71)) = 0,
         0,
         SUMPRODUCT(($H$9:$Z$9="CO4")*ISNUMBER($H$10:$Z$10)*ISNUMBER(H71:Z71)*H71:Z71) /
         SUMPRODUCT(($H$9:$Z$9="CO4")*ISNUMBER($H$10:$Z$10)*ISNUMBER(H71:Z71)*$H$10:$Z$10) * 0.85
       )
     ) * 100,
     ""
   )
)</f>
        <v>0</v>
      </c>
      <c r="AE71" s="1" t="str" cm="1">
        <f t="array" ref="AE71">IF(
   SUMPRODUCT(($C$9:$G$9="CO5")*ISNUMBER($C$10:$G$10)*ISNUMBER(C71:G71)) +
   SUMPRODUCT(($H$9:$Z$9="CO5")*ISNUMBER($H$10:$Z$10)*ISNUMBER(H71:Z71)) = 0,
   "",
   IFERROR(
     (
       IF(
         SUMPRODUCT(($C$9:$G$9="CO5")*ISNUMBER($C$10:$G$10)*ISNUMBER(C71:G71)) = 0,
         0,
         SUMPRODUCT(($C$9:$G$9="CO5")*ISNUMBER($C$10:$G$10)*ISNUMBER(C71:G71)*C71:G71) /
         SUMPRODUCT(($C$9:$G$9="CO5")*ISNUMBER($C$10:$G$10)*ISNUMBER(C71:G71)*$C$10:$G$10) * 0.15
       ) +
       IF(
         SUMPRODUCT(($H$9:$Z$9="CO5")*ISNUMBER($H$10:$Z$10)*ISNUMBER(H71:Z71)) = 0,
         0,
         SUMPRODUCT(($H$9:$Z$9="CO5")*ISNUMBER($H$10:$Z$10)*ISNUMBER(H71:Z71)*H71:Z71) /
         SUMPRODUCT(($H$9:$Z$9="CO5")*ISNUMBER($H$10:$Z$10)*ISNUMBER(H71:Z71)*$H$10:$Z$10) * 0.85
       )
     ) * 100,
     ""
   )
)</f>
        <v/>
      </c>
      <c r="AF71" s="1" t="str" cm="1">
        <f t="array" ref="AF71">IF(
   SUMPRODUCT(($C$9:$G$9="CO6")*ISNUMBER($C$10:$G$10)*ISNUMBER(C71:G71)) +
   SUMPRODUCT(($H$9:$Z$9="CO6")*ISNUMBER($H$10:$Z$10)*ISNUMBER(H71:Z71)) = 0,
   "",
   IFERROR(
     (
       IF(
         SUMPRODUCT(($C$9:$G$9="CO6")*ISNUMBER($C$10:$G$10)*ISNUMBER(C71:G71)) = 0,
         0,
         SUMPRODUCT(($C$9:$G$9="CO6")*ISNUMBER($C$10:$G$10)*ISNUMBER(C71:G71)*C71:G71) /
         SUMPRODUCT(($C$9:$G$9="CO6")*ISNUMBER($C$10:$G$10)*ISNUMBER(C71:G71)*$C$10:$G$10) * 0.15
       ) +
       IF(
         SUMPRODUCT(($H$9:$Z$9="CO6")*ISNUMBER($H$10:$Z$10)*ISNUMBER(H71:Z71)) = 0,
         0,
         SUMPRODUCT(($H$9:$Z$9="CO6")*ISNUMBER($H$10:$Z$10)*ISNUMBER(H71:Z71)*H71:Z71) /
         SUMPRODUCT(($H$9:$Z$9="CO6")*ISNUMBER($H$10:$Z$10)*ISNUMBER(H71:Z71)*$H$10:$Z$10) * 0.85
       )
     ) * 100,
     ""
   )
)</f>
        <v/>
      </c>
      <c r="AG71" s="1" t="str" cm="1">
        <f t="array" ref="AG71">IF(
   SUMPRODUCT(($C$9:$G$9="CO7")*ISNUMBER($C$10:$G$10)*ISNUMBER(C71:G71)) +
   SUMPRODUCT(($H$9:$Z$9="CO7")*ISNUMBER($H$10:$Z$10)*ISNUMBER(H71:Z71)) = 0,
   "",
   IFERROR(
     (
       IF(
         SUMPRODUCT(($C$9:$G$9="CO7")*ISNUMBER($C$10:$G$10)*ISNUMBER(C71:G71)) = 0,
         0,
         SUMPRODUCT(($C$9:$G$9="CO7")*ISNUMBER($C$10:$G$10)*ISNUMBER(C71:G71)*C71:G71) /
         SUMPRODUCT(($C$9:$G$9="CO7")*ISNUMBER($C$10:$G$10)*ISNUMBER(C71:G71)*$C$10:$G$10) * 0.15
       ) +
       IF(
         SUMPRODUCT(($H$9:$Z$9="CO7")*ISNUMBER($H$10:$Z$10)*ISNUMBER(H71:Z71)) = 0,
         0,
         SUMPRODUCT(($H$9:$Z$9="CO7")*ISNUMBER($H$10:$Z$10)*ISNUMBER(H71:Z71)*H71:Z71) /
         SUMPRODUCT(($H$9:$Z$9="CO7")*ISNUMBER($H$10:$Z$10)*ISNUMBER(H71:Z71)*$H$10:$Z$10) * 0.85
       )
     ) * 100,
     ""
   )
)</f>
        <v/>
      </c>
      <c r="AH71" s="3" t="str" cm="1">
        <f t="array" ref="AH71">IF(
   SUMPRODUCT(($C$9:$G$9="CO8")*ISNUMBER($C$10:$G$10)*ISNUMBER(C71:G71)) +
   SUMPRODUCT(($H$9:$Z$9="CO8")*ISNUMBER($H$10:$Z$10)*ISNUMBER(H71:Z71)) = 0,
   "",
   IFERROR(
     (
       IF(
         SUMPRODUCT(($C$9:$G$9="CO8")*ISNUMBER($C$10:$G$10)*ISNUMBER(C71:G71)) = 0,
         0,
         SUMPRODUCT(($C$9:$G$9="CO8")*ISNUMBER($C$10:$G$10)*ISNUMBER(C71:G71)*C71:G71) /
         SUMPRODUCT(($C$9:$G$9="CO8")*ISNUMBER($C$10:$G$10)*ISNUMBER(C71:G71)*$C$10:$G$10) * 0.15
       ) +
       IF(
         SUMPRODUCT(($H$9:$Z$9="CO8")*ISNUMBER($H$10:$Z$10)*ISNUMBER(H71:Z71)) = 0,
         0,
         SUMPRODUCT(($H$9:$Z$9="CO8")*ISNUMBER($H$10:$Z$10)*ISNUMBER(H71:Z71)*H71:Z71) /
         SUMPRODUCT(($H$9:$Z$9="CO8")*ISNUMBER($H$10:$Z$10)*ISNUMBER(H71:Z71)*$H$10:$Z$10) * 0.85
       )
     ) * 100,
     ""
   )
)</f>
        <v/>
      </c>
      <c r="AI71" s="1" t="str">
        <f t="shared" si="10"/>
        <v/>
      </c>
      <c r="AJ71" s="1" t="str">
        <f t="shared" si="11"/>
        <v/>
      </c>
      <c r="AK71" s="1" t="str">
        <f t="shared" si="12"/>
        <v/>
      </c>
      <c r="AL71" s="1" t="str">
        <f t="shared" si="4"/>
        <v>F</v>
      </c>
      <c r="AM71" s="1" t="str">
        <f t="shared" si="4"/>
        <v/>
      </c>
      <c r="AN71" s="1" t="str">
        <f t="shared" si="4"/>
        <v/>
      </c>
      <c r="AO71" s="1" t="str">
        <f t="shared" si="4"/>
        <v/>
      </c>
      <c r="AP71" s="1" t="str">
        <f t="shared" si="4"/>
        <v/>
      </c>
    </row>
    <row r="72" spans="1:42" ht="16.2" thickBot="1" x14ac:dyDescent="0.35">
      <c r="A72" s="62">
        <v>2508126</v>
      </c>
      <c r="B72" s="58" t="s">
        <v>169</v>
      </c>
      <c r="C72" s="77">
        <v>3.5</v>
      </c>
      <c r="D72" s="83" t="s">
        <v>180</v>
      </c>
      <c r="E72" s="88">
        <v>5</v>
      </c>
      <c r="F72" s="89">
        <v>5</v>
      </c>
      <c r="G72" s="90" t="s">
        <v>180</v>
      </c>
      <c r="H72" s="14">
        <v>0</v>
      </c>
      <c r="I72" s="14">
        <v>1</v>
      </c>
      <c r="J72" s="14">
        <v>0</v>
      </c>
      <c r="K72" s="14">
        <v>0</v>
      </c>
      <c r="L72" s="14">
        <v>0</v>
      </c>
      <c r="M72" s="14">
        <v>1</v>
      </c>
      <c r="N72" s="14">
        <v>2</v>
      </c>
      <c r="O72" s="14">
        <v>0</v>
      </c>
      <c r="P72" s="14">
        <v>2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0.5</v>
      </c>
      <c r="W72" s="14">
        <v>0</v>
      </c>
      <c r="X72" s="98">
        <v>22</v>
      </c>
      <c r="Y72" s="99">
        <v>4</v>
      </c>
      <c r="Z72" s="89">
        <v>3</v>
      </c>
      <c r="AA72" s="1" t="str" cm="1">
        <f t="array" ref="AA72">IF(
   SUMPRODUCT(($C$9:$G$9="CO1")*ISNUMBER($C$10:$G$10)*ISNUMBER(C72:G72)) +
   SUMPRODUCT(($H$9:$Z$9="CO1")*ISNUMBER($H$10:$Z$10)*ISNUMBER(H72:Z72)) = 0,
   "",
   IFERROR(
     (
       IF(
         SUMPRODUCT(($C$9:$G$9="CO1")*ISNUMBER($C$10:$G$10)*ISNUMBER(C72:G72)) = 0,
         0,
         SUMPRODUCT(($C$9:$G$9="CO1")*ISNUMBER($C$10:$G$10)*ISNUMBER(C72:G72)*C72:G72) /
         SUMPRODUCT(($C$9:$G$9="CO1")*ISNUMBER($C$10:$G$10)*ISNUMBER(C72:G72)*$C$10:$G$10) * 0.15
       ) +
       IF(
         SUMPRODUCT(($H$9:$Z$9="CO1")*ISNUMBER($H$10:$Z$10)*ISNUMBER(H72:Z72)) = 0,
         0,
         SUMPRODUCT(($H$9:$Z$9="CO1")*ISNUMBER($H$10:$Z$10)*ISNUMBER(H72:Z72)*H72:Z72) /
         SUMPRODUCT(($H$9:$Z$9="CO1")*ISNUMBER($H$10:$Z$10)*ISNUMBER(H72:Z72)*$H$10:$Z$10) * 0.85
       )
     ) * 100,
     ""
   )
)</f>
        <v/>
      </c>
      <c r="AB72" s="1" t="str" cm="1">
        <f t="array" ref="AB72">IF(
   SUMPRODUCT(($C$9:$G$9="CO2")*ISNUMBER($C$10:$G$10)*ISNUMBER(C72:G72)) +
   SUMPRODUCT(($H$9:$Z$9="CO2")*ISNUMBER($H$10:$Z$10)*ISNUMBER(H72:Z72)) = 0,
   "",
   IFERROR(
     (
       IF(
         SUMPRODUCT(($C$9:$G$9="CO2")*ISNUMBER($C$10:$G$10)*ISNUMBER(C72:G72)) = 0,
         0,
         SUMPRODUCT(($C$9:$G$9="CO2")*ISNUMBER($C$10:$G$10)*ISNUMBER(C72:G72)*C72:G72) /
         SUMPRODUCT(($C$9:$G$9="CO2")*ISNUMBER($C$10:$G$10)*ISNUMBER(C72:G72)*$C$10:$G$10) * 0.15
       ) +
       IF(
         SUMPRODUCT(($H$9:$Z$9="CO2")*ISNUMBER($H$10:$Z$10)*ISNUMBER(H72:Z72)) = 0,
         0,
         SUMPRODUCT(($H$9:$Z$9="CO2")*ISNUMBER($H$10:$Z$10)*ISNUMBER(H72:Z72)*H72:Z72) /
         SUMPRODUCT(($H$9:$Z$9="CO2")*ISNUMBER($H$10:$Z$10)*ISNUMBER(H72:Z72)*$H$10:$Z$10) * 0.85
       )
     ) * 100,
     ""
   )
)</f>
        <v/>
      </c>
      <c r="AC72" s="1" t="str" cm="1">
        <f t="array" ref="AC72">IF(
   SUMPRODUCT(($C$9:$G$9="CO3")*ISNUMBER($C$10:$G$10)*ISNUMBER(C72:G72)) +
   SUMPRODUCT(($H$9:$Z$9="CO3")*ISNUMBER($H$10:$Z$10)*ISNUMBER(H72:Z72)) = 0,
   "",
   IFERROR(
     (
       IF(
         SUMPRODUCT(($C$9:$G$9="CO3")*ISNUMBER($C$10:$G$10)*ISNUMBER(C72:G72)) = 0,
         0,
         SUMPRODUCT(($C$9:$G$9="CO3")*ISNUMBER($C$10:$G$10)*ISNUMBER(C72:G72)*C72:G72) /
         SUMPRODUCT(($C$9:$G$9="CO3")*ISNUMBER($C$10:$G$10)*ISNUMBER(C72:G72)*$C$10:$G$10) * 0.15
       ) +
       IF(
         SUMPRODUCT(($H$9:$Z$9="CO3")*ISNUMBER($H$10:$Z$10)*ISNUMBER(H72:Z72)) = 0,
         0,
         SUMPRODUCT(($H$9:$Z$9="CO3")*ISNUMBER($H$10:$Z$10)*ISNUMBER(H72:Z72)*H72:Z72) /
         SUMPRODUCT(($H$9:$Z$9="CO3")*ISNUMBER($H$10:$Z$10)*ISNUMBER(H72:Z72)*$H$10:$Z$10) * 0.85
       )
     ) * 100,
     ""
   )
)</f>
        <v/>
      </c>
      <c r="AD72" s="1" cm="1">
        <f t="array" ref="AD72">IF(
   SUMPRODUCT(($C$9:$G$9="CO4")*ISNUMBER($C$10:$G$10)*ISNUMBER(C72:G72)) +
   SUMPRODUCT(($H$9:$Z$9="CO4")*ISNUMBER($H$10:$Z$10)*ISNUMBER(H72:Z72)) = 0,
   "",
   IFERROR(
     (
       IF(
         SUMPRODUCT(($C$9:$G$9="CO4")*ISNUMBER($C$10:$G$10)*ISNUMBER(C72:G72)) = 0,
         0,
         SUMPRODUCT(($C$9:$G$9="CO4")*ISNUMBER($C$10:$G$10)*ISNUMBER(C72:G72)*C72:G72) /
         SUMPRODUCT(($C$9:$G$9="CO4")*ISNUMBER($C$10:$G$10)*ISNUMBER(C72:G72)*$C$10:$G$10) * 0.15
       ) +
       IF(
         SUMPRODUCT(($H$9:$Z$9="CO4")*ISNUMBER($H$10:$Z$10)*ISNUMBER(H72:Z72)) = 0,
         0,
         SUMPRODUCT(($H$9:$Z$9="CO4")*ISNUMBER($H$10:$Z$10)*ISNUMBER(H72:Z72)*H72:Z72) /
         SUMPRODUCT(($H$9:$Z$9="CO4")*ISNUMBER($H$10:$Z$10)*ISNUMBER(H72:Z72)*$H$10:$Z$10) * 0.85
       )
     ) * 100,
     ""
   )
)</f>
        <v>7.083333333333333</v>
      </c>
      <c r="AE72" s="1" t="str" cm="1">
        <f t="array" ref="AE72">IF(
   SUMPRODUCT(($C$9:$G$9="CO5")*ISNUMBER($C$10:$G$10)*ISNUMBER(C72:G72)) +
   SUMPRODUCT(($H$9:$Z$9="CO5")*ISNUMBER($H$10:$Z$10)*ISNUMBER(H72:Z72)) = 0,
   "",
   IFERROR(
     (
       IF(
         SUMPRODUCT(($C$9:$G$9="CO5")*ISNUMBER($C$10:$G$10)*ISNUMBER(C72:G72)) = 0,
         0,
         SUMPRODUCT(($C$9:$G$9="CO5")*ISNUMBER($C$10:$G$10)*ISNUMBER(C72:G72)*C72:G72) /
         SUMPRODUCT(($C$9:$G$9="CO5")*ISNUMBER($C$10:$G$10)*ISNUMBER(C72:G72)*$C$10:$G$10) * 0.15
       ) +
       IF(
         SUMPRODUCT(($H$9:$Z$9="CO5")*ISNUMBER($H$10:$Z$10)*ISNUMBER(H72:Z72)) = 0,
         0,
         SUMPRODUCT(($H$9:$Z$9="CO5")*ISNUMBER($H$10:$Z$10)*ISNUMBER(H72:Z72)*H72:Z72) /
         SUMPRODUCT(($H$9:$Z$9="CO5")*ISNUMBER($H$10:$Z$10)*ISNUMBER(H72:Z72)*$H$10:$Z$10) * 0.85
       )
     ) * 100,
     ""
   )
)</f>
        <v/>
      </c>
      <c r="AF72" s="1" t="str" cm="1">
        <f t="array" ref="AF72">IF(
   SUMPRODUCT(($C$9:$G$9="CO6")*ISNUMBER($C$10:$G$10)*ISNUMBER(C72:G72)) +
   SUMPRODUCT(($H$9:$Z$9="CO6")*ISNUMBER($H$10:$Z$10)*ISNUMBER(H72:Z72)) = 0,
   "",
   IFERROR(
     (
       IF(
         SUMPRODUCT(($C$9:$G$9="CO6")*ISNUMBER($C$10:$G$10)*ISNUMBER(C72:G72)) = 0,
         0,
         SUMPRODUCT(($C$9:$G$9="CO6")*ISNUMBER($C$10:$G$10)*ISNUMBER(C72:G72)*C72:G72) /
         SUMPRODUCT(($C$9:$G$9="CO6")*ISNUMBER($C$10:$G$10)*ISNUMBER(C72:G72)*$C$10:$G$10) * 0.15
       ) +
       IF(
         SUMPRODUCT(($H$9:$Z$9="CO6")*ISNUMBER($H$10:$Z$10)*ISNUMBER(H72:Z72)) = 0,
         0,
         SUMPRODUCT(($H$9:$Z$9="CO6")*ISNUMBER($H$10:$Z$10)*ISNUMBER(H72:Z72)*H72:Z72) /
         SUMPRODUCT(($H$9:$Z$9="CO6")*ISNUMBER($H$10:$Z$10)*ISNUMBER(H72:Z72)*$H$10:$Z$10) * 0.85
       )
     ) * 100,
     ""
   )
)</f>
        <v/>
      </c>
      <c r="AG72" s="1" t="str" cm="1">
        <f t="array" ref="AG72">IF(
   SUMPRODUCT(($C$9:$G$9="CO7")*ISNUMBER($C$10:$G$10)*ISNUMBER(C72:G72)) +
   SUMPRODUCT(($H$9:$Z$9="CO7")*ISNUMBER($H$10:$Z$10)*ISNUMBER(H72:Z72)) = 0,
   "",
   IFERROR(
     (
       IF(
         SUMPRODUCT(($C$9:$G$9="CO7")*ISNUMBER($C$10:$G$10)*ISNUMBER(C72:G72)) = 0,
         0,
         SUMPRODUCT(($C$9:$G$9="CO7")*ISNUMBER($C$10:$G$10)*ISNUMBER(C72:G72)*C72:G72) /
         SUMPRODUCT(($C$9:$G$9="CO7")*ISNUMBER($C$10:$G$10)*ISNUMBER(C72:G72)*$C$10:$G$10) * 0.15
       ) +
       IF(
         SUMPRODUCT(($H$9:$Z$9="CO7")*ISNUMBER($H$10:$Z$10)*ISNUMBER(H72:Z72)) = 0,
         0,
         SUMPRODUCT(($H$9:$Z$9="CO7")*ISNUMBER($H$10:$Z$10)*ISNUMBER(H72:Z72)*H72:Z72) /
         SUMPRODUCT(($H$9:$Z$9="CO7")*ISNUMBER($H$10:$Z$10)*ISNUMBER(H72:Z72)*$H$10:$Z$10) * 0.85
       )
     ) * 100,
     ""
   )
)</f>
        <v/>
      </c>
      <c r="AH72" s="3" t="str" cm="1">
        <f t="array" ref="AH72">IF(
   SUMPRODUCT(($C$9:$G$9="CO8")*ISNUMBER($C$10:$G$10)*ISNUMBER(C72:G72)) +
   SUMPRODUCT(($H$9:$Z$9="CO8")*ISNUMBER($H$10:$Z$10)*ISNUMBER(H72:Z72)) = 0,
   "",
   IFERROR(
     (
       IF(
         SUMPRODUCT(($C$9:$G$9="CO8")*ISNUMBER($C$10:$G$10)*ISNUMBER(C72:G72)) = 0,
         0,
         SUMPRODUCT(($C$9:$G$9="CO8")*ISNUMBER($C$10:$G$10)*ISNUMBER(C72:G72)*C72:G72) /
         SUMPRODUCT(($C$9:$G$9="CO8")*ISNUMBER($C$10:$G$10)*ISNUMBER(C72:G72)*$C$10:$G$10) * 0.15
       ) +
       IF(
         SUMPRODUCT(($H$9:$Z$9="CO8")*ISNUMBER($H$10:$Z$10)*ISNUMBER(H72:Z72)) = 0,
         0,
         SUMPRODUCT(($H$9:$Z$9="CO8")*ISNUMBER($H$10:$Z$10)*ISNUMBER(H72:Z72)*H72:Z72) /
         SUMPRODUCT(($H$9:$Z$9="CO8")*ISNUMBER($H$10:$Z$10)*ISNUMBER(H72:Z72)*$H$10:$Z$10) * 0.85
       )
     ) * 100,
     ""
   )
)</f>
        <v/>
      </c>
      <c r="AI72" s="1" t="str">
        <f t="shared" si="10"/>
        <v/>
      </c>
      <c r="AJ72" s="1" t="str">
        <f t="shared" si="11"/>
        <v/>
      </c>
      <c r="AK72" s="1" t="str">
        <f t="shared" si="12"/>
        <v/>
      </c>
      <c r="AL72" s="1" t="str">
        <f t="shared" si="4"/>
        <v>F</v>
      </c>
      <c r="AM72" s="1" t="str">
        <f t="shared" si="4"/>
        <v/>
      </c>
      <c r="AN72" s="1" t="str">
        <f t="shared" si="4"/>
        <v/>
      </c>
      <c r="AO72" s="1" t="str">
        <f t="shared" si="4"/>
        <v/>
      </c>
      <c r="AP72" s="1" t="str">
        <f t="shared" si="4"/>
        <v/>
      </c>
    </row>
    <row r="73" spans="1:42" ht="16.2" thickBot="1" x14ac:dyDescent="0.35">
      <c r="A73" s="57">
        <v>2508127</v>
      </c>
      <c r="B73" s="59" t="s">
        <v>170</v>
      </c>
      <c r="C73" s="77">
        <v>4</v>
      </c>
      <c r="D73" s="83" t="s">
        <v>180</v>
      </c>
      <c r="E73" s="88">
        <v>0</v>
      </c>
      <c r="F73" s="89">
        <v>5</v>
      </c>
      <c r="G73" s="90" t="s">
        <v>180</v>
      </c>
      <c r="H73" s="14">
        <v>0</v>
      </c>
      <c r="I73" s="14">
        <v>1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98">
        <v>21</v>
      </c>
      <c r="Y73" s="99">
        <v>5</v>
      </c>
      <c r="Z73" s="89">
        <v>5</v>
      </c>
      <c r="AA73" s="1" t="str" cm="1">
        <f t="array" ref="AA73">IF(
   SUMPRODUCT(($C$9:$G$9="CO1")*ISNUMBER($C$10:$G$10)*ISNUMBER(C73:G73)) +
   SUMPRODUCT(($H$9:$Z$9="CO1")*ISNUMBER($H$10:$Z$10)*ISNUMBER(H73:Z73)) = 0,
   "",
   IFERROR(
     (
       IF(
         SUMPRODUCT(($C$9:$G$9="CO1")*ISNUMBER($C$10:$G$10)*ISNUMBER(C73:G73)) = 0,
         0,
         SUMPRODUCT(($C$9:$G$9="CO1")*ISNUMBER($C$10:$G$10)*ISNUMBER(C73:G73)*C73:G73) /
         SUMPRODUCT(($C$9:$G$9="CO1")*ISNUMBER($C$10:$G$10)*ISNUMBER(C73:G73)*$C$10:$G$10) * 0.15
       ) +
       IF(
         SUMPRODUCT(($H$9:$Z$9="CO1")*ISNUMBER($H$10:$Z$10)*ISNUMBER(H73:Z73)) = 0,
         0,
         SUMPRODUCT(($H$9:$Z$9="CO1")*ISNUMBER($H$10:$Z$10)*ISNUMBER(H73:Z73)*H73:Z73) /
         SUMPRODUCT(($H$9:$Z$9="CO1")*ISNUMBER($H$10:$Z$10)*ISNUMBER(H73:Z73)*$H$10:$Z$10) * 0.85
       )
     ) * 100,
     ""
   )
)</f>
        <v/>
      </c>
      <c r="AB73" s="1" t="str" cm="1">
        <f t="array" ref="AB73">IF(
   SUMPRODUCT(($C$9:$G$9="CO2")*ISNUMBER($C$10:$G$10)*ISNUMBER(C73:G73)) +
   SUMPRODUCT(($H$9:$Z$9="CO2")*ISNUMBER($H$10:$Z$10)*ISNUMBER(H73:Z73)) = 0,
   "",
   IFERROR(
     (
       IF(
         SUMPRODUCT(($C$9:$G$9="CO2")*ISNUMBER($C$10:$G$10)*ISNUMBER(C73:G73)) = 0,
         0,
         SUMPRODUCT(($C$9:$G$9="CO2")*ISNUMBER($C$10:$G$10)*ISNUMBER(C73:G73)*C73:G73) /
         SUMPRODUCT(($C$9:$G$9="CO2")*ISNUMBER($C$10:$G$10)*ISNUMBER(C73:G73)*$C$10:$G$10) * 0.15
       ) +
       IF(
         SUMPRODUCT(($H$9:$Z$9="CO2")*ISNUMBER($H$10:$Z$10)*ISNUMBER(H73:Z73)) = 0,
         0,
         SUMPRODUCT(($H$9:$Z$9="CO2")*ISNUMBER($H$10:$Z$10)*ISNUMBER(H73:Z73)*H73:Z73) /
         SUMPRODUCT(($H$9:$Z$9="CO2")*ISNUMBER($H$10:$Z$10)*ISNUMBER(H73:Z73)*$H$10:$Z$10) * 0.85
       )
     ) * 100,
     ""
   )
)</f>
        <v/>
      </c>
      <c r="AC73" s="1" t="str" cm="1">
        <f t="array" ref="AC73">IF(
   SUMPRODUCT(($C$9:$G$9="CO3")*ISNUMBER($C$10:$G$10)*ISNUMBER(C73:G73)) +
   SUMPRODUCT(($H$9:$Z$9="CO3")*ISNUMBER($H$10:$Z$10)*ISNUMBER(H73:Z73)) = 0,
   "",
   IFERROR(
     (
       IF(
         SUMPRODUCT(($C$9:$G$9="CO3")*ISNUMBER($C$10:$G$10)*ISNUMBER(C73:G73)) = 0,
         0,
         SUMPRODUCT(($C$9:$G$9="CO3")*ISNUMBER($C$10:$G$10)*ISNUMBER(C73:G73)*C73:G73) /
         SUMPRODUCT(($C$9:$G$9="CO3")*ISNUMBER($C$10:$G$10)*ISNUMBER(C73:G73)*$C$10:$G$10) * 0.15
       ) +
       IF(
         SUMPRODUCT(($H$9:$Z$9="CO3")*ISNUMBER($H$10:$Z$10)*ISNUMBER(H73:Z73)) = 0,
         0,
         SUMPRODUCT(($H$9:$Z$9="CO3")*ISNUMBER($H$10:$Z$10)*ISNUMBER(H73:Z73)*H73:Z73) /
         SUMPRODUCT(($H$9:$Z$9="CO3")*ISNUMBER($H$10:$Z$10)*ISNUMBER(H73:Z73)*$H$10:$Z$10) * 0.85
       )
     ) * 100,
     ""
   )
)</f>
        <v/>
      </c>
      <c r="AD73" s="1" cm="1">
        <f t="array" ref="AD73">IF(
   SUMPRODUCT(($C$9:$G$9="CO4")*ISNUMBER($C$10:$G$10)*ISNUMBER(C73:G73)) +
   SUMPRODUCT(($H$9:$Z$9="CO4")*ISNUMBER($H$10:$Z$10)*ISNUMBER(H73:Z73)) = 0,
   "",
   IFERROR(
     (
       IF(
         SUMPRODUCT(($C$9:$G$9="CO4")*ISNUMBER($C$10:$G$10)*ISNUMBER(C73:G73)) = 0,
         0,
         SUMPRODUCT(($C$9:$G$9="CO4")*ISNUMBER($C$10:$G$10)*ISNUMBER(C73:G73)*C73:G73) /
         SUMPRODUCT(($C$9:$G$9="CO4")*ISNUMBER($C$10:$G$10)*ISNUMBER(C73:G73)*$C$10:$G$10) * 0.15
       ) +
       IF(
         SUMPRODUCT(($H$9:$Z$9="CO4")*ISNUMBER($H$10:$Z$10)*ISNUMBER(H73:Z73)) = 0,
         0,
         SUMPRODUCT(($H$9:$Z$9="CO4")*ISNUMBER($H$10:$Z$10)*ISNUMBER(H73:Z73)*H73:Z73) /
         SUMPRODUCT(($H$9:$Z$9="CO4")*ISNUMBER($H$10:$Z$10)*ISNUMBER(H73:Z73)*$H$10:$Z$10) * 0.85
       )
     ) * 100,
     ""
   )
)</f>
        <v>0</v>
      </c>
      <c r="AE73" s="1" t="str" cm="1">
        <f t="array" ref="AE73">IF(
   SUMPRODUCT(($C$9:$G$9="CO5")*ISNUMBER($C$10:$G$10)*ISNUMBER(C73:G73)) +
   SUMPRODUCT(($H$9:$Z$9="CO5")*ISNUMBER($H$10:$Z$10)*ISNUMBER(H73:Z73)) = 0,
   "",
   IFERROR(
     (
       IF(
         SUMPRODUCT(($C$9:$G$9="CO5")*ISNUMBER($C$10:$G$10)*ISNUMBER(C73:G73)) = 0,
         0,
         SUMPRODUCT(($C$9:$G$9="CO5")*ISNUMBER($C$10:$G$10)*ISNUMBER(C73:G73)*C73:G73) /
         SUMPRODUCT(($C$9:$G$9="CO5")*ISNUMBER($C$10:$G$10)*ISNUMBER(C73:G73)*$C$10:$G$10) * 0.15
       ) +
       IF(
         SUMPRODUCT(($H$9:$Z$9="CO5")*ISNUMBER($H$10:$Z$10)*ISNUMBER(H73:Z73)) = 0,
         0,
         SUMPRODUCT(($H$9:$Z$9="CO5")*ISNUMBER($H$10:$Z$10)*ISNUMBER(H73:Z73)*H73:Z73) /
         SUMPRODUCT(($H$9:$Z$9="CO5")*ISNUMBER($H$10:$Z$10)*ISNUMBER(H73:Z73)*$H$10:$Z$10) * 0.85
       )
     ) * 100,
     ""
   )
)</f>
        <v/>
      </c>
      <c r="AF73" s="1" t="str" cm="1">
        <f t="array" ref="AF73">IF(
   SUMPRODUCT(($C$9:$G$9="CO6")*ISNUMBER($C$10:$G$10)*ISNUMBER(C73:G73)) +
   SUMPRODUCT(($H$9:$Z$9="CO6")*ISNUMBER($H$10:$Z$10)*ISNUMBER(H73:Z73)) = 0,
   "",
   IFERROR(
     (
       IF(
         SUMPRODUCT(($C$9:$G$9="CO6")*ISNUMBER($C$10:$G$10)*ISNUMBER(C73:G73)) = 0,
         0,
         SUMPRODUCT(($C$9:$G$9="CO6")*ISNUMBER($C$10:$G$10)*ISNUMBER(C73:G73)*C73:G73) /
         SUMPRODUCT(($C$9:$G$9="CO6")*ISNUMBER($C$10:$G$10)*ISNUMBER(C73:G73)*$C$10:$G$10) * 0.15
       ) +
       IF(
         SUMPRODUCT(($H$9:$Z$9="CO6")*ISNUMBER($H$10:$Z$10)*ISNUMBER(H73:Z73)) = 0,
         0,
         SUMPRODUCT(($H$9:$Z$9="CO6")*ISNUMBER($H$10:$Z$10)*ISNUMBER(H73:Z73)*H73:Z73) /
         SUMPRODUCT(($H$9:$Z$9="CO6")*ISNUMBER($H$10:$Z$10)*ISNUMBER(H73:Z73)*$H$10:$Z$10) * 0.85
       )
     ) * 100,
     ""
   )
)</f>
        <v/>
      </c>
      <c r="AG73" s="1" t="str" cm="1">
        <f t="array" ref="AG73">IF(
   SUMPRODUCT(($C$9:$G$9="CO7")*ISNUMBER($C$10:$G$10)*ISNUMBER(C73:G73)) +
   SUMPRODUCT(($H$9:$Z$9="CO7")*ISNUMBER($H$10:$Z$10)*ISNUMBER(H73:Z73)) = 0,
   "",
   IFERROR(
     (
       IF(
         SUMPRODUCT(($C$9:$G$9="CO7")*ISNUMBER($C$10:$G$10)*ISNUMBER(C73:G73)) = 0,
         0,
         SUMPRODUCT(($C$9:$G$9="CO7")*ISNUMBER($C$10:$G$10)*ISNUMBER(C73:G73)*C73:G73) /
         SUMPRODUCT(($C$9:$G$9="CO7")*ISNUMBER($C$10:$G$10)*ISNUMBER(C73:G73)*$C$10:$G$10) * 0.15
       ) +
       IF(
         SUMPRODUCT(($H$9:$Z$9="CO7")*ISNUMBER($H$10:$Z$10)*ISNUMBER(H73:Z73)) = 0,
         0,
         SUMPRODUCT(($H$9:$Z$9="CO7")*ISNUMBER($H$10:$Z$10)*ISNUMBER(H73:Z73)*H73:Z73) /
         SUMPRODUCT(($H$9:$Z$9="CO7")*ISNUMBER($H$10:$Z$10)*ISNUMBER(H73:Z73)*$H$10:$Z$10) * 0.85
       )
     ) * 100,
     ""
   )
)</f>
        <v/>
      </c>
      <c r="AH73" s="3" t="str" cm="1">
        <f t="array" ref="AH73">IF(
   SUMPRODUCT(($C$9:$G$9="CO8")*ISNUMBER($C$10:$G$10)*ISNUMBER(C73:G73)) +
   SUMPRODUCT(($H$9:$Z$9="CO8")*ISNUMBER($H$10:$Z$10)*ISNUMBER(H73:Z73)) = 0,
   "",
   IFERROR(
     (
       IF(
         SUMPRODUCT(($C$9:$G$9="CO8")*ISNUMBER($C$10:$G$10)*ISNUMBER(C73:G73)) = 0,
         0,
         SUMPRODUCT(($C$9:$G$9="CO8")*ISNUMBER($C$10:$G$10)*ISNUMBER(C73:G73)*C73:G73) /
         SUMPRODUCT(($C$9:$G$9="CO8")*ISNUMBER($C$10:$G$10)*ISNUMBER(C73:G73)*$C$10:$G$10) * 0.15
       ) +
       IF(
         SUMPRODUCT(($H$9:$Z$9="CO8")*ISNUMBER($H$10:$Z$10)*ISNUMBER(H73:Z73)) = 0,
         0,
         SUMPRODUCT(($H$9:$Z$9="CO8")*ISNUMBER($H$10:$Z$10)*ISNUMBER(H73:Z73)*H73:Z73) /
         SUMPRODUCT(($H$9:$Z$9="CO8")*ISNUMBER($H$10:$Z$10)*ISNUMBER(H73:Z73)*$H$10:$Z$10) * 0.85
       )
     ) * 100,
     ""
   )
)</f>
        <v/>
      </c>
      <c r="AI73" s="1" t="str">
        <f t="shared" si="10"/>
        <v/>
      </c>
      <c r="AJ73" s="1" t="str">
        <f t="shared" si="11"/>
        <v/>
      </c>
      <c r="AK73" s="1" t="str">
        <f t="shared" si="12"/>
        <v/>
      </c>
      <c r="AL73" s="1" t="str">
        <f t="shared" si="4"/>
        <v>F</v>
      </c>
      <c r="AM73" s="1" t="str">
        <f t="shared" si="4"/>
        <v/>
      </c>
      <c r="AN73" s="1" t="str">
        <f t="shared" si="4"/>
        <v/>
      </c>
      <c r="AO73" s="1" t="str">
        <f t="shared" si="4"/>
        <v/>
      </c>
      <c r="AP73" s="1" t="str">
        <f t="shared" si="4"/>
        <v/>
      </c>
    </row>
    <row r="74" spans="1:42" ht="16.2" thickBot="1" x14ac:dyDescent="0.35">
      <c r="A74" s="62">
        <v>2508128</v>
      </c>
      <c r="B74" s="58" t="s">
        <v>171</v>
      </c>
      <c r="C74" s="77">
        <v>5</v>
      </c>
      <c r="D74" s="82">
        <v>5</v>
      </c>
      <c r="E74" s="88">
        <v>2</v>
      </c>
      <c r="F74" s="89">
        <v>5</v>
      </c>
      <c r="G74" s="89">
        <v>5</v>
      </c>
      <c r="H74" s="14">
        <v>0</v>
      </c>
      <c r="I74" s="14">
        <v>1</v>
      </c>
      <c r="J74" s="14">
        <v>1</v>
      </c>
      <c r="K74" s="14">
        <v>1</v>
      </c>
      <c r="L74" s="14">
        <v>1</v>
      </c>
      <c r="M74" s="14">
        <v>1</v>
      </c>
      <c r="N74" s="14">
        <v>2</v>
      </c>
      <c r="O74" s="14">
        <v>0</v>
      </c>
      <c r="P74" s="14">
        <v>2</v>
      </c>
      <c r="Q74" s="14">
        <v>0</v>
      </c>
      <c r="R74" s="14">
        <v>1</v>
      </c>
      <c r="S74" s="14">
        <v>0</v>
      </c>
      <c r="T74" s="14">
        <v>1</v>
      </c>
      <c r="U74" s="14">
        <v>2</v>
      </c>
      <c r="V74" s="14">
        <v>2</v>
      </c>
      <c r="W74" s="14">
        <v>2</v>
      </c>
      <c r="X74" s="98">
        <v>23</v>
      </c>
      <c r="Y74" s="99">
        <v>8</v>
      </c>
      <c r="Z74" s="89">
        <v>8</v>
      </c>
      <c r="AA74" s="1" cm="1">
        <f t="array" ref="AA74">IF(
   SUMPRODUCT(($C$9:$G$9="CO1")*ISNUMBER($C$10:$G$10)*ISNUMBER(C74:G74)) +
   SUMPRODUCT(($H$9:$Z$9="CO1")*ISNUMBER($H$10:$Z$10)*ISNUMBER(H74:Z74)) = 0,
   "",
   IFERROR(
     (
       IF(
         SUMPRODUCT(($C$9:$G$9="CO1")*ISNUMBER($C$10:$G$10)*ISNUMBER(C74:G74)) = 0,
         0,
         SUMPRODUCT(($C$9:$G$9="CO1")*ISNUMBER($C$10:$G$10)*ISNUMBER(C74:G74)*C74:G74) /
         SUMPRODUCT(($C$9:$G$9="CO1")*ISNUMBER($C$10:$G$10)*ISNUMBER(C74:G74)*$C$10:$G$10) * 0.15
       ) +
       IF(
         SUMPRODUCT(($H$9:$Z$9="CO1")*ISNUMBER($H$10:$Z$10)*ISNUMBER(H74:Z74)) = 0,
         0,
         SUMPRODUCT(($H$9:$Z$9="CO1")*ISNUMBER($H$10:$Z$10)*ISNUMBER(H74:Z74)*H74:Z74) /
         SUMPRODUCT(($H$9:$Z$9="CO1")*ISNUMBER($H$10:$Z$10)*ISNUMBER(H74:Z74)*$H$10:$Z$10) * 0.85
       )
     ) * 100,
     ""
   )
)</f>
        <v>85.833333333333343</v>
      </c>
      <c r="AB74" s="1" cm="1">
        <f t="array" ref="AB74">IF(
   SUMPRODUCT(($C$9:$G$9="CO2")*ISNUMBER($C$10:$G$10)*ISNUMBER(C74:G74)) +
   SUMPRODUCT(($H$9:$Z$9="CO2")*ISNUMBER($H$10:$Z$10)*ISNUMBER(H74:Z74)) = 0,
   "",
   IFERROR(
     (
       IF(
         SUMPRODUCT(($C$9:$G$9="CO2")*ISNUMBER($C$10:$G$10)*ISNUMBER(C74:G74)) = 0,
         0,
         SUMPRODUCT(($C$9:$G$9="CO2")*ISNUMBER($C$10:$G$10)*ISNUMBER(C74:G74)*C74:G74) /
         SUMPRODUCT(($C$9:$G$9="CO2")*ISNUMBER($C$10:$G$10)*ISNUMBER(C74:G74)*$C$10:$G$10) * 0.15
       ) +
       IF(
         SUMPRODUCT(($H$9:$Z$9="CO2")*ISNUMBER($H$10:$Z$10)*ISNUMBER(H74:Z74)) = 0,
         0,
         SUMPRODUCT(($H$9:$Z$9="CO2")*ISNUMBER($H$10:$Z$10)*ISNUMBER(H74:Z74)*H74:Z74) /
         SUMPRODUCT(($H$9:$Z$9="CO2")*ISNUMBER($H$10:$Z$10)*ISNUMBER(H74:Z74)*$H$10:$Z$10) * 0.85
       )
     ) * 100,
     ""
   )
)</f>
        <v>68.9375</v>
      </c>
      <c r="AC74" s="1" cm="1">
        <f t="array" ref="AC74">IF(
   SUMPRODUCT(($C$9:$G$9="CO3")*ISNUMBER($C$10:$G$10)*ISNUMBER(C74:G74)) +
   SUMPRODUCT(($H$9:$Z$9="CO3")*ISNUMBER($H$10:$Z$10)*ISNUMBER(H74:Z74)) = 0,
   "",
   IFERROR(
     (
       IF(
         SUMPRODUCT(($C$9:$G$9="CO3")*ISNUMBER($C$10:$G$10)*ISNUMBER(C74:G74)) = 0,
         0,
         SUMPRODUCT(($C$9:$G$9="CO3")*ISNUMBER($C$10:$G$10)*ISNUMBER(C74:G74)*C74:G74) /
         SUMPRODUCT(($C$9:$G$9="CO3")*ISNUMBER($C$10:$G$10)*ISNUMBER(C74:G74)*$C$10:$G$10) * 0.15
       ) +
       IF(
         SUMPRODUCT(($H$9:$Z$9="CO3")*ISNUMBER($H$10:$Z$10)*ISNUMBER(H74:Z74)) = 0,
         0,
         SUMPRODUCT(($H$9:$Z$9="CO3")*ISNUMBER($H$10:$Z$10)*ISNUMBER(H74:Z74)*H74:Z74) /
         SUMPRODUCT(($H$9:$Z$9="CO3")*ISNUMBER($H$10:$Z$10)*ISNUMBER(H74:Z74)*$H$10:$Z$10) * 0.85
       )
     ) * 100,
     ""
   )
)</f>
        <v>87.857142857142861</v>
      </c>
      <c r="AD74" s="1" cm="1">
        <f t="array" ref="AD74">IF(
   SUMPRODUCT(($C$9:$G$9="CO4")*ISNUMBER($C$10:$G$10)*ISNUMBER(C74:G74)) +
   SUMPRODUCT(($H$9:$Z$9="CO4")*ISNUMBER($H$10:$Z$10)*ISNUMBER(H74:Z74)) = 0,
   "",
   IFERROR(
     (
       IF(
         SUMPRODUCT(($C$9:$G$9="CO4")*ISNUMBER($C$10:$G$10)*ISNUMBER(C74:G74)) = 0,
         0,
         SUMPRODUCT(($C$9:$G$9="CO4")*ISNUMBER($C$10:$G$10)*ISNUMBER(C74:G74)*C74:G74) /
         SUMPRODUCT(($C$9:$G$9="CO4")*ISNUMBER($C$10:$G$10)*ISNUMBER(C74:G74)*$C$10:$G$10) * 0.15
       ) +
       IF(
         SUMPRODUCT(($H$9:$Z$9="CO4")*ISNUMBER($H$10:$Z$10)*ISNUMBER(H74:Z74)) = 0,
         0,
         SUMPRODUCT(($H$9:$Z$9="CO4")*ISNUMBER($H$10:$Z$10)*ISNUMBER(H74:Z74)*H74:Z74) /
         SUMPRODUCT(($H$9:$Z$9="CO4")*ISNUMBER($H$10:$Z$10)*ISNUMBER(H74:Z74)*$H$10:$Z$10) * 0.85
       )
     ) * 100,
     ""
   )
)</f>
        <v>100</v>
      </c>
      <c r="AE74" s="1" t="str" cm="1">
        <f t="array" ref="AE74">IF(
   SUMPRODUCT(($C$9:$G$9="CO5")*ISNUMBER($C$10:$G$10)*ISNUMBER(C74:G74)) +
   SUMPRODUCT(($H$9:$Z$9="CO5")*ISNUMBER($H$10:$Z$10)*ISNUMBER(H74:Z74)) = 0,
   "",
   IFERROR(
     (
       IF(
         SUMPRODUCT(($C$9:$G$9="CO5")*ISNUMBER($C$10:$G$10)*ISNUMBER(C74:G74)) = 0,
         0,
         SUMPRODUCT(($C$9:$G$9="CO5")*ISNUMBER($C$10:$G$10)*ISNUMBER(C74:G74)*C74:G74) /
         SUMPRODUCT(($C$9:$G$9="CO5")*ISNUMBER($C$10:$G$10)*ISNUMBER(C74:G74)*$C$10:$G$10) * 0.15
       ) +
       IF(
         SUMPRODUCT(($H$9:$Z$9="CO5")*ISNUMBER($H$10:$Z$10)*ISNUMBER(H74:Z74)) = 0,
         0,
         SUMPRODUCT(($H$9:$Z$9="CO5")*ISNUMBER($H$10:$Z$10)*ISNUMBER(H74:Z74)*H74:Z74) /
         SUMPRODUCT(($H$9:$Z$9="CO5")*ISNUMBER($H$10:$Z$10)*ISNUMBER(H74:Z74)*$H$10:$Z$10) * 0.85
       )
     ) * 100,
     ""
   )
)</f>
        <v/>
      </c>
      <c r="AF74" s="1" t="str" cm="1">
        <f t="array" ref="AF74">IF(
   SUMPRODUCT(($C$9:$G$9="CO6")*ISNUMBER($C$10:$G$10)*ISNUMBER(C74:G74)) +
   SUMPRODUCT(($H$9:$Z$9="CO6")*ISNUMBER($H$10:$Z$10)*ISNUMBER(H74:Z74)) = 0,
   "",
   IFERROR(
     (
       IF(
         SUMPRODUCT(($C$9:$G$9="CO6")*ISNUMBER($C$10:$G$10)*ISNUMBER(C74:G74)) = 0,
         0,
         SUMPRODUCT(($C$9:$G$9="CO6")*ISNUMBER($C$10:$G$10)*ISNUMBER(C74:G74)*C74:G74) /
         SUMPRODUCT(($C$9:$G$9="CO6")*ISNUMBER($C$10:$G$10)*ISNUMBER(C74:G74)*$C$10:$G$10) * 0.15
       ) +
       IF(
         SUMPRODUCT(($H$9:$Z$9="CO6")*ISNUMBER($H$10:$Z$10)*ISNUMBER(H74:Z74)) = 0,
         0,
         SUMPRODUCT(($H$9:$Z$9="CO6")*ISNUMBER($H$10:$Z$10)*ISNUMBER(H74:Z74)*H74:Z74) /
         SUMPRODUCT(($H$9:$Z$9="CO6")*ISNUMBER($H$10:$Z$10)*ISNUMBER(H74:Z74)*$H$10:$Z$10) * 0.85
       )
     ) * 100,
     ""
   )
)</f>
        <v/>
      </c>
      <c r="AG74" s="1" t="str" cm="1">
        <f t="array" ref="AG74">IF(
   SUMPRODUCT(($C$9:$G$9="CO7")*ISNUMBER($C$10:$G$10)*ISNUMBER(C74:G74)) +
   SUMPRODUCT(($H$9:$Z$9="CO7")*ISNUMBER($H$10:$Z$10)*ISNUMBER(H74:Z74)) = 0,
   "",
   IFERROR(
     (
       IF(
         SUMPRODUCT(($C$9:$G$9="CO7")*ISNUMBER($C$10:$G$10)*ISNUMBER(C74:G74)) = 0,
         0,
         SUMPRODUCT(($C$9:$G$9="CO7")*ISNUMBER($C$10:$G$10)*ISNUMBER(C74:G74)*C74:G74) /
         SUMPRODUCT(($C$9:$G$9="CO7")*ISNUMBER($C$10:$G$10)*ISNUMBER(C74:G74)*$C$10:$G$10) * 0.15
       ) +
       IF(
         SUMPRODUCT(($H$9:$Z$9="CO7")*ISNUMBER($H$10:$Z$10)*ISNUMBER(H74:Z74)) = 0,
         0,
         SUMPRODUCT(($H$9:$Z$9="CO7")*ISNUMBER($H$10:$Z$10)*ISNUMBER(H74:Z74)*H74:Z74) /
         SUMPRODUCT(($H$9:$Z$9="CO7")*ISNUMBER($H$10:$Z$10)*ISNUMBER(H74:Z74)*$H$10:$Z$10) * 0.85
       )
     ) * 100,
     ""
   )
)</f>
        <v/>
      </c>
      <c r="AH74" s="3" t="str" cm="1">
        <f t="array" ref="AH74">IF(
   SUMPRODUCT(($C$9:$G$9="CO8")*ISNUMBER($C$10:$G$10)*ISNUMBER(C74:G74)) +
   SUMPRODUCT(($H$9:$Z$9="CO8")*ISNUMBER($H$10:$Z$10)*ISNUMBER(H74:Z74)) = 0,
   "",
   IFERROR(
     (
       IF(
         SUMPRODUCT(($C$9:$G$9="CO8")*ISNUMBER($C$10:$G$10)*ISNUMBER(C74:G74)) = 0,
         0,
         SUMPRODUCT(($C$9:$G$9="CO8")*ISNUMBER($C$10:$G$10)*ISNUMBER(C74:G74)*C74:G74) /
         SUMPRODUCT(($C$9:$G$9="CO8")*ISNUMBER($C$10:$G$10)*ISNUMBER(C74:G74)*$C$10:$G$10) * 0.15
       ) +
       IF(
         SUMPRODUCT(($H$9:$Z$9="CO8")*ISNUMBER($H$10:$Z$10)*ISNUMBER(H74:Z74)) = 0,
         0,
         SUMPRODUCT(($H$9:$Z$9="CO8")*ISNUMBER($H$10:$Z$10)*ISNUMBER(H74:Z74)*H74:Z74) /
         SUMPRODUCT(($H$9:$Z$9="CO8")*ISNUMBER($H$10:$Z$10)*ISNUMBER(H74:Z74)*$H$10:$Z$10) * 0.85
       )
     ) * 100,
     ""
   )
)</f>
        <v/>
      </c>
      <c r="AI74" s="1" t="str">
        <f t="shared" si="10"/>
        <v>D</v>
      </c>
      <c r="AJ74" s="1" t="str">
        <f t="shared" si="11"/>
        <v>First</v>
      </c>
      <c r="AK74" s="1" t="str">
        <f t="shared" si="12"/>
        <v>D</v>
      </c>
      <c r="AL74" s="1" t="str">
        <f t="shared" si="4"/>
        <v>D</v>
      </c>
      <c r="AM74" s="1" t="str">
        <f t="shared" si="4"/>
        <v/>
      </c>
      <c r="AN74" s="1" t="str">
        <f t="shared" si="4"/>
        <v/>
      </c>
      <c r="AO74" s="1" t="str">
        <f t="shared" si="4"/>
        <v/>
      </c>
      <c r="AP74" s="1" t="str">
        <f t="shared" si="4"/>
        <v/>
      </c>
    </row>
    <row r="75" spans="1:42" ht="16.2" thickBot="1" x14ac:dyDescent="0.35">
      <c r="A75" s="62">
        <v>2508129</v>
      </c>
      <c r="B75" s="58" t="s">
        <v>172</v>
      </c>
      <c r="C75" s="77">
        <v>2</v>
      </c>
      <c r="D75" s="82">
        <v>4</v>
      </c>
      <c r="E75" s="88">
        <v>5</v>
      </c>
      <c r="F75" s="89">
        <v>5</v>
      </c>
      <c r="G75" s="89">
        <v>5</v>
      </c>
      <c r="H75" s="14">
        <v>1</v>
      </c>
      <c r="I75" s="14">
        <v>1</v>
      </c>
      <c r="J75" s="14">
        <v>1</v>
      </c>
      <c r="K75" s="14">
        <v>1</v>
      </c>
      <c r="L75" s="14">
        <v>1</v>
      </c>
      <c r="M75" s="14">
        <v>0</v>
      </c>
      <c r="N75" s="14">
        <v>2</v>
      </c>
      <c r="O75" s="14">
        <v>0</v>
      </c>
      <c r="P75" s="14">
        <v>2</v>
      </c>
      <c r="Q75" s="14">
        <v>2</v>
      </c>
      <c r="R75" s="14">
        <v>2</v>
      </c>
      <c r="S75" s="14">
        <v>0</v>
      </c>
      <c r="T75" s="14">
        <v>1</v>
      </c>
      <c r="U75" s="14">
        <v>2</v>
      </c>
      <c r="V75" s="14">
        <v>0</v>
      </c>
      <c r="W75" s="14">
        <v>2</v>
      </c>
      <c r="X75" s="98">
        <v>18</v>
      </c>
      <c r="Y75" s="99">
        <v>8</v>
      </c>
      <c r="Z75" s="89">
        <v>7</v>
      </c>
      <c r="AA75" s="1" cm="1">
        <f t="array" ref="AA75">IF(
   SUMPRODUCT(($C$9:$G$9="CO1")*ISNUMBER($C$10:$G$10)*ISNUMBER(C75:G75)) +
   SUMPRODUCT(($H$9:$Z$9="CO1")*ISNUMBER($H$10:$Z$10)*ISNUMBER(H75:Z75)) = 0,
   "",
   IFERROR(
     (
       IF(
         SUMPRODUCT(($C$9:$G$9="CO1")*ISNUMBER($C$10:$G$10)*ISNUMBER(C75:G75)) = 0,
         0,
         SUMPRODUCT(($C$9:$G$9="CO1")*ISNUMBER($C$10:$G$10)*ISNUMBER(C75:G75)*C75:G75) /
         SUMPRODUCT(($C$9:$G$9="CO1")*ISNUMBER($C$10:$G$10)*ISNUMBER(C75:G75)*$C$10:$G$10) * 0.15
       ) +
       IF(
         SUMPRODUCT(($H$9:$Z$9="CO1")*ISNUMBER($H$10:$Z$10)*ISNUMBER(H75:Z75)) = 0,
         0,
         SUMPRODUCT(($H$9:$Z$9="CO1")*ISNUMBER($H$10:$Z$10)*ISNUMBER(H75:Z75)*H75:Z75) /
         SUMPRODUCT(($H$9:$Z$9="CO1")*ISNUMBER($H$10:$Z$10)*ISNUMBER(H75:Z75)*$H$10:$Z$10) * 0.85
       )
     ) * 100,
     ""
   )
)</f>
        <v>72.1111111111111</v>
      </c>
      <c r="AB75" s="1" cm="1">
        <f t="array" ref="AB75">IF(
   SUMPRODUCT(($C$9:$G$9="CO2")*ISNUMBER($C$10:$G$10)*ISNUMBER(C75:G75)) +
   SUMPRODUCT(($H$9:$Z$9="CO2")*ISNUMBER($H$10:$Z$10)*ISNUMBER(H75:Z75)) = 0,
   "",
   IFERROR(
     (
       IF(
         SUMPRODUCT(($C$9:$G$9="CO2")*ISNUMBER($C$10:$G$10)*ISNUMBER(C75:G75)) = 0,
         0,
         SUMPRODUCT(($C$9:$G$9="CO2")*ISNUMBER($C$10:$G$10)*ISNUMBER(C75:G75)*C75:G75) /
         SUMPRODUCT(($C$9:$G$9="CO2")*ISNUMBER($C$10:$G$10)*ISNUMBER(C75:G75)*$C$10:$G$10) * 0.15
       ) +
       IF(
         SUMPRODUCT(($H$9:$Z$9="CO2")*ISNUMBER($H$10:$Z$10)*ISNUMBER(H75:Z75)) = 0,
         0,
         SUMPRODUCT(($H$9:$Z$9="CO2")*ISNUMBER($H$10:$Z$10)*ISNUMBER(H75:Z75)*H75:Z75) /
         SUMPRODUCT(($H$9:$Z$9="CO2")*ISNUMBER($H$10:$Z$10)*ISNUMBER(H75:Z75)*$H$10:$Z$10) * 0.85
       )
     ) * 100,
     ""
   )
)</f>
        <v>77.25</v>
      </c>
      <c r="AC75" s="1" cm="1">
        <f t="array" ref="AC75">IF(
   SUMPRODUCT(($C$9:$G$9="CO3")*ISNUMBER($C$10:$G$10)*ISNUMBER(C75:G75)) +
   SUMPRODUCT(($H$9:$Z$9="CO3")*ISNUMBER($H$10:$Z$10)*ISNUMBER(H75:Z75)) = 0,
   "",
   IFERROR(
     (
       IF(
         SUMPRODUCT(($C$9:$G$9="CO3")*ISNUMBER($C$10:$G$10)*ISNUMBER(C75:G75)) = 0,
         0,
         SUMPRODUCT(($C$9:$G$9="CO3")*ISNUMBER($C$10:$G$10)*ISNUMBER(C75:G75)*C75:G75) /
         SUMPRODUCT(($C$9:$G$9="CO3")*ISNUMBER($C$10:$G$10)*ISNUMBER(C75:G75)*$C$10:$G$10) * 0.15
       ) +
       IF(
         SUMPRODUCT(($H$9:$Z$9="CO3")*ISNUMBER($H$10:$Z$10)*ISNUMBER(H75:Z75)) = 0,
         0,
         SUMPRODUCT(($H$9:$Z$9="CO3")*ISNUMBER($H$10:$Z$10)*ISNUMBER(H75:Z75)*H75:Z75) /
         SUMPRODUCT(($H$9:$Z$9="CO3")*ISNUMBER($H$10:$Z$10)*ISNUMBER(H75:Z75)*$H$10:$Z$10) * 0.85
       )
     ) * 100,
     ""
   )
)</f>
        <v>78.75</v>
      </c>
      <c r="AD75" s="1" cm="1">
        <f t="array" ref="AD75">IF(
   SUMPRODUCT(($C$9:$G$9="CO4")*ISNUMBER($C$10:$G$10)*ISNUMBER(C75:G75)) +
   SUMPRODUCT(($H$9:$Z$9="CO4")*ISNUMBER($H$10:$Z$10)*ISNUMBER(H75:Z75)) = 0,
   "",
   IFERROR(
     (
       IF(
         SUMPRODUCT(($C$9:$G$9="CO4")*ISNUMBER($C$10:$G$10)*ISNUMBER(C75:G75)) = 0,
         0,
         SUMPRODUCT(($C$9:$G$9="CO4")*ISNUMBER($C$10:$G$10)*ISNUMBER(C75:G75)*C75:G75) /
         SUMPRODUCT(($C$9:$G$9="CO4")*ISNUMBER($C$10:$G$10)*ISNUMBER(C75:G75)*$C$10:$G$10) * 0.15
       ) +
       IF(
         SUMPRODUCT(($H$9:$Z$9="CO4")*ISNUMBER($H$10:$Z$10)*ISNUMBER(H75:Z75)) = 0,
         0,
         SUMPRODUCT(($H$9:$Z$9="CO4")*ISNUMBER($H$10:$Z$10)*ISNUMBER(H75:Z75)*H75:Z75) /
         SUMPRODUCT(($H$9:$Z$9="CO4")*ISNUMBER($H$10:$Z$10)*ISNUMBER(H75:Z75)*$H$10:$Z$10) * 0.85
       )
     ) * 100,
     ""
   )
)</f>
        <v>71.666666666666671</v>
      </c>
      <c r="AE75" s="1" t="str" cm="1">
        <f t="array" ref="AE75">IF(
   SUMPRODUCT(($C$9:$G$9="CO5")*ISNUMBER($C$10:$G$10)*ISNUMBER(C75:G75)) +
   SUMPRODUCT(($H$9:$Z$9="CO5")*ISNUMBER($H$10:$Z$10)*ISNUMBER(H75:Z75)) = 0,
   "",
   IFERROR(
     (
       IF(
         SUMPRODUCT(($C$9:$G$9="CO5")*ISNUMBER($C$10:$G$10)*ISNUMBER(C75:G75)) = 0,
         0,
         SUMPRODUCT(($C$9:$G$9="CO5")*ISNUMBER($C$10:$G$10)*ISNUMBER(C75:G75)*C75:G75) /
         SUMPRODUCT(($C$9:$G$9="CO5")*ISNUMBER($C$10:$G$10)*ISNUMBER(C75:G75)*$C$10:$G$10) * 0.15
       ) +
       IF(
         SUMPRODUCT(($H$9:$Z$9="CO5")*ISNUMBER($H$10:$Z$10)*ISNUMBER(H75:Z75)) = 0,
         0,
         SUMPRODUCT(($H$9:$Z$9="CO5")*ISNUMBER($H$10:$Z$10)*ISNUMBER(H75:Z75)*H75:Z75) /
         SUMPRODUCT(($H$9:$Z$9="CO5")*ISNUMBER($H$10:$Z$10)*ISNUMBER(H75:Z75)*$H$10:$Z$10) * 0.85
       )
     ) * 100,
     ""
   )
)</f>
        <v/>
      </c>
      <c r="AF75" s="1" t="str" cm="1">
        <f t="array" ref="AF75">IF(
   SUMPRODUCT(($C$9:$G$9="CO6")*ISNUMBER($C$10:$G$10)*ISNUMBER(C75:G75)) +
   SUMPRODUCT(($H$9:$Z$9="CO6")*ISNUMBER($H$10:$Z$10)*ISNUMBER(H75:Z75)) = 0,
   "",
   IFERROR(
     (
       IF(
         SUMPRODUCT(($C$9:$G$9="CO6")*ISNUMBER($C$10:$G$10)*ISNUMBER(C75:G75)) = 0,
         0,
         SUMPRODUCT(($C$9:$G$9="CO6")*ISNUMBER($C$10:$G$10)*ISNUMBER(C75:G75)*C75:G75) /
         SUMPRODUCT(($C$9:$G$9="CO6")*ISNUMBER($C$10:$G$10)*ISNUMBER(C75:G75)*$C$10:$G$10) * 0.15
       ) +
       IF(
         SUMPRODUCT(($H$9:$Z$9="CO6")*ISNUMBER($H$10:$Z$10)*ISNUMBER(H75:Z75)) = 0,
         0,
         SUMPRODUCT(($H$9:$Z$9="CO6")*ISNUMBER($H$10:$Z$10)*ISNUMBER(H75:Z75)*H75:Z75) /
         SUMPRODUCT(($H$9:$Z$9="CO6")*ISNUMBER($H$10:$Z$10)*ISNUMBER(H75:Z75)*$H$10:$Z$10) * 0.85
       )
     ) * 100,
     ""
   )
)</f>
        <v/>
      </c>
      <c r="AG75" s="1" t="str" cm="1">
        <f t="array" ref="AG75">IF(
   SUMPRODUCT(($C$9:$G$9="CO7")*ISNUMBER($C$10:$G$10)*ISNUMBER(C75:G75)) +
   SUMPRODUCT(($H$9:$Z$9="CO7")*ISNUMBER($H$10:$Z$10)*ISNUMBER(H75:Z75)) = 0,
   "",
   IFERROR(
     (
       IF(
         SUMPRODUCT(($C$9:$G$9="CO7")*ISNUMBER($C$10:$G$10)*ISNUMBER(C75:G75)) = 0,
         0,
         SUMPRODUCT(($C$9:$G$9="CO7")*ISNUMBER($C$10:$G$10)*ISNUMBER(C75:G75)*C75:G75) /
         SUMPRODUCT(($C$9:$G$9="CO7")*ISNUMBER($C$10:$G$10)*ISNUMBER(C75:G75)*$C$10:$G$10) * 0.15
       ) +
       IF(
         SUMPRODUCT(($H$9:$Z$9="CO7")*ISNUMBER($H$10:$Z$10)*ISNUMBER(H75:Z75)) = 0,
         0,
         SUMPRODUCT(($H$9:$Z$9="CO7")*ISNUMBER($H$10:$Z$10)*ISNUMBER(H75:Z75)*H75:Z75) /
         SUMPRODUCT(($H$9:$Z$9="CO7")*ISNUMBER($H$10:$Z$10)*ISNUMBER(H75:Z75)*$H$10:$Z$10) * 0.85
       )
     ) * 100,
     ""
   )
)</f>
        <v/>
      </c>
      <c r="AH75" s="3" t="str" cm="1">
        <f t="array" ref="AH75">IF(
   SUMPRODUCT(($C$9:$G$9="CO8")*ISNUMBER($C$10:$G$10)*ISNUMBER(C75:G75)) +
   SUMPRODUCT(($H$9:$Z$9="CO8")*ISNUMBER($H$10:$Z$10)*ISNUMBER(H75:Z75)) = 0,
   "",
   IFERROR(
     (
       IF(
         SUMPRODUCT(($C$9:$G$9="CO8")*ISNUMBER($C$10:$G$10)*ISNUMBER(C75:G75)) = 0,
         0,
         SUMPRODUCT(($C$9:$G$9="CO8")*ISNUMBER($C$10:$G$10)*ISNUMBER(C75:G75)*C75:G75) /
         SUMPRODUCT(($C$9:$G$9="CO8")*ISNUMBER($C$10:$G$10)*ISNUMBER(C75:G75)*$C$10:$G$10) * 0.15
       ) +
       IF(
         SUMPRODUCT(($H$9:$Z$9="CO8")*ISNUMBER($H$10:$Z$10)*ISNUMBER(H75:Z75)) = 0,
         0,
         SUMPRODUCT(($H$9:$Z$9="CO8")*ISNUMBER($H$10:$Z$10)*ISNUMBER(H75:Z75)*H75:Z75) /
         SUMPRODUCT(($H$9:$Z$9="CO8")*ISNUMBER($H$10:$Z$10)*ISNUMBER(H75:Z75)*$H$10:$Z$10) * 0.85
       )
     ) * 100,
     ""
   )
)</f>
        <v/>
      </c>
      <c r="AI75" s="1" t="str">
        <f t="shared" si="10"/>
        <v>D</v>
      </c>
      <c r="AJ75" s="1" t="str">
        <f t="shared" si="11"/>
        <v>D</v>
      </c>
      <c r="AK75" s="1" t="str">
        <f t="shared" si="12"/>
        <v>D</v>
      </c>
      <c r="AL75" s="1" t="str">
        <f t="shared" si="4"/>
        <v>D</v>
      </c>
      <c r="AM75" s="1" t="str">
        <f t="shared" si="4"/>
        <v/>
      </c>
      <c r="AN75" s="1" t="str">
        <f t="shared" si="4"/>
        <v/>
      </c>
      <c r="AO75" s="1" t="str">
        <f t="shared" si="4"/>
        <v/>
      </c>
      <c r="AP75" s="1" t="str">
        <f t="shared" si="4"/>
        <v/>
      </c>
    </row>
    <row r="76" spans="1:42" ht="16.2" thickBot="1" x14ac:dyDescent="0.35">
      <c r="A76" s="62">
        <v>2508130</v>
      </c>
      <c r="B76" s="58" t="s">
        <v>173</v>
      </c>
      <c r="C76" s="77">
        <v>4</v>
      </c>
      <c r="D76" s="82">
        <v>3</v>
      </c>
      <c r="E76" s="88">
        <v>1</v>
      </c>
      <c r="F76" s="89">
        <v>5</v>
      </c>
      <c r="G76" s="89">
        <v>5</v>
      </c>
      <c r="H76" s="14">
        <v>0</v>
      </c>
      <c r="I76" s="14">
        <v>1</v>
      </c>
      <c r="J76" s="14">
        <v>1</v>
      </c>
      <c r="K76" s="14">
        <v>1</v>
      </c>
      <c r="L76" s="14">
        <v>0</v>
      </c>
      <c r="M76" s="14">
        <v>1</v>
      </c>
      <c r="N76" s="14">
        <v>2</v>
      </c>
      <c r="O76" s="14">
        <v>0</v>
      </c>
      <c r="P76" s="14">
        <v>2</v>
      </c>
      <c r="Q76" s="14">
        <v>0</v>
      </c>
      <c r="R76" s="14">
        <v>2</v>
      </c>
      <c r="S76" s="14">
        <v>0</v>
      </c>
      <c r="T76" s="14">
        <v>1</v>
      </c>
      <c r="U76" s="14">
        <v>2</v>
      </c>
      <c r="V76" s="14">
        <v>0</v>
      </c>
      <c r="W76" s="14">
        <v>1</v>
      </c>
      <c r="X76" s="98">
        <v>20</v>
      </c>
      <c r="Y76" s="99">
        <v>8</v>
      </c>
      <c r="Z76" s="89">
        <v>8</v>
      </c>
      <c r="AA76" s="1" cm="1">
        <f t="array" ref="AA76">IF(
   SUMPRODUCT(($C$9:$G$9="CO1")*ISNUMBER($C$10:$G$10)*ISNUMBER(C76:G76)) +
   SUMPRODUCT(($H$9:$Z$9="CO1")*ISNUMBER($H$10:$Z$10)*ISNUMBER(H76:Z76)) = 0,
   "",
   IFERROR(
     (
       IF(
         SUMPRODUCT(($C$9:$G$9="CO1")*ISNUMBER($C$10:$G$10)*ISNUMBER(C76:G76)) = 0,
         0,
         SUMPRODUCT(($C$9:$G$9="CO1")*ISNUMBER($C$10:$G$10)*ISNUMBER(C76:G76)*C76:G76) /
         SUMPRODUCT(($C$9:$G$9="CO1")*ISNUMBER($C$10:$G$10)*ISNUMBER(C76:G76)*$C$10:$G$10) * 0.15
       ) +
       IF(
         SUMPRODUCT(($H$9:$Z$9="CO1")*ISNUMBER($H$10:$Z$10)*ISNUMBER(H76:Z76)) = 0,
         0,
         SUMPRODUCT(($H$9:$Z$9="CO1")*ISNUMBER($H$10:$Z$10)*ISNUMBER(H76:Z76)*H76:Z76) /
         SUMPRODUCT(($H$9:$Z$9="CO1")*ISNUMBER($H$10:$Z$10)*ISNUMBER(H76:Z76)*$H$10:$Z$10) * 0.85
       )
     ) * 100,
     ""
   )
)</f>
        <v>78.111111111111114</v>
      </c>
      <c r="AB76" s="1" cm="1">
        <f t="array" ref="AB76">IF(
   SUMPRODUCT(($C$9:$G$9="CO2")*ISNUMBER($C$10:$G$10)*ISNUMBER(C76:G76)) +
   SUMPRODUCT(($H$9:$Z$9="CO2")*ISNUMBER($H$10:$Z$10)*ISNUMBER(H76:Z76)) = 0,
   "",
   IFERROR(
     (
       IF(
         SUMPRODUCT(($C$9:$G$9="CO2")*ISNUMBER($C$10:$G$10)*ISNUMBER(C76:G76)) = 0,
         0,
         SUMPRODUCT(($C$9:$G$9="CO2")*ISNUMBER($C$10:$G$10)*ISNUMBER(C76:G76)*C76:G76) /
         SUMPRODUCT(($C$9:$G$9="CO2")*ISNUMBER($C$10:$G$10)*ISNUMBER(C76:G76)*$C$10:$G$10) * 0.15
       ) +
       IF(
         SUMPRODUCT(($H$9:$Z$9="CO2")*ISNUMBER($H$10:$Z$10)*ISNUMBER(H76:Z76)) = 0,
         0,
         SUMPRODUCT(($H$9:$Z$9="CO2")*ISNUMBER($H$10:$Z$10)*ISNUMBER(H76:Z76)*H76:Z76) /
         SUMPRODUCT(($H$9:$Z$9="CO2")*ISNUMBER($H$10:$Z$10)*ISNUMBER(H76:Z76)*$H$10:$Z$10) * 0.85
       )
     ) * 100,
     ""
   )
)</f>
        <v>69.75</v>
      </c>
      <c r="AC76" s="1" cm="1">
        <f t="array" ref="AC76">IF(
   SUMPRODUCT(($C$9:$G$9="CO3")*ISNUMBER($C$10:$G$10)*ISNUMBER(C76:G76)) +
   SUMPRODUCT(($H$9:$Z$9="CO3")*ISNUMBER($H$10:$Z$10)*ISNUMBER(H76:Z76)) = 0,
   "",
   IFERROR(
     (
       IF(
         SUMPRODUCT(($C$9:$G$9="CO3")*ISNUMBER($C$10:$G$10)*ISNUMBER(C76:G76)) = 0,
         0,
         SUMPRODUCT(($C$9:$G$9="CO3")*ISNUMBER($C$10:$G$10)*ISNUMBER(C76:G76)*C76:G76) /
         SUMPRODUCT(($C$9:$G$9="CO3")*ISNUMBER($C$10:$G$10)*ISNUMBER(C76:G76)*$C$10:$G$10) * 0.15
       ) +
       IF(
         SUMPRODUCT(($H$9:$Z$9="CO3")*ISNUMBER($H$10:$Z$10)*ISNUMBER(H76:Z76)) = 0,
         0,
         SUMPRODUCT(($H$9:$Z$9="CO3")*ISNUMBER($H$10:$Z$10)*ISNUMBER(H76:Z76)*H76:Z76) /
         SUMPRODUCT(($H$9:$Z$9="CO3")*ISNUMBER($H$10:$Z$10)*ISNUMBER(H76:Z76)*$H$10:$Z$10) * 0.85
       )
     ) * 100,
     ""
   )
)</f>
        <v>78.75</v>
      </c>
      <c r="AD76" s="1" cm="1">
        <f t="array" ref="AD76">IF(
   SUMPRODUCT(($C$9:$G$9="CO4")*ISNUMBER($C$10:$G$10)*ISNUMBER(C76:G76)) +
   SUMPRODUCT(($H$9:$Z$9="CO4")*ISNUMBER($H$10:$Z$10)*ISNUMBER(H76:Z76)) = 0,
   "",
   IFERROR(
     (
       IF(
         SUMPRODUCT(($C$9:$G$9="CO4")*ISNUMBER($C$10:$G$10)*ISNUMBER(C76:G76)) = 0,
         0,
         SUMPRODUCT(($C$9:$G$9="CO4")*ISNUMBER($C$10:$G$10)*ISNUMBER(C76:G76)*C76:G76) /
         SUMPRODUCT(($C$9:$G$9="CO4")*ISNUMBER($C$10:$G$10)*ISNUMBER(C76:G76)*$C$10:$G$10) * 0.15
       ) +
       IF(
         SUMPRODUCT(($H$9:$Z$9="CO4")*ISNUMBER($H$10:$Z$10)*ISNUMBER(H76:Z76)) = 0,
         0,
         SUMPRODUCT(($H$9:$Z$9="CO4")*ISNUMBER($H$10:$Z$10)*ISNUMBER(H76:Z76)*H76:Z76) /
         SUMPRODUCT(($H$9:$Z$9="CO4")*ISNUMBER($H$10:$Z$10)*ISNUMBER(H76:Z76)*$H$10:$Z$10) * 0.85
       )
     ) * 100,
     ""
   )
)</f>
        <v>57.499999999999993</v>
      </c>
      <c r="AE76" s="1" t="str" cm="1">
        <f t="array" ref="AE76">IF(
   SUMPRODUCT(($C$9:$G$9="CO5")*ISNUMBER($C$10:$G$10)*ISNUMBER(C76:G76)) +
   SUMPRODUCT(($H$9:$Z$9="CO5")*ISNUMBER($H$10:$Z$10)*ISNUMBER(H76:Z76)) = 0,
   "",
   IFERROR(
     (
       IF(
         SUMPRODUCT(($C$9:$G$9="CO5")*ISNUMBER($C$10:$G$10)*ISNUMBER(C76:G76)) = 0,
         0,
         SUMPRODUCT(($C$9:$G$9="CO5")*ISNUMBER($C$10:$G$10)*ISNUMBER(C76:G76)*C76:G76) /
         SUMPRODUCT(($C$9:$G$9="CO5")*ISNUMBER($C$10:$G$10)*ISNUMBER(C76:G76)*$C$10:$G$10) * 0.15
       ) +
       IF(
         SUMPRODUCT(($H$9:$Z$9="CO5")*ISNUMBER($H$10:$Z$10)*ISNUMBER(H76:Z76)) = 0,
         0,
         SUMPRODUCT(($H$9:$Z$9="CO5")*ISNUMBER($H$10:$Z$10)*ISNUMBER(H76:Z76)*H76:Z76) /
         SUMPRODUCT(($H$9:$Z$9="CO5")*ISNUMBER($H$10:$Z$10)*ISNUMBER(H76:Z76)*$H$10:$Z$10) * 0.85
       )
     ) * 100,
     ""
   )
)</f>
        <v/>
      </c>
      <c r="AF76" s="1" t="str" cm="1">
        <f t="array" ref="AF76">IF(
   SUMPRODUCT(($C$9:$G$9="CO6")*ISNUMBER($C$10:$G$10)*ISNUMBER(C76:G76)) +
   SUMPRODUCT(($H$9:$Z$9="CO6")*ISNUMBER($H$10:$Z$10)*ISNUMBER(H76:Z76)) = 0,
   "",
   IFERROR(
     (
       IF(
         SUMPRODUCT(($C$9:$G$9="CO6")*ISNUMBER($C$10:$G$10)*ISNUMBER(C76:G76)) = 0,
         0,
         SUMPRODUCT(($C$9:$G$9="CO6")*ISNUMBER($C$10:$G$10)*ISNUMBER(C76:G76)*C76:G76) /
         SUMPRODUCT(($C$9:$G$9="CO6")*ISNUMBER($C$10:$G$10)*ISNUMBER(C76:G76)*$C$10:$G$10) * 0.15
       ) +
       IF(
         SUMPRODUCT(($H$9:$Z$9="CO6")*ISNUMBER($H$10:$Z$10)*ISNUMBER(H76:Z76)) = 0,
         0,
         SUMPRODUCT(($H$9:$Z$9="CO6")*ISNUMBER($H$10:$Z$10)*ISNUMBER(H76:Z76)*H76:Z76) /
         SUMPRODUCT(($H$9:$Z$9="CO6")*ISNUMBER($H$10:$Z$10)*ISNUMBER(H76:Z76)*$H$10:$Z$10) * 0.85
       )
     ) * 100,
     ""
   )
)</f>
        <v/>
      </c>
      <c r="AG76" s="1" t="str" cm="1">
        <f t="array" ref="AG76">IF(
   SUMPRODUCT(($C$9:$G$9="CO7")*ISNUMBER($C$10:$G$10)*ISNUMBER(C76:G76)) +
   SUMPRODUCT(($H$9:$Z$9="CO7")*ISNUMBER($H$10:$Z$10)*ISNUMBER(H76:Z76)) = 0,
   "",
   IFERROR(
     (
       IF(
         SUMPRODUCT(($C$9:$G$9="CO7")*ISNUMBER($C$10:$G$10)*ISNUMBER(C76:G76)) = 0,
         0,
         SUMPRODUCT(($C$9:$G$9="CO7")*ISNUMBER($C$10:$G$10)*ISNUMBER(C76:G76)*C76:G76) /
         SUMPRODUCT(($C$9:$G$9="CO7")*ISNUMBER($C$10:$G$10)*ISNUMBER(C76:G76)*$C$10:$G$10) * 0.15
       ) +
       IF(
         SUMPRODUCT(($H$9:$Z$9="CO7")*ISNUMBER($H$10:$Z$10)*ISNUMBER(H76:Z76)) = 0,
         0,
         SUMPRODUCT(($H$9:$Z$9="CO7")*ISNUMBER($H$10:$Z$10)*ISNUMBER(H76:Z76)*H76:Z76) /
         SUMPRODUCT(($H$9:$Z$9="CO7")*ISNUMBER($H$10:$Z$10)*ISNUMBER(H76:Z76)*$H$10:$Z$10) * 0.85
       )
     ) * 100,
     ""
   )
)</f>
        <v/>
      </c>
      <c r="AH76" s="3" t="str" cm="1">
        <f t="array" ref="AH76">IF(
   SUMPRODUCT(($C$9:$G$9="CO8")*ISNUMBER($C$10:$G$10)*ISNUMBER(C76:G76)) +
   SUMPRODUCT(($H$9:$Z$9="CO8")*ISNUMBER($H$10:$Z$10)*ISNUMBER(H76:Z76)) = 0,
   "",
   IFERROR(
     (
       IF(
         SUMPRODUCT(($C$9:$G$9="CO8")*ISNUMBER($C$10:$G$10)*ISNUMBER(C76:G76)) = 0,
         0,
         SUMPRODUCT(($C$9:$G$9="CO8")*ISNUMBER($C$10:$G$10)*ISNUMBER(C76:G76)*C76:G76) /
         SUMPRODUCT(($C$9:$G$9="CO8")*ISNUMBER($C$10:$G$10)*ISNUMBER(C76:G76)*$C$10:$G$10) * 0.15
       ) +
       IF(
         SUMPRODUCT(($H$9:$Z$9="CO8")*ISNUMBER($H$10:$Z$10)*ISNUMBER(H76:Z76)) = 0,
         0,
         SUMPRODUCT(($H$9:$Z$9="CO8")*ISNUMBER($H$10:$Z$10)*ISNUMBER(H76:Z76)*H76:Z76) /
         SUMPRODUCT(($H$9:$Z$9="CO8")*ISNUMBER($H$10:$Z$10)*ISNUMBER(H76:Z76)*$H$10:$Z$10) * 0.85
       )
     ) * 100,
     ""
   )
)</f>
        <v/>
      </c>
      <c r="AI76" s="1" t="str">
        <f t="shared" si="10"/>
        <v>D</v>
      </c>
      <c r="AJ76" s="1" t="str">
        <f t="shared" si="11"/>
        <v>First</v>
      </c>
      <c r="AK76" s="1" t="str">
        <f t="shared" si="12"/>
        <v>D</v>
      </c>
      <c r="AL76" s="1" t="str">
        <f t="shared" ref="AL76:AP126" si="13">IF(AD76="", "", IF(AD76&lt;40, "F", IF(AD76&lt;50, "P", IF(AD76&lt;60, "S", IF(AD76&lt;70, "First", "D")))))</f>
        <v>S</v>
      </c>
      <c r="AM76" s="1" t="str">
        <f t="shared" si="13"/>
        <v/>
      </c>
      <c r="AN76" s="1" t="str">
        <f t="shared" si="13"/>
        <v/>
      </c>
      <c r="AO76" s="1" t="str">
        <f t="shared" si="13"/>
        <v/>
      </c>
      <c r="AP76" s="1" t="str">
        <f t="shared" si="13"/>
        <v/>
      </c>
    </row>
    <row r="77" spans="1:42" ht="16.2" thickBot="1" x14ac:dyDescent="0.35">
      <c r="A77" s="62">
        <v>2508131</v>
      </c>
      <c r="B77" s="58" t="s">
        <v>174</v>
      </c>
      <c r="C77" s="77">
        <v>4.5</v>
      </c>
      <c r="D77" s="82">
        <v>4</v>
      </c>
      <c r="E77" s="88">
        <v>5</v>
      </c>
      <c r="F77" s="89">
        <v>5</v>
      </c>
      <c r="G77" s="89">
        <v>4</v>
      </c>
      <c r="H77" s="14">
        <v>0</v>
      </c>
      <c r="I77" s="14">
        <v>1</v>
      </c>
      <c r="J77" s="14">
        <v>1</v>
      </c>
      <c r="K77" s="14">
        <v>1</v>
      </c>
      <c r="L77" s="14">
        <v>0</v>
      </c>
      <c r="M77" s="14">
        <v>2</v>
      </c>
      <c r="N77" s="14">
        <v>2</v>
      </c>
      <c r="O77" s="14">
        <v>2</v>
      </c>
      <c r="P77" s="14">
        <v>0</v>
      </c>
      <c r="Q77" s="14">
        <v>0</v>
      </c>
      <c r="R77" s="14">
        <v>2</v>
      </c>
      <c r="S77" s="14">
        <v>0.5</v>
      </c>
      <c r="T77" s="14">
        <v>1</v>
      </c>
      <c r="U77" s="14">
        <v>2</v>
      </c>
      <c r="V77" s="14">
        <v>0</v>
      </c>
      <c r="W77" s="14">
        <v>0</v>
      </c>
      <c r="X77" s="98">
        <v>20</v>
      </c>
      <c r="Y77" s="99">
        <v>8</v>
      </c>
      <c r="Z77" s="89">
        <v>7</v>
      </c>
      <c r="AA77" s="1" cm="1">
        <f t="array" ref="AA77">IF(
   SUMPRODUCT(($C$9:$G$9="CO1")*ISNUMBER($C$10:$G$10)*ISNUMBER(C77:G77)) +
   SUMPRODUCT(($H$9:$Z$9="CO1")*ISNUMBER($H$10:$Z$10)*ISNUMBER(H77:Z77)) = 0,
   "",
   IFERROR(
     (
       IF(
         SUMPRODUCT(($C$9:$G$9="CO1")*ISNUMBER($C$10:$G$10)*ISNUMBER(C77:G77)) = 0,
         0,
         SUMPRODUCT(($C$9:$G$9="CO1")*ISNUMBER($C$10:$G$10)*ISNUMBER(C77:G77)*C77:G77) /
         SUMPRODUCT(($C$9:$G$9="CO1")*ISNUMBER($C$10:$G$10)*ISNUMBER(C77:G77)*$C$10:$G$10) * 0.15
       ) +
       IF(
         SUMPRODUCT(($H$9:$Z$9="CO1")*ISNUMBER($H$10:$Z$10)*ISNUMBER(H77:Z77)) = 0,
         0,
         SUMPRODUCT(($H$9:$Z$9="CO1")*ISNUMBER($H$10:$Z$10)*ISNUMBER(H77:Z77)*H77:Z77) /
         SUMPRODUCT(($H$9:$Z$9="CO1")*ISNUMBER($H$10:$Z$10)*ISNUMBER(H77:Z77)*$H$10:$Z$10) * 0.85
       )
     ) * 100,
     ""
   )
)</f>
        <v>79.611111111111114</v>
      </c>
      <c r="AB77" s="1" cm="1">
        <f t="array" ref="AB77">IF(
   SUMPRODUCT(($C$9:$G$9="CO2")*ISNUMBER($C$10:$G$10)*ISNUMBER(C77:G77)) +
   SUMPRODUCT(($H$9:$Z$9="CO2")*ISNUMBER($H$10:$Z$10)*ISNUMBER(H77:Z77)) = 0,
   "",
   IFERROR(
     (
       IF(
         SUMPRODUCT(($C$9:$G$9="CO2")*ISNUMBER($C$10:$G$10)*ISNUMBER(C77:G77)) = 0,
         0,
         SUMPRODUCT(($C$9:$G$9="CO2")*ISNUMBER($C$10:$G$10)*ISNUMBER(C77:G77)*C77:G77) /
         SUMPRODUCT(($C$9:$G$9="CO2")*ISNUMBER($C$10:$G$10)*ISNUMBER(C77:G77)*$C$10:$G$10) * 0.15
       ) +
       IF(
         SUMPRODUCT(($H$9:$Z$9="CO2")*ISNUMBER($H$10:$Z$10)*ISNUMBER(H77:Z77)) = 0,
         0,
         SUMPRODUCT(($H$9:$Z$9="CO2")*ISNUMBER($H$10:$Z$10)*ISNUMBER(H77:Z77)*H77:Z77) /
         SUMPRODUCT(($H$9:$Z$9="CO2")*ISNUMBER($H$10:$Z$10)*ISNUMBER(H77:Z77)*$H$10:$Z$10) * 0.85
       )
     ) * 100,
     ""
   )
)</f>
        <v>79.90625</v>
      </c>
      <c r="AC77" s="1" cm="1">
        <f t="array" ref="AC77">IF(
   SUMPRODUCT(($C$9:$G$9="CO3")*ISNUMBER($C$10:$G$10)*ISNUMBER(C77:G77)) +
   SUMPRODUCT(($H$9:$Z$9="CO3")*ISNUMBER($H$10:$Z$10)*ISNUMBER(H77:Z77)) = 0,
   "",
   IFERROR(
     (
       IF(
         SUMPRODUCT(($C$9:$G$9="CO3")*ISNUMBER($C$10:$G$10)*ISNUMBER(C77:G77)) = 0,
         0,
         SUMPRODUCT(($C$9:$G$9="CO3")*ISNUMBER($C$10:$G$10)*ISNUMBER(C77:G77)*C77:G77) /
         SUMPRODUCT(($C$9:$G$9="CO3")*ISNUMBER($C$10:$G$10)*ISNUMBER(C77:G77)*$C$10:$G$10) * 0.15
       ) +
       IF(
         SUMPRODUCT(($H$9:$Z$9="CO3")*ISNUMBER($H$10:$Z$10)*ISNUMBER(H77:Z77)) = 0,
         0,
         SUMPRODUCT(($H$9:$Z$9="CO3")*ISNUMBER($H$10:$Z$10)*ISNUMBER(H77:Z77)*H77:Z77) /
         SUMPRODUCT(($H$9:$Z$9="CO3")*ISNUMBER($H$10:$Z$10)*ISNUMBER(H77:Z77)*$H$10:$Z$10) * 0.85
       )
     ) * 100,
     ""
   )
)</f>
        <v>78.75</v>
      </c>
      <c r="AD77" s="1" cm="1">
        <f t="array" ref="AD77">IF(
   SUMPRODUCT(($C$9:$G$9="CO4")*ISNUMBER($C$10:$G$10)*ISNUMBER(C77:G77)) +
   SUMPRODUCT(($H$9:$Z$9="CO4")*ISNUMBER($H$10:$Z$10)*ISNUMBER(H77:Z77)) = 0,
   "",
   IFERROR(
     (
       IF(
         SUMPRODUCT(($C$9:$G$9="CO4")*ISNUMBER($C$10:$G$10)*ISNUMBER(C77:G77)) = 0,
         0,
         SUMPRODUCT(($C$9:$G$9="CO4")*ISNUMBER($C$10:$G$10)*ISNUMBER(C77:G77)*C77:G77) /
         SUMPRODUCT(($C$9:$G$9="CO4")*ISNUMBER($C$10:$G$10)*ISNUMBER(C77:G77)*$C$10:$G$10) * 0.15
       ) +
       IF(
         SUMPRODUCT(($H$9:$Z$9="CO4")*ISNUMBER($H$10:$Z$10)*ISNUMBER(H77:Z77)) = 0,
         0,
         SUMPRODUCT(($H$9:$Z$9="CO4")*ISNUMBER($H$10:$Z$10)*ISNUMBER(H77:Z77)*H77:Z77) /
         SUMPRODUCT(($H$9:$Z$9="CO4")*ISNUMBER($H$10:$Z$10)*ISNUMBER(H77:Z77)*$H$10:$Z$10) * 0.85
       )
     ) * 100,
     ""
   )
)</f>
        <v>40.333333333333329</v>
      </c>
      <c r="AE77" s="1" t="str" cm="1">
        <f t="array" ref="AE77">IF(
   SUMPRODUCT(($C$9:$G$9="CO5")*ISNUMBER($C$10:$G$10)*ISNUMBER(C77:G77)) +
   SUMPRODUCT(($H$9:$Z$9="CO5")*ISNUMBER($H$10:$Z$10)*ISNUMBER(H77:Z77)) = 0,
   "",
   IFERROR(
     (
       IF(
         SUMPRODUCT(($C$9:$G$9="CO5")*ISNUMBER($C$10:$G$10)*ISNUMBER(C77:G77)) = 0,
         0,
         SUMPRODUCT(($C$9:$G$9="CO5")*ISNUMBER($C$10:$G$10)*ISNUMBER(C77:G77)*C77:G77) /
         SUMPRODUCT(($C$9:$G$9="CO5")*ISNUMBER($C$10:$G$10)*ISNUMBER(C77:G77)*$C$10:$G$10) * 0.15
       ) +
       IF(
         SUMPRODUCT(($H$9:$Z$9="CO5")*ISNUMBER($H$10:$Z$10)*ISNUMBER(H77:Z77)) = 0,
         0,
         SUMPRODUCT(($H$9:$Z$9="CO5")*ISNUMBER($H$10:$Z$10)*ISNUMBER(H77:Z77)*H77:Z77) /
         SUMPRODUCT(($H$9:$Z$9="CO5")*ISNUMBER($H$10:$Z$10)*ISNUMBER(H77:Z77)*$H$10:$Z$10) * 0.85
       )
     ) * 100,
     ""
   )
)</f>
        <v/>
      </c>
      <c r="AF77" s="1" t="str" cm="1">
        <f t="array" ref="AF77">IF(
   SUMPRODUCT(($C$9:$G$9="CO6")*ISNUMBER($C$10:$G$10)*ISNUMBER(C77:G77)) +
   SUMPRODUCT(($H$9:$Z$9="CO6")*ISNUMBER($H$10:$Z$10)*ISNUMBER(H77:Z77)) = 0,
   "",
   IFERROR(
     (
       IF(
         SUMPRODUCT(($C$9:$G$9="CO6")*ISNUMBER($C$10:$G$10)*ISNUMBER(C77:G77)) = 0,
         0,
         SUMPRODUCT(($C$9:$G$9="CO6")*ISNUMBER($C$10:$G$10)*ISNUMBER(C77:G77)*C77:G77) /
         SUMPRODUCT(($C$9:$G$9="CO6")*ISNUMBER($C$10:$G$10)*ISNUMBER(C77:G77)*$C$10:$G$10) * 0.15
       ) +
       IF(
         SUMPRODUCT(($H$9:$Z$9="CO6")*ISNUMBER($H$10:$Z$10)*ISNUMBER(H77:Z77)) = 0,
         0,
         SUMPRODUCT(($H$9:$Z$9="CO6")*ISNUMBER($H$10:$Z$10)*ISNUMBER(H77:Z77)*H77:Z77) /
         SUMPRODUCT(($H$9:$Z$9="CO6")*ISNUMBER($H$10:$Z$10)*ISNUMBER(H77:Z77)*$H$10:$Z$10) * 0.85
       )
     ) * 100,
     ""
   )
)</f>
        <v/>
      </c>
      <c r="AG77" s="1" t="str" cm="1">
        <f t="array" ref="AG77">IF(
   SUMPRODUCT(($C$9:$G$9="CO7")*ISNUMBER($C$10:$G$10)*ISNUMBER(C77:G77)) +
   SUMPRODUCT(($H$9:$Z$9="CO7")*ISNUMBER($H$10:$Z$10)*ISNUMBER(H77:Z77)) = 0,
   "",
   IFERROR(
     (
       IF(
         SUMPRODUCT(($C$9:$G$9="CO7")*ISNUMBER($C$10:$G$10)*ISNUMBER(C77:G77)) = 0,
         0,
         SUMPRODUCT(($C$9:$G$9="CO7")*ISNUMBER($C$10:$G$10)*ISNUMBER(C77:G77)*C77:G77) /
         SUMPRODUCT(($C$9:$G$9="CO7")*ISNUMBER($C$10:$G$10)*ISNUMBER(C77:G77)*$C$10:$G$10) * 0.15
       ) +
       IF(
         SUMPRODUCT(($H$9:$Z$9="CO7")*ISNUMBER($H$10:$Z$10)*ISNUMBER(H77:Z77)) = 0,
         0,
         SUMPRODUCT(($H$9:$Z$9="CO7")*ISNUMBER($H$10:$Z$10)*ISNUMBER(H77:Z77)*H77:Z77) /
         SUMPRODUCT(($H$9:$Z$9="CO7")*ISNUMBER($H$10:$Z$10)*ISNUMBER(H77:Z77)*$H$10:$Z$10) * 0.85
       )
     ) * 100,
     ""
   )
)</f>
        <v/>
      </c>
      <c r="AH77" s="3" t="str" cm="1">
        <f t="array" ref="AH77">IF(
   SUMPRODUCT(($C$9:$G$9="CO8")*ISNUMBER($C$10:$G$10)*ISNUMBER(C77:G77)) +
   SUMPRODUCT(($H$9:$Z$9="CO8")*ISNUMBER($H$10:$Z$10)*ISNUMBER(H77:Z77)) = 0,
   "",
   IFERROR(
     (
       IF(
         SUMPRODUCT(($C$9:$G$9="CO8")*ISNUMBER($C$10:$G$10)*ISNUMBER(C77:G77)) = 0,
         0,
         SUMPRODUCT(($C$9:$G$9="CO8")*ISNUMBER($C$10:$G$10)*ISNUMBER(C77:G77)*C77:G77) /
         SUMPRODUCT(($C$9:$G$9="CO8")*ISNUMBER($C$10:$G$10)*ISNUMBER(C77:G77)*$C$10:$G$10) * 0.15
       ) +
       IF(
         SUMPRODUCT(($H$9:$Z$9="CO8")*ISNUMBER($H$10:$Z$10)*ISNUMBER(H77:Z77)) = 0,
         0,
         SUMPRODUCT(($H$9:$Z$9="CO8")*ISNUMBER($H$10:$Z$10)*ISNUMBER(H77:Z77)*H77:Z77) /
         SUMPRODUCT(($H$9:$Z$9="CO8")*ISNUMBER($H$10:$Z$10)*ISNUMBER(H77:Z77)*$H$10:$Z$10) * 0.85
       )
     ) * 100,
     ""
   )
)</f>
        <v/>
      </c>
      <c r="AI77" s="1" t="str">
        <f t="shared" ref="AI77:AI113" si="14">IF(AA77="", "", IF(AA77&lt;40, "F", IF(AA77&lt;50, "P", IF(AA77&lt;60, "S", IF(AA77&lt;70, "First", "D")))))</f>
        <v>D</v>
      </c>
      <c r="AJ77" s="1" t="str">
        <f t="shared" ref="AJ77:AJ113" si="15">IF(AB77="", "", IF(AB77&lt;40, "F", IF(AB77&lt;50, "P", IF(AB77&lt;60, "S", IF(AB77&lt;70, "First", "D")))))</f>
        <v>D</v>
      </c>
      <c r="AK77" s="1" t="str">
        <f t="shared" ref="AK77:AK113" si="16">IF(AC77="", "", IF(AC77&lt;40, "F", IF(AC77&lt;50, "P", IF(AC77&lt;60, "S", IF(AC77&lt;70, "First", "D")))))</f>
        <v>D</v>
      </c>
      <c r="AL77" s="1" t="str">
        <f t="shared" si="13"/>
        <v>P</v>
      </c>
      <c r="AM77" s="1" t="str">
        <f t="shared" si="13"/>
        <v/>
      </c>
      <c r="AN77" s="1" t="str">
        <f t="shared" si="13"/>
        <v/>
      </c>
      <c r="AO77" s="1" t="str">
        <f t="shared" si="13"/>
        <v/>
      </c>
      <c r="AP77" s="1" t="str">
        <f t="shared" si="13"/>
        <v/>
      </c>
    </row>
    <row r="78" spans="1:42" ht="16.2" thickBot="1" x14ac:dyDescent="0.35">
      <c r="A78" s="62">
        <v>2508132</v>
      </c>
      <c r="B78" s="59" t="s">
        <v>175</v>
      </c>
      <c r="C78" s="77">
        <v>4</v>
      </c>
      <c r="D78" s="82">
        <v>4</v>
      </c>
      <c r="E78" s="88">
        <v>5</v>
      </c>
      <c r="F78" s="89">
        <v>3</v>
      </c>
      <c r="G78" s="89">
        <v>3</v>
      </c>
      <c r="H78" s="14">
        <v>0</v>
      </c>
      <c r="I78" s="14">
        <v>1</v>
      </c>
      <c r="J78" s="14">
        <v>1</v>
      </c>
      <c r="K78" s="14">
        <v>1</v>
      </c>
      <c r="L78" s="14">
        <v>2</v>
      </c>
      <c r="M78" s="14">
        <v>0</v>
      </c>
      <c r="N78" s="14">
        <v>2</v>
      </c>
      <c r="O78" s="14">
        <v>0</v>
      </c>
      <c r="P78" s="14">
        <v>2</v>
      </c>
      <c r="Q78" s="14">
        <v>0</v>
      </c>
      <c r="R78" s="14">
        <v>2</v>
      </c>
      <c r="S78" s="14">
        <v>0</v>
      </c>
      <c r="T78" s="14">
        <v>1</v>
      </c>
      <c r="U78" s="14">
        <v>0</v>
      </c>
      <c r="V78" s="14">
        <v>1</v>
      </c>
      <c r="W78" s="14">
        <v>0</v>
      </c>
      <c r="X78" s="98">
        <v>17</v>
      </c>
      <c r="Y78" s="99">
        <v>8</v>
      </c>
      <c r="Z78" s="89">
        <v>7</v>
      </c>
      <c r="AA78" s="1" cm="1">
        <f t="array" ref="AA78">IF(
   SUMPRODUCT(($C$9:$G$9="CO1")*ISNUMBER($C$10:$G$10)*ISNUMBER(C78:G78)) +
   SUMPRODUCT(($H$9:$Z$9="CO1")*ISNUMBER($H$10:$Z$10)*ISNUMBER(H78:Z78)) = 0,
   "",
   IFERROR(
     (
       IF(
         SUMPRODUCT(($C$9:$G$9="CO1")*ISNUMBER($C$10:$G$10)*ISNUMBER(C78:G78)) = 0,
         0,
         SUMPRODUCT(($C$9:$G$9="CO1")*ISNUMBER($C$10:$G$10)*ISNUMBER(C78:G78)*C78:G78) /
         SUMPRODUCT(($C$9:$G$9="CO1")*ISNUMBER($C$10:$G$10)*ISNUMBER(C78:G78)*$C$10:$G$10) * 0.15
       ) +
       IF(
         SUMPRODUCT(($H$9:$Z$9="CO1")*ISNUMBER($H$10:$Z$10)*ISNUMBER(H78:Z78)) = 0,
         0,
         SUMPRODUCT(($H$9:$Z$9="CO1")*ISNUMBER($H$10:$Z$10)*ISNUMBER(H78:Z78)*H78:Z78) /
         SUMPRODUCT(($H$9:$Z$9="CO1")*ISNUMBER($H$10:$Z$10)*ISNUMBER(H78:Z78)*$H$10:$Z$10) * 0.85
       )
     ) * 100,
     ""
   )
)</f>
        <v>78.111111111111114</v>
      </c>
      <c r="AB78" s="1" cm="1">
        <f t="array" ref="AB78">IF(
   SUMPRODUCT(($C$9:$G$9="CO2")*ISNUMBER($C$10:$G$10)*ISNUMBER(C78:G78)) +
   SUMPRODUCT(($H$9:$Z$9="CO2")*ISNUMBER($H$10:$Z$10)*ISNUMBER(H78:Z78)) = 0,
   "",
   IFERROR(
     (
       IF(
         SUMPRODUCT(($C$9:$G$9="CO2")*ISNUMBER($C$10:$G$10)*ISNUMBER(C78:G78)) = 0,
         0,
         SUMPRODUCT(($C$9:$G$9="CO2")*ISNUMBER($C$10:$G$10)*ISNUMBER(C78:G78)*C78:G78) /
         SUMPRODUCT(($C$9:$G$9="CO2")*ISNUMBER($C$10:$G$10)*ISNUMBER(C78:G78)*$C$10:$G$10) * 0.15
       ) +
       IF(
         SUMPRODUCT(($H$9:$Z$9="CO2")*ISNUMBER($H$10:$Z$10)*ISNUMBER(H78:Z78)) = 0,
         0,
         SUMPRODUCT(($H$9:$Z$9="CO2")*ISNUMBER($H$10:$Z$10)*ISNUMBER(H78:Z78)*H78:Z78) /
         SUMPRODUCT(($H$9:$Z$9="CO2")*ISNUMBER($H$10:$Z$10)*ISNUMBER(H78:Z78)*$H$10:$Z$10) * 0.85
       )
     ) * 100,
     ""
   )
)</f>
        <v>77.25</v>
      </c>
      <c r="AC78" s="1" cm="1">
        <f t="array" ref="AC78">IF(
   SUMPRODUCT(($C$9:$G$9="CO3")*ISNUMBER($C$10:$G$10)*ISNUMBER(C78:G78)) +
   SUMPRODUCT(($H$9:$Z$9="CO3")*ISNUMBER($H$10:$Z$10)*ISNUMBER(H78:Z78)) = 0,
   "",
   IFERROR(
     (
       IF(
         SUMPRODUCT(($C$9:$G$9="CO3")*ISNUMBER($C$10:$G$10)*ISNUMBER(C78:G78)) = 0,
         0,
         SUMPRODUCT(($C$9:$G$9="CO3")*ISNUMBER($C$10:$G$10)*ISNUMBER(C78:G78)*C78:G78) /
         SUMPRODUCT(($C$9:$G$9="CO3")*ISNUMBER($C$10:$G$10)*ISNUMBER(C78:G78)*$C$10:$G$10) * 0.15
       ) +
       IF(
         SUMPRODUCT(($H$9:$Z$9="CO3")*ISNUMBER($H$10:$Z$10)*ISNUMBER(H78:Z78)) = 0,
         0,
         SUMPRODUCT(($H$9:$Z$9="CO3")*ISNUMBER($H$10:$Z$10)*ISNUMBER(H78:Z78)*H78:Z78) /
         SUMPRODUCT(($H$9:$Z$9="CO3")*ISNUMBER($H$10:$Z$10)*ISNUMBER(H78:Z78)*$H$10:$Z$10) * 0.85
       )
     ) * 100,
     ""
   )
)</f>
        <v>63.642857142857146</v>
      </c>
      <c r="AD78" s="1" cm="1">
        <f t="array" ref="AD78">IF(
   SUMPRODUCT(($C$9:$G$9="CO4")*ISNUMBER($C$10:$G$10)*ISNUMBER(C78:G78)) +
   SUMPRODUCT(($H$9:$Z$9="CO4")*ISNUMBER($H$10:$Z$10)*ISNUMBER(H78:Z78)) = 0,
   "",
   IFERROR(
     (
       IF(
         SUMPRODUCT(($C$9:$G$9="CO4")*ISNUMBER($C$10:$G$10)*ISNUMBER(C78:G78)) = 0,
         0,
         SUMPRODUCT(($C$9:$G$9="CO4")*ISNUMBER($C$10:$G$10)*ISNUMBER(C78:G78)*C78:G78) /
         SUMPRODUCT(($C$9:$G$9="CO4")*ISNUMBER($C$10:$G$10)*ISNUMBER(C78:G78)*$C$10:$G$10) * 0.15
       ) +
       IF(
         SUMPRODUCT(($H$9:$Z$9="CO4")*ISNUMBER($H$10:$Z$10)*ISNUMBER(H78:Z78)) = 0,
         0,
         SUMPRODUCT(($H$9:$Z$9="CO4")*ISNUMBER($H$10:$Z$10)*ISNUMBER(H78:Z78)*H78:Z78) /
         SUMPRODUCT(($H$9:$Z$9="CO4")*ISNUMBER($H$10:$Z$10)*ISNUMBER(H78:Z78)*$H$10:$Z$10) * 0.85
       )
     ) * 100,
     ""
   )
)</f>
        <v>23.166666666666664</v>
      </c>
      <c r="AE78" s="1" t="str" cm="1">
        <f t="array" ref="AE78">IF(
   SUMPRODUCT(($C$9:$G$9="CO5")*ISNUMBER($C$10:$G$10)*ISNUMBER(C78:G78)) +
   SUMPRODUCT(($H$9:$Z$9="CO5")*ISNUMBER($H$10:$Z$10)*ISNUMBER(H78:Z78)) = 0,
   "",
   IFERROR(
     (
       IF(
         SUMPRODUCT(($C$9:$G$9="CO5")*ISNUMBER($C$10:$G$10)*ISNUMBER(C78:G78)) = 0,
         0,
         SUMPRODUCT(($C$9:$G$9="CO5")*ISNUMBER($C$10:$G$10)*ISNUMBER(C78:G78)*C78:G78) /
         SUMPRODUCT(($C$9:$G$9="CO5")*ISNUMBER($C$10:$G$10)*ISNUMBER(C78:G78)*$C$10:$G$10) * 0.15
       ) +
       IF(
         SUMPRODUCT(($H$9:$Z$9="CO5")*ISNUMBER($H$10:$Z$10)*ISNUMBER(H78:Z78)) = 0,
         0,
         SUMPRODUCT(($H$9:$Z$9="CO5")*ISNUMBER($H$10:$Z$10)*ISNUMBER(H78:Z78)*H78:Z78) /
         SUMPRODUCT(($H$9:$Z$9="CO5")*ISNUMBER($H$10:$Z$10)*ISNUMBER(H78:Z78)*$H$10:$Z$10) * 0.85
       )
     ) * 100,
     ""
   )
)</f>
        <v/>
      </c>
      <c r="AF78" s="1" t="str" cm="1">
        <f t="array" ref="AF78">IF(
   SUMPRODUCT(($C$9:$G$9="CO6")*ISNUMBER($C$10:$G$10)*ISNUMBER(C78:G78)) +
   SUMPRODUCT(($H$9:$Z$9="CO6")*ISNUMBER($H$10:$Z$10)*ISNUMBER(H78:Z78)) = 0,
   "",
   IFERROR(
     (
       IF(
         SUMPRODUCT(($C$9:$G$9="CO6")*ISNUMBER($C$10:$G$10)*ISNUMBER(C78:G78)) = 0,
         0,
         SUMPRODUCT(($C$9:$G$9="CO6")*ISNUMBER($C$10:$G$10)*ISNUMBER(C78:G78)*C78:G78) /
         SUMPRODUCT(($C$9:$G$9="CO6")*ISNUMBER($C$10:$G$10)*ISNUMBER(C78:G78)*$C$10:$G$10) * 0.15
       ) +
       IF(
         SUMPRODUCT(($H$9:$Z$9="CO6")*ISNUMBER($H$10:$Z$10)*ISNUMBER(H78:Z78)) = 0,
         0,
         SUMPRODUCT(($H$9:$Z$9="CO6")*ISNUMBER($H$10:$Z$10)*ISNUMBER(H78:Z78)*H78:Z78) /
         SUMPRODUCT(($H$9:$Z$9="CO6")*ISNUMBER($H$10:$Z$10)*ISNUMBER(H78:Z78)*$H$10:$Z$10) * 0.85
       )
     ) * 100,
     ""
   )
)</f>
        <v/>
      </c>
      <c r="AG78" s="1" t="str" cm="1">
        <f t="array" ref="AG78">IF(
   SUMPRODUCT(($C$9:$G$9="CO7")*ISNUMBER($C$10:$G$10)*ISNUMBER(C78:G78)) +
   SUMPRODUCT(($H$9:$Z$9="CO7")*ISNUMBER($H$10:$Z$10)*ISNUMBER(H78:Z78)) = 0,
   "",
   IFERROR(
     (
       IF(
         SUMPRODUCT(($C$9:$G$9="CO7")*ISNUMBER($C$10:$G$10)*ISNUMBER(C78:G78)) = 0,
         0,
         SUMPRODUCT(($C$9:$G$9="CO7")*ISNUMBER($C$10:$G$10)*ISNUMBER(C78:G78)*C78:G78) /
         SUMPRODUCT(($C$9:$G$9="CO7")*ISNUMBER($C$10:$G$10)*ISNUMBER(C78:G78)*$C$10:$G$10) * 0.15
       ) +
       IF(
         SUMPRODUCT(($H$9:$Z$9="CO7")*ISNUMBER($H$10:$Z$10)*ISNUMBER(H78:Z78)) = 0,
         0,
         SUMPRODUCT(($H$9:$Z$9="CO7")*ISNUMBER($H$10:$Z$10)*ISNUMBER(H78:Z78)*H78:Z78) /
         SUMPRODUCT(($H$9:$Z$9="CO7")*ISNUMBER($H$10:$Z$10)*ISNUMBER(H78:Z78)*$H$10:$Z$10) * 0.85
       )
     ) * 100,
     ""
   )
)</f>
        <v/>
      </c>
      <c r="AH78" s="3" t="str" cm="1">
        <f t="array" ref="AH78">IF(
   SUMPRODUCT(($C$9:$G$9="CO8")*ISNUMBER($C$10:$G$10)*ISNUMBER(C78:G78)) +
   SUMPRODUCT(($H$9:$Z$9="CO8")*ISNUMBER($H$10:$Z$10)*ISNUMBER(H78:Z78)) = 0,
   "",
   IFERROR(
     (
       IF(
         SUMPRODUCT(($C$9:$G$9="CO8")*ISNUMBER($C$10:$G$10)*ISNUMBER(C78:G78)) = 0,
         0,
         SUMPRODUCT(($C$9:$G$9="CO8")*ISNUMBER($C$10:$G$10)*ISNUMBER(C78:G78)*C78:G78) /
         SUMPRODUCT(($C$9:$G$9="CO8")*ISNUMBER($C$10:$G$10)*ISNUMBER(C78:G78)*$C$10:$G$10) * 0.15
       ) +
       IF(
         SUMPRODUCT(($H$9:$Z$9="CO8")*ISNUMBER($H$10:$Z$10)*ISNUMBER(H78:Z78)) = 0,
         0,
         SUMPRODUCT(($H$9:$Z$9="CO8")*ISNUMBER($H$10:$Z$10)*ISNUMBER(H78:Z78)*H78:Z78) /
         SUMPRODUCT(($H$9:$Z$9="CO8")*ISNUMBER($H$10:$Z$10)*ISNUMBER(H78:Z78)*$H$10:$Z$10) * 0.85
       )
     ) * 100,
     ""
   )
)</f>
        <v/>
      </c>
      <c r="AI78" s="1" t="str">
        <f t="shared" si="14"/>
        <v>D</v>
      </c>
      <c r="AJ78" s="1" t="str">
        <f t="shared" si="15"/>
        <v>D</v>
      </c>
      <c r="AK78" s="1" t="str">
        <f t="shared" si="16"/>
        <v>First</v>
      </c>
      <c r="AL78" s="1" t="str">
        <f t="shared" si="13"/>
        <v>F</v>
      </c>
      <c r="AM78" s="1" t="str">
        <f t="shared" si="13"/>
        <v/>
      </c>
      <c r="AN78" s="1" t="str">
        <f t="shared" si="13"/>
        <v/>
      </c>
      <c r="AO78" s="1" t="str">
        <f t="shared" si="13"/>
        <v/>
      </c>
      <c r="AP78" s="1" t="str">
        <f t="shared" si="13"/>
        <v/>
      </c>
    </row>
    <row r="79" spans="1:42" ht="16.2" thickBot="1" x14ac:dyDescent="0.35">
      <c r="A79" s="62">
        <v>2508133</v>
      </c>
      <c r="B79" s="58" t="s">
        <v>176</v>
      </c>
      <c r="C79" s="77">
        <v>4</v>
      </c>
      <c r="D79" s="82">
        <v>3</v>
      </c>
      <c r="E79" s="88">
        <v>5</v>
      </c>
      <c r="F79" s="89">
        <v>5</v>
      </c>
      <c r="G79" s="90" t="s">
        <v>180</v>
      </c>
      <c r="H79" s="14">
        <v>0</v>
      </c>
      <c r="I79" s="14">
        <v>1</v>
      </c>
      <c r="J79" s="14">
        <v>1</v>
      </c>
      <c r="K79" s="14">
        <v>1</v>
      </c>
      <c r="L79" s="14">
        <v>2</v>
      </c>
      <c r="M79" s="14">
        <v>0</v>
      </c>
      <c r="N79" s="14">
        <v>2</v>
      </c>
      <c r="O79" s="14">
        <v>0</v>
      </c>
      <c r="P79" s="14">
        <v>2</v>
      </c>
      <c r="Q79" s="14">
        <v>0</v>
      </c>
      <c r="R79" s="14">
        <v>2</v>
      </c>
      <c r="S79" s="14">
        <v>0</v>
      </c>
      <c r="T79" s="14">
        <v>1</v>
      </c>
      <c r="U79" s="14">
        <v>0</v>
      </c>
      <c r="V79" s="14">
        <v>0</v>
      </c>
      <c r="W79" s="14">
        <v>0</v>
      </c>
      <c r="X79" s="98">
        <v>14</v>
      </c>
      <c r="Y79" s="99">
        <v>8</v>
      </c>
      <c r="Z79" s="89">
        <v>5</v>
      </c>
      <c r="AA79" s="1" t="str" cm="1">
        <f t="array" ref="AA79">IF(
   SUMPRODUCT(($C$9:$G$9="CO1")*ISNUMBER($C$10:$G$10)*ISNUMBER(C79:G79)) +
   SUMPRODUCT(($H$9:$Z$9="CO1")*ISNUMBER($H$10:$Z$10)*ISNUMBER(H79:Z79)) = 0,
   "",
   IFERROR(
     (
       IF(
         SUMPRODUCT(($C$9:$G$9="CO1")*ISNUMBER($C$10:$G$10)*ISNUMBER(C79:G79)) = 0,
         0,
         SUMPRODUCT(($C$9:$G$9="CO1")*ISNUMBER($C$10:$G$10)*ISNUMBER(C79:G79)*C79:G79) /
         SUMPRODUCT(($C$9:$G$9="CO1")*ISNUMBER($C$10:$G$10)*ISNUMBER(C79:G79)*$C$10:$G$10) * 0.15
       ) +
       IF(
         SUMPRODUCT(($H$9:$Z$9="CO1")*ISNUMBER($H$10:$Z$10)*ISNUMBER(H79:Z79)) = 0,
         0,
         SUMPRODUCT(($H$9:$Z$9="CO1")*ISNUMBER($H$10:$Z$10)*ISNUMBER(H79:Z79)*H79:Z79) /
         SUMPRODUCT(($H$9:$Z$9="CO1")*ISNUMBER($H$10:$Z$10)*ISNUMBER(H79:Z79)*$H$10:$Z$10) * 0.85
       )
     ) * 100,
     ""
   )
)</f>
        <v/>
      </c>
      <c r="AB79" s="1" t="str" cm="1">
        <f t="array" ref="AB79">IF(
   SUMPRODUCT(($C$9:$G$9="CO2")*ISNUMBER($C$10:$G$10)*ISNUMBER(C79:G79)) +
   SUMPRODUCT(($H$9:$Z$9="CO2")*ISNUMBER($H$10:$Z$10)*ISNUMBER(H79:Z79)) = 0,
   "",
   IFERROR(
     (
       IF(
         SUMPRODUCT(($C$9:$G$9="CO2")*ISNUMBER($C$10:$G$10)*ISNUMBER(C79:G79)) = 0,
         0,
         SUMPRODUCT(($C$9:$G$9="CO2")*ISNUMBER($C$10:$G$10)*ISNUMBER(C79:G79)*C79:G79) /
         SUMPRODUCT(($C$9:$G$9="CO2")*ISNUMBER($C$10:$G$10)*ISNUMBER(C79:G79)*$C$10:$G$10) * 0.15
       ) +
       IF(
         SUMPRODUCT(($H$9:$Z$9="CO2")*ISNUMBER($H$10:$Z$10)*ISNUMBER(H79:Z79)) = 0,
         0,
         SUMPRODUCT(($H$9:$Z$9="CO2")*ISNUMBER($H$10:$Z$10)*ISNUMBER(H79:Z79)*H79:Z79) /
         SUMPRODUCT(($H$9:$Z$9="CO2")*ISNUMBER($H$10:$Z$10)*ISNUMBER(H79:Z79)*$H$10:$Z$10) * 0.85
       )
     ) * 100,
     ""
   )
)</f>
        <v/>
      </c>
      <c r="AC79" s="1" t="str" cm="1">
        <f t="array" ref="AC79">IF(
   SUMPRODUCT(($C$9:$G$9="CO3")*ISNUMBER($C$10:$G$10)*ISNUMBER(C79:G79)) +
   SUMPRODUCT(($H$9:$Z$9="CO3")*ISNUMBER($H$10:$Z$10)*ISNUMBER(H79:Z79)) = 0,
   "",
   IFERROR(
     (
       IF(
         SUMPRODUCT(($C$9:$G$9="CO3")*ISNUMBER($C$10:$G$10)*ISNUMBER(C79:G79)) = 0,
         0,
         SUMPRODUCT(($C$9:$G$9="CO3")*ISNUMBER($C$10:$G$10)*ISNUMBER(C79:G79)*C79:G79) /
         SUMPRODUCT(($C$9:$G$9="CO3")*ISNUMBER($C$10:$G$10)*ISNUMBER(C79:G79)*$C$10:$G$10) * 0.15
       ) +
       IF(
         SUMPRODUCT(($H$9:$Z$9="CO3")*ISNUMBER($H$10:$Z$10)*ISNUMBER(H79:Z79)) = 0,
         0,
         SUMPRODUCT(($H$9:$Z$9="CO3")*ISNUMBER($H$10:$Z$10)*ISNUMBER(H79:Z79)*H79:Z79) /
         SUMPRODUCT(($H$9:$Z$9="CO3")*ISNUMBER($H$10:$Z$10)*ISNUMBER(H79:Z79)*$H$10:$Z$10) * 0.85
       )
     ) * 100,
     ""
   )
)</f>
        <v/>
      </c>
      <c r="AD79" s="1" cm="1">
        <f t="array" ref="AD79">IF(
   SUMPRODUCT(($C$9:$G$9="CO4")*ISNUMBER($C$10:$G$10)*ISNUMBER(C79:G79)) +
   SUMPRODUCT(($H$9:$Z$9="CO4")*ISNUMBER($H$10:$Z$10)*ISNUMBER(H79:Z79)) = 0,
   "",
   IFERROR(
     (
       IF(
         SUMPRODUCT(($C$9:$G$9="CO4")*ISNUMBER($C$10:$G$10)*ISNUMBER(C79:G79)) = 0,
         0,
         SUMPRODUCT(($C$9:$G$9="CO4")*ISNUMBER($C$10:$G$10)*ISNUMBER(C79:G79)*C79:G79) /
         SUMPRODUCT(($C$9:$G$9="CO4")*ISNUMBER($C$10:$G$10)*ISNUMBER(C79:G79)*$C$10:$G$10) * 0.15
       ) +
       IF(
         SUMPRODUCT(($H$9:$Z$9="CO4")*ISNUMBER($H$10:$Z$10)*ISNUMBER(H79:Z79)) = 0,
         0,
         SUMPRODUCT(($H$9:$Z$9="CO4")*ISNUMBER($H$10:$Z$10)*ISNUMBER(H79:Z79)*H79:Z79) /
         SUMPRODUCT(($H$9:$Z$9="CO4")*ISNUMBER($H$10:$Z$10)*ISNUMBER(H79:Z79)*$H$10:$Z$10) * 0.85
       )
     ) * 100,
     ""
   )
)</f>
        <v>0</v>
      </c>
      <c r="AE79" s="1" t="str" cm="1">
        <f t="array" ref="AE79">IF(
   SUMPRODUCT(($C$9:$G$9="CO5")*ISNUMBER($C$10:$G$10)*ISNUMBER(C79:G79)) +
   SUMPRODUCT(($H$9:$Z$9="CO5")*ISNUMBER($H$10:$Z$10)*ISNUMBER(H79:Z79)) = 0,
   "",
   IFERROR(
     (
       IF(
         SUMPRODUCT(($C$9:$G$9="CO5")*ISNUMBER($C$10:$G$10)*ISNUMBER(C79:G79)) = 0,
         0,
         SUMPRODUCT(($C$9:$G$9="CO5")*ISNUMBER($C$10:$G$10)*ISNUMBER(C79:G79)*C79:G79) /
         SUMPRODUCT(($C$9:$G$9="CO5")*ISNUMBER($C$10:$G$10)*ISNUMBER(C79:G79)*$C$10:$G$10) * 0.15
       ) +
       IF(
         SUMPRODUCT(($H$9:$Z$9="CO5")*ISNUMBER($H$10:$Z$10)*ISNUMBER(H79:Z79)) = 0,
         0,
         SUMPRODUCT(($H$9:$Z$9="CO5")*ISNUMBER($H$10:$Z$10)*ISNUMBER(H79:Z79)*H79:Z79) /
         SUMPRODUCT(($H$9:$Z$9="CO5")*ISNUMBER($H$10:$Z$10)*ISNUMBER(H79:Z79)*$H$10:$Z$10) * 0.85
       )
     ) * 100,
     ""
   )
)</f>
        <v/>
      </c>
      <c r="AF79" s="1" t="str" cm="1">
        <f t="array" ref="AF79">IF(
   SUMPRODUCT(($C$9:$G$9="CO6")*ISNUMBER($C$10:$G$10)*ISNUMBER(C79:G79)) +
   SUMPRODUCT(($H$9:$Z$9="CO6")*ISNUMBER($H$10:$Z$10)*ISNUMBER(H79:Z79)) = 0,
   "",
   IFERROR(
     (
       IF(
         SUMPRODUCT(($C$9:$G$9="CO6")*ISNUMBER($C$10:$G$10)*ISNUMBER(C79:G79)) = 0,
         0,
         SUMPRODUCT(($C$9:$G$9="CO6")*ISNUMBER($C$10:$G$10)*ISNUMBER(C79:G79)*C79:G79) /
         SUMPRODUCT(($C$9:$G$9="CO6")*ISNUMBER($C$10:$G$10)*ISNUMBER(C79:G79)*$C$10:$G$10) * 0.15
       ) +
       IF(
         SUMPRODUCT(($H$9:$Z$9="CO6")*ISNUMBER($H$10:$Z$10)*ISNUMBER(H79:Z79)) = 0,
         0,
         SUMPRODUCT(($H$9:$Z$9="CO6")*ISNUMBER($H$10:$Z$10)*ISNUMBER(H79:Z79)*H79:Z79) /
         SUMPRODUCT(($H$9:$Z$9="CO6")*ISNUMBER($H$10:$Z$10)*ISNUMBER(H79:Z79)*$H$10:$Z$10) * 0.85
       )
     ) * 100,
     ""
   )
)</f>
        <v/>
      </c>
      <c r="AG79" s="1" t="str" cm="1">
        <f t="array" ref="AG79">IF(
   SUMPRODUCT(($C$9:$G$9="CO7")*ISNUMBER($C$10:$G$10)*ISNUMBER(C79:G79)) +
   SUMPRODUCT(($H$9:$Z$9="CO7")*ISNUMBER($H$10:$Z$10)*ISNUMBER(H79:Z79)) = 0,
   "",
   IFERROR(
     (
       IF(
         SUMPRODUCT(($C$9:$G$9="CO7")*ISNUMBER($C$10:$G$10)*ISNUMBER(C79:G79)) = 0,
         0,
         SUMPRODUCT(($C$9:$G$9="CO7")*ISNUMBER($C$10:$G$10)*ISNUMBER(C79:G79)*C79:G79) /
         SUMPRODUCT(($C$9:$G$9="CO7")*ISNUMBER($C$10:$G$10)*ISNUMBER(C79:G79)*$C$10:$G$10) * 0.15
       ) +
       IF(
         SUMPRODUCT(($H$9:$Z$9="CO7")*ISNUMBER($H$10:$Z$10)*ISNUMBER(H79:Z79)) = 0,
         0,
         SUMPRODUCT(($H$9:$Z$9="CO7")*ISNUMBER($H$10:$Z$10)*ISNUMBER(H79:Z79)*H79:Z79) /
         SUMPRODUCT(($H$9:$Z$9="CO7")*ISNUMBER($H$10:$Z$10)*ISNUMBER(H79:Z79)*$H$10:$Z$10) * 0.85
       )
     ) * 100,
     ""
   )
)</f>
        <v/>
      </c>
      <c r="AH79" s="3" t="str" cm="1">
        <f t="array" ref="AH79">IF(
   SUMPRODUCT(($C$9:$G$9="CO8")*ISNUMBER($C$10:$G$10)*ISNUMBER(C79:G79)) +
   SUMPRODUCT(($H$9:$Z$9="CO8")*ISNUMBER($H$10:$Z$10)*ISNUMBER(H79:Z79)) = 0,
   "",
   IFERROR(
     (
       IF(
         SUMPRODUCT(($C$9:$G$9="CO8")*ISNUMBER($C$10:$G$10)*ISNUMBER(C79:G79)) = 0,
         0,
         SUMPRODUCT(($C$9:$G$9="CO8")*ISNUMBER($C$10:$G$10)*ISNUMBER(C79:G79)*C79:G79) /
         SUMPRODUCT(($C$9:$G$9="CO8")*ISNUMBER($C$10:$G$10)*ISNUMBER(C79:G79)*$C$10:$G$10) * 0.15
       ) +
       IF(
         SUMPRODUCT(($H$9:$Z$9="CO8")*ISNUMBER($H$10:$Z$10)*ISNUMBER(H79:Z79)) = 0,
         0,
         SUMPRODUCT(($H$9:$Z$9="CO8")*ISNUMBER($H$10:$Z$10)*ISNUMBER(H79:Z79)*H79:Z79) /
         SUMPRODUCT(($H$9:$Z$9="CO8")*ISNUMBER($H$10:$Z$10)*ISNUMBER(H79:Z79)*$H$10:$Z$10) * 0.85
       )
     ) * 100,
     ""
   )
)</f>
        <v/>
      </c>
      <c r="AI79" s="1" t="str">
        <f t="shared" si="14"/>
        <v/>
      </c>
      <c r="AJ79" s="1" t="str">
        <f t="shared" si="15"/>
        <v/>
      </c>
      <c r="AK79" s="1" t="str">
        <f t="shared" si="16"/>
        <v/>
      </c>
      <c r="AL79" s="1" t="str">
        <f t="shared" si="13"/>
        <v>F</v>
      </c>
      <c r="AM79" s="1" t="str">
        <f t="shared" si="13"/>
        <v/>
      </c>
      <c r="AN79" s="1" t="str">
        <f t="shared" si="13"/>
        <v/>
      </c>
      <c r="AO79" s="1" t="str">
        <f t="shared" si="13"/>
        <v/>
      </c>
      <c r="AP79" s="1" t="str">
        <f t="shared" si="13"/>
        <v/>
      </c>
    </row>
    <row r="80" spans="1:42" ht="16.2" thickBot="1" x14ac:dyDescent="0.35">
      <c r="A80" s="62">
        <v>2508134</v>
      </c>
      <c r="B80" s="58" t="s">
        <v>177</v>
      </c>
      <c r="C80" s="77">
        <v>4</v>
      </c>
      <c r="D80" s="83" t="s">
        <v>180</v>
      </c>
      <c r="E80" s="92">
        <v>5</v>
      </c>
      <c r="F80" s="89">
        <v>5</v>
      </c>
      <c r="G80" s="90" t="s">
        <v>180</v>
      </c>
      <c r="H80" s="14">
        <v>0</v>
      </c>
      <c r="I80" s="14">
        <v>1</v>
      </c>
      <c r="J80" s="14">
        <v>1</v>
      </c>
      <c r="K80" s="14">
        <v>1</v>
      </c>
      <c r="L80" s="14">
        <v>2</v>
      </c>
      <c r="M80" s="14">
        <v>0</v>
      </c>
      <c r="N80" s="14">
        <v>2</v>
      </c>
      <c r="O80" s="14">
        <v>0</v>
      </c>
      <c r="P80" s="14">
        <v>1</v>
      </c>
      <c r="Q80" s="14">
        <v>0</v>
      </c>
      <c r="R80" s="14">
        <v>2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98">
        <v>20</v>
      </c>
      <c r="Y80" s="99">
        <v>0</v>
      </c>
      <c r="Z80" s="89">
        <v>5</v>
      </c>
      <c r="AA80" s="1" t="str" cm="1">
        <f t="array" ref="AA80">IF(
   SUMPRODUCT(($C$9:$G$9="CO1")*ISNUMBER($C$10:$G$10)*ISNUMBER(C80:G80)) +
   SUMPRODUCT(($H$9:$Z$9="CO1")*ISNUMBER($H$10:$Z$10)*ISNUMBER(H80:Z80)) = 0,
   "",
   IFERROR(
     (
       IF(
         SUMPRODUCT(($C$9:$G$9="CO1")*ISNUMBER($C$10:$G$10)*ISNUMBER(C80:G80)) = 0,
         0,
         SUMPRODUCT(($C$9:$G$9="CO1")*ISNUMBER($C$10:$G$10)*ISNUMBER(C80:G80)*C80:G80) /
         SUMPRODUCT(($C$9:$G$9="CO1")*ISNUMBER($C$10:$G$10)*ISNUMBER(C80:G80)*$C$10:$G$10) * 0.15
       ) +
       IF(
         SUMPRODUCT(($H$9:$Z$9="CO1")*ISNUMBER($H$10:$Z$10)*ISNUMBER(H80:Z80)) = 0,
         0,
         SUMPRODUCT(($H$9:$Z$9="CO1")*ISNUMBER($H$10:$Z$10)*ISNUMBER(H80:Z80)*H80:Z80) /
         SUMPRODUCT(($H$9:$Z$9="CO1")*ISNUMBER($H$10:$Z$10)*ISNUMBER(H80:Z80)*$H$10:$Z$10) * 0.85
       )
     ) * 100,
     ""
   )
)</f>
        <v/>
      </c>
      <c r="AB80" s="1" t="str" cm="1">
        <f t="array" ref="AB80">IF(
   SUMPRODUCT(($C$9:$G$9="CO2")*ISNUMBER($C$10:$G$10)*ISNUMBER(C80:G80)) +
   SUMPRODUCT(($H$9:$Z$9="CO2")*ISNUMBER($H$10:$Z$10)*ISNUMBER(H80:Z80)) = 0,
   "",
   IFERROR(
     (
       IF(
         SUMPRODUCT(($C$9:$G$9="CO2")*ISNUMBER($C$10:$G$10)*ISNUMBER(C80:G80)) = 0,
         0,
         SUMPRODUCT(($C$9:$G$9="CO2")*ISNUMBER($C$10:$G$10)*ISNUMBER(C80:G80)*C80:G80) /
         SUMPRODUCT(($C$9:$G$9="CO2")*ISNUMBER($C$10:$G$10)*ISNUMBER(C80:G80)*$C$10:$G$10) * 0.15
       ) +
       IF(
         SUMPRODUCT(($H$9:$Z$9="CO2")*ISNUMBER($H$10:$Z$10)*ISNUMBER(H80:Z80)) = 0,
         0,
         SUMPRODUCT(($H$9:$Z$9="CO2")*ISNUMBER($H$10:$Z$10)*ISNUMBER(H80:Z80)*H80:Z80) /
         SUMPRODUCT(($H$9:$Z$9="CO2")*ISNUMBER($H$10:$Z$10)*ISNUMBER(H80:Z80)*$H$10:$Z$10) * 0.85
       )
     ) * 100,
     ""
   )
)</f>
        <v/>
      </c>
      <c r="AC80" s="1" t="str" cm="1">
        <f t="array" ref="AC80">IF(
   SUMPRODUCT(($C$9:$G$9="CO3")*ISNUMBER($C$10:$G$10)*ISNUMBER(C80:G80)) +
   SUMPRODUCT(($H$9:$Z$9="CO3")*ISNUMBER($H$10:$Z$10)*ISNUMBER(H80:Z80)) = 0,
   "",
   IFERROR(
     (
       IF(
         SUMPRODUCT(($C$9:$G$9="CO3")*ISNUMBER($C$10:$G$10)*ISNUMBER(C80:G80)) = 0,
         0,
         SUMPRODUCT(($C$9:$G$9="CO3")*ISNUMBER($C$10:$G$10)*ISNUMBER(C80:G80)*C80:G80) /
         SUMPRODUCT(($C$9:$G$9="CO3")*ISNUMBER($C$10:$G$10)*ISNUMBER(C80:G80)*$C$10:$G$10) * 0.15
       ) +
       IF(
         SUMPRODUCT(($H$9:$Z$9="CO3")*ISNUMBER($H$10:$Z$10)*ISNUMBER(H80:Z80)) = 0,
         0,
         SUMPRODUCT(($H$9:$Z$9="CO3")*ISNUMBER($H$10:$Z$10)*ISNUMBER(H80:Z80)*H80:Z80) /
         SUMPRODUCT(($H$9:$Z$9="CO3")*ISNUMBER($H$10:$Z$10)*ISNUMBER(H80:Z80)*$H$10:$Z$10) * 0.85
       )
     ) * 100,
     ""
   )
)</f>
        <v/>
      </c>
      <c r="AD80" s="1" cm="1">
        <f t="array" ref="AD80">IF(
   SUMPRODUCT(($C$9:$G$9="CO4")*ISNUMBER($C$10:$G$10)*ISNUMBER(C80:G80)) +
   SUMPRODUCT(($H$9:$Z$9="CO4")*ISNUMBER($H$10:$Z$10)*ISNUMBER(H80:Z80)) = 0,
   "",
   IFERROR(
     (
       IF(
         SUMPRODUCT(($C$9:$G$9="CO4")*ISNUMBER($C$10:$G$10)*ISNUMBER(C80:G80)) = 0,
         0,
         SUMPRODUCT(($C$9:$G$9="CO4")*ISNUMBER($C$10:$G$10)*ISNUMBER(C80:G80)*C80:G80) /
         SUMPRODUCT(($C$9:$G$9="CO4")*ISNUMBER($C$10:$G$10)*ISNUMBER(C80:G80)*$C$10:$G$10) * 0.15
       ) +
       IF(
         SUMPRODUCT(($H$9:$Z$9="CO4")*ISNUMBER($H$10:$Z$10)*ISNUMBER(H80:Z80)) = 0,
         0,
         SUMPRODUCT(($H$9:$Z$9="CO4")*ISNUMBER($H$10:$Z$10)*ISNUMBER(H80:Z80)*H80:Z80) /
         SUMPRODUCT(($H$9:$Z$9="CO4")*ISNUMBER($H$10:$Z$10)*ISNUMBER(H80:Z80)*$H$10:$Z$10) * 0.85
       )
     ) * 100,
     ""
   )
)</f>
        <v>0</v>
      </c>
      <c r="AE80" s="1" t="str" cm="1">
        <f t="array" ref="AE80">IF(
   SUMPRODUCT(($C$9:$G$9="CO5")*ISNUMBER($C$10:$G$10)*ISNUMBER(C80:G80)) +
   SUMPRODUCT(($H$9:$Z$9="CO5")*ISNUMBER($H$10:$Z$10)*ISNUMBER(H80:Z80)) = 0,
   "",
   IFERROR(
     (
       IF(
         SUMPRODUCT(($C$9:$G$9="CO5")*ISNUMBER($C$10:$G$10)*ISNUMBER(C80:G80)) = 0,
         0,
         SUMPRODUCT(($C$9:$G$9="CO5")*ISNUMBER($C$10:$G$10)*ISNUMBER(C80:G80)*C80:G80) /
         SUMPRODUCT(($C$9:$G$9="CO5")*ISNUMBER($C$10:$G$10)*ISNUMBER(C80:G80)*$C$10:$G$10) * 0.15
       ) +
       IF(
         SUMPRODUCT(($H$9:$Z$9="CO5")*ISNUMBER($H$10:$Z$10)*ISNUMBER(H80:Z80)) = 0,
         0,
         SUMPRODUCT(($H$9:$Z$9="CO5")*ISNUMBER($H$10:$Z$10)*ISNUMBER(H80:Z80)*H80:Z80) /
         SUMPRODUCT(($H$9:$Z$9="CO5")*ISNUMBER($H$10:$Z$10)*ISNUMBER(H80:Z80)*$H$10:$Z$10) * 0.85
       )
     ) * 100,
     ""
   )
)</f>
        <v/>
      </c>
      <c r="AF80" s="1" t="str" cm="1">
        <f t="array" ref="AF80">IF(
   SUMPRODUCT(($C$9:$G$9="CO6")*ISNUMBER($C$10:$G$10)*ISNUMBER(C80:G80)) +
   SUMPRODUCT(($H$9:$Z$9="CO6")*ISNUMBER($H$10:$Z$10)*ISNUMBER(H80:Z80)) = 0,
   "",
   IFERROR(
     (
       IF(
         SUMPRODUCT(($C$9:$G$9="CO6")*ISNUMBER($C$10:$G$10)*ISNUMBER(C80:G80)) = 0,
         0,
         SUMPRODUCT(($C$9:$G$9="CO6")*ISNUMBER($C$10:$G$10)*ISNUMBER(C80:G80)*C80:G80) /
         SUMPRODUCT(($C$9:$G$9="CO6")*ISNUMBER($C$10:$G$10)*ISNUMBER(C80:G80)*$C$10:$G$10) * 0.15
       ) +
       IF(
         SUMPRODUCT(($H$9:$Z$9="CO6")*ISNUMBER($H$10:$Z$10)*ISNUMBER(H80:Z80)) = 0,
         0,
         SUMPRODUCT(($H$9:$Z$9="CO6")*ISNUMBER($H$10:$Z$10)*ISNUMBER(H80:Z80)*H80:Z80) /
         SUMPRODUCT(($H$9:$Z$9="CO6")*ISNUMBER($H$10:$Z$10)*ISNUMBER(H80:Z80)*$H$10:$Z$10) * 0.85
       )
     ) * 100,
     ""
   )
)</f>
        <v/>
      </c>
      <c r="AG80" s="1" t="str" cm="1">
        <f t="array" ref="AG80">IF(
   SUMPRODUCT(($C$9:$G$9="CO7")*ISNUMBER($C$10:$G$10)*ISNUMBER(C80:G80)) +
   SUMPRODUCT(($H$9:$Z$9="CO7")*ISNUMBER($H$10:$Z$10)*ISNUMBER(H80:Z80)) = 0,
   "",
   IFERROR(
     (
       IF(
         SUMPRODUCT(($C$9:$G$9="CO7")*ISNUMBER($C$10:$G$10)*ISNUMBER(C80:G80)) = 0,
         0,
         SUMPRODUCT(($C$9:$G$9="CO7")*ISNUMBER($C$10:$G$10)*ISNUMBER(C80:G80)*C80:G80) /
         SUMPRODUCT(($C$9:$G$9="CO7")*ISNUMBER($C$10:$G$10)*ISNUMBER(C80:G80)*$C$10:$G$10) * 0.15
       ) +
       IF(
         SUMPRODUCT(($H$9:$Z$9="CO7")*ISNUMBER($H$10:$Z$10)*ISNUMBER(H80:Z80)) = 0,
         0,
         SUMPRODUCT(($H$9:$Z$9="CO7")*ISNUMBER($H$10:$Z$10)*ISNUMBER(H80:Z80)*H80:Z80) /
         SUMPRODUCT(($H$9:$Z$9="CO7")*ISNUMBER($H$10:$Z$10)*ISNUMBER(H80:Z80)*$H$10:$Z$10) * 0.85
       )
     ) * 100,
     ""
   )
)</f>
        <v/>
      </c>
      <c r="AH80" s="3" t="str" cm="1">
        <f t="array" ref="AH80">IF(
   SUMPRODUCT(($C$9:$G$9="CO8")*ISNUMBER($C$10:$G$10)*ISNUMBER(C80:G80)) +
   SUMPRODUCT(($H$9:$Z$9="CO8")*ISNUMBER($H$10:$Z$10)*ISNUMBER(H80:Z80)) = 0,
   "",
   IFERROR(
     (
       IF(
         SUMPRODUCT(($C$9:$G$9="CO8")*ISNUMBER($C$10:$G$10)*ISNUMBER(C80:G80)) = 0,
         0,
         SUMPRODUCT(($C$9:$G$9="CO8")*ISNUMBER($C$10:$G$10)*ISNUMBER(C80:G80)*C80:G80) /
         SUMPRODUCT(($C$9:$G$9="CO8")*ISNUMBER($C$10:$G$10)*ISNUMBER(C80:G80)*$C$10:$G$10) * 0.15
       ) +
       IF(
         SUMPRODUCT(($H$9:$Z$9="CO8")*ISNUMBER($H$10:$Z$10)*ISNUMBER(H80:Z80)) = 0,
         0,
         SUMPRODUCT(($H$9:$Z$9="CO8")*ISNUMBER($H$10:$Z$10)*ISNUMBER(H80:Z80)*H80:Z80) /
         SUMPRODUCT(($H$9:$Z$9="CO8")*ISNUMBER($H$10:$Z$10)*ISNUMBER(H80:Z80)*$H$10:$Z$10) * 0.85
       )
     ) * 100,
     ""
   )
)</f>
        <v/>
      </c>
      <c r="AI80" s="1" t="str">
        <f t="shared" si="14"/>
        <v/>
      </c>
      <c r="AJ80" s="1" t="str">
        <f t="shared" si="15"/>
        <v/>
      </c>
      <c r="AK80" s="1" t="str">
        <f t="shared" si="16"/>
        <v/>
      </c>
      <c r="AL80" s="1" t="str">
        <f t="shared" si="13"/>
        <v>F</v>
      </c>
      <c r="AM80" s="1" t="str">
        <f t="shared" si="13"/>
        <v/>
      </c>
      <c r="AN80" s="1" t="str">
        <f t="shared" si="13"/>
        <v/>
      </c>
      <c r="AO80" s="1" t="str">
        <f t="shared" si="13"/>
        <v/>
      </c>
      <c r="AP80" s="1" t="str">
        <f t="shared" si="13"/>
        <v/>
      </c>
    </row>
    <row r="81" spans="1:42" ht="16.2" thickBot="1" x14ac:dyDescent="0.35">
      <c r="A81" s="66">
        <v>2508135</v>
      </c>
      <c r="B81" s="67" t="s">
        <v>178</v>
      </c>
      <c r="C81" s="78" t="s">
        <v>180</v>
      </c>
      <c r="D81" s="82">
        <v>3</v>
      </c>
      <c r="E81" s="92" t="s">
        <v>180</v>
      </c>
      <c r="F81" s="89">
        <v>5</v>
      </c>
      <c r="G81" s="90">
        <v>0</v>
      </c>
      <c r="H81" s="68">
        <v>0</v>
      </c>
      <c r="I81" s="68">
        <v>1</v>
      </c>
      <c r="J81" s="68">
        <v>1</v>
      </c>
      <c r="K81" s="68">
        <v>1</v>
      </c>
      <c r="L81" s="68">
        <v>0</v>
      </c>
      <c r="M81" s="68">
        <v>0.5</v>
      </c>
      <c r="N81" s="68">
        <v>0</v>
      </c>
      <c r="O81" s="68">
        <v>0</v>
      </c>
      <c r="P81" s="68">
        <v>2</v>
      </c>
      <c r="Q81" s="68">
        <v>0</v>
      </c>
      <c r="R81" s="68">
        <v>0</v>
      </c>
      <c r="S81" s="68">
        <v>2</v>
      </c>
      <c r="T81" s="68">
        <v>1</v>
      </c>
      <c r="U81" s="68">
        <v>0</v>
      </c>
      <c r="V81" s="68">
        <v>0</v>
      </c>
      <c r="W81" s="68">
        <v>1</v>
      </c>
      <c r="X81" s="103">
        <v>21</v>
      </c>
      <c r="Y81" s="104">
        <v>0</v>
      </c>
      <c r="Z81" s="105">
        <v>3</v>
      </c>
      <c r="AA81" s="69" cm="1">
        <f t="array" ref="AA81">IF(
   SUMPRODUCT(($C$9:$G$9="CO1")*ISNUMBER($C$10:$G$10)*ISNUMBER(C81:G81)) +
   SUMPRODUCT(($H$9:$Z$9="CO1")*ISNUMBER($H$10:$Z$10)*ISNUMBER(H81:Z81)) = 0,
   "",
   IFERROR(
     (
       IF(
         SUMPRODUCT(($C$9:$G$9="CO1")*ISNUMBER($C$10:$G$10)*ISNUMBER(C81:G81)) = 0,
         0,
         SUMPRODUCT(($C$9:$G$9="CO1")*ISNUMBER($C$10:$G$10)*ISNUMBER(C81:G81)*C81:G81) /
         SUMPRODUCT(($C$9:$G$9="CO1")*ISNUMBER($C$10:$G$10)*ISNUMBER(C81:G81)*$C$10:$G$10) * 0.15
       ) +
       IF(
         SUMPRODUCT(($H$9:$Z$9="CO1")*ISNUMBER($H$10:$Z$10)*ISNUMBER(H81:Z81)) = 0,
         0,
         SUMPRODUCT(($H$9:$Z$9="CO1")*ISNUMBER($H$10:$Z$10)*ISNUMBER(H81:Z81)*H81:Z81) /
         SUMPRODUCT(($H$9:$Z$9="CO1")*ISNUMBER($H$10:$Z$10)*ISNUMBER(H81:Z81)*$H$10:$Z$10) * 0.85
       )
     ) * 100,
     ""
   )
)</f>
        <v>30.694444444444439</v>
      </c>
      <c r="AB81" s="69" t="str" cm="1">
        <f t="array" ref="AB81">IF(
   SUMPRODUCT(($C$9:$G$9="CO2")*ISNUMBER($C$10:$G$10)*ISNUMBER(C81:G81)) +
   SUMPRODUCT(($H$9:$Z$9="CO2")*ISNUMBER($H$10:$Z$10)*ISNUMBER(H81:Z81)) = 0,
   "",
   IFERROR(
     (
       IF(
         SUMPRODUCT(($C$9:$G$9="CO2")*ISNUMBER($C$10:$G$10)*ISNUMBER(C81:G81)) = 0,
         0,
         SUMPRODUCT(($C$9:$G$9="CO2")*ISNUMBER($C$10:$G$10)*ISNUMBER(C81:G81)*C81:G81) /
         SUMPRODUCT(($C$9:$G$9="CO2")*ISNUMBER($C$10:$G$10)*ISNUMBER(C81:G81)*$C$10:$G$10) * 0.15
       ) +
       IF(
         SUMPRODUCT(($H$9:$Z$9="CO2")*ISNUMBER($H$10:$Z$10)*ISNUMBER(H81:Z81)) = 0,
         0,
         SUMPRODUCT(($H$9:$Z$9="CO2")*ISNUMBER($H$10:$Z$10)*ISNUMBER(H81:Z81)*H81:Z81) /
         SUMPRODUCT(($H$9:$Z$9="CO2")*ISNUMBER($H$10:$Z$10)*ISNUMBER(H81:Z81)*$H$10:$Z$10) * 0.85
       )
     ) * 100,
     ""
   )
)</f>
        <v/>
      </c>
      <c r="AC81" s="69" t="str" cm="1">
        <f t="array" ref="AC81">IF(
   SUMPRODUCT(($C$9:$G$9="CO3")*ISNUMBER($C$10:$G$10)*ISNUMBER(C81:G81)) +
   SUMPRODUCT(($H$9:$Z$9="CO3")*ISNUMBER($H$10:$Z$10)*ISNUMBER(H81:Z81)) = 0,
   "",
   IFERROR(
     (
       IF(
         SUMPRODUCT(($C$9:$G$9="CO3")*ISNUMBER($C$10:$G$10)*ISNUMBER(C81:G81)) = 0,
         0,
         SUMPRODUCT(($C$9:$G$9="CO3")*ISNUMBER($C$10:$G$10)*ISNUMBER(C81:G81)*C81:G81) /
         SUMPRODUCT(($C$9:$G$9="CO3")*ISNUMBER($C$10:$G$10)*ISNUMBER(C81:G81)*$C$10:$G$10) * 0.15
       ) +
       IF(
         SUMPRODUCT(($H$9:$Z$9="CO3")*ISNUMBER($H$10:$Z$10)*ISNUMBER(H81:Z81)) = 0,
         0,
         SUMPRODUCT(($H$9:$Z$9="CO3")*ISNUMBER($H$10:$Z$10)*ISNUMBER(H81:Z81)*H81:Z81) /
         SUMPRODUCT(($H$9:$Z$9="CO3")*ISNUMBER($H$10:$Z$10)*ISNUMBER(H81:Z81)*$H$10:$Z$10) * 0.85
       )
     ) * 100,
     ""
   )
)</f>
        <v/>
      </c>
      <c r="AD81" s="69" t="str" cm="1">
        <f t="array" ref="AD81">IF(
   SUMPRODUCT(($C$9:$G$9="CO4")*ISNUMBER($C$10:$G$10)*ISNUMBER(C81:G81)) +
   SUMPRODUCT(($H$9:$Z$9="CO4")*ISNUMBER($H$10:$Z$10)*ISNUMBER(H81:Z81)) = 0,
   "",
   IFERROR(
     (
       IF(
         SUMPRODUCT(($C$9:$G$9="CO4")*ISNUMBER($C$10:$G$10)*ISNUMBER(C81:G81)) = 0,
         0,
         SUMPRODUCT(($C$9:$G$9="CO4")*ISNUMBER($C$10:$G$10)*ISNUMBER(C81:G81)*C81:G81) /
         SUMPRODUCT(($C$9:$G$9="CO4")*ISNUMBER($C$10:$G$10)*ISNUMBER(C81:G81)*$C$10:$G$10) * 0.15
       ) +
       IF(
         SUMPRODUCT(($H$9:$Z$9="CO4")*ISNUMBER($H$10:$Z$10)*ISNUMBER(H81:Z81)) = 0,
         0,
         SUMPRODUCT(($H$9:$Z$9="CO4")*ISNUMBER($H$10:$Z$10)*ISNUMBER(H81:Z81)*H81:Z81) /
         SUMPRODUCT(($H$9:$Z$9="CO4")*ISNUMBER($H$10:$Z$10)*ISNUMBER(H81:Z81)*$H$10:$Z$10) * 0.85
       )
     ) * 100,
     ""
   )
)</f>
        <v/>
      </c>
      <c r="AE81" s="69" t="str" cm="1">
        <f t="array" ref="AE81">IF(
   SUMPRODUCT(($C$9:$G$9="CO5")*ISNUMBER($C$10:$G$10)*ISNUMBER(C81:G81)) +
   SUMPRODUCT(($H$9:$Z$9="CO5")*ISNUMBER($H$10:$Z$10)*ISNUMBER(H81:Z81)) = 0,
   "",
   IFERROR(
     (
       IF(
         SUMPRODUCT(($C$9:$G$9="CO5")*ISNUMBER($C$10:$G$10)*ISNUMBER(C81:G81)) = 0,
         0,
         SUMPRODUCT(($C$9:$G$9="CO5")*ISNUMBER($C$10:$G$10)*ISNUMBER(C81:G81)*C81:G81) /
         SUMPRODUCT(($C$9:$G$9="CO5")*ISNUMBER($C$10:$G$10)*ISNUMBER(C81:G81)*$C$10:$G$10) * 0.15
       ) +
       IF(
         SUMPRODUCT(($H$9:$Z$9="CO5")*ISNUMBER($H$10:$Z$10)*ISNUMBER(H81:Z81)) = 0,
         0,
         SUMPRODUCT(($H$9:$Z$9="CO5")*ISNUMBER($H$10:$Z$10)*ISNUMBER(H81:Z81)*H81:Z81) /
         SUMPRODUCT(($H$9:$Z$9="CO5")*ISNUMBER($H$10:$Z$10)*ISNUMBER(H81:Z81)*$H$10:$Z$10) * 0.85
       )
     ) * 100,
     ""
   )
)</f>
        <v/>
      </c>
      <c r="AF81" s="69" t="str" cm="1">
        <f t="array" ref="AF81">IF(
   SUMPRODUCT(($C$9:$G$9="CO6")*ISNUMBER($C$10:$G$10)*ISNUMBER(C81:G81)) +
   SUMPRODUCT(($H$9:$Z$9="CO6")*ISNUMBER($H$10:$Z$10)*ISNUMBER(H81:Z81)) = 0,
   "",
   IFERROR(
     (
       IF(
         SUMPRODUCT(($C$9:$G$9="CO6")*ISNUMBER($C$10:$G$10)*ISNUMBER(C81:G81)) = 0,
         0,
         SUMPRODUCT(($C$9:$G$9="CO6")*ISNUMBER($C$10:$G$10)*ISNUMBER(C81:G81)*C81:G81) /
         SUMPRODUCT(($C$9:$G$9="CO6")*ISNUMBER($C$10:$G$10)*ISNUMBER(C81:G81)*$C$10:$G$10) * 0.15
       ) +
       IF(
         SUMPRODUCT(($H$9:$Z$9="CO6")*ISNUMBER($H$10:$Z$10)*ISNUMBER(H81:Z81)) = 0,
         0,
         SUMPRODUCT(($H$9:$Z$9="CO6")*ISNUMBER($H$10:$Z$10)*ISNUMBER(H81:Z81)*H81:Z81) /
         SUMPRODUCT(($H$9:$Z$9="CO6")*ISNUMBER($H$10:$Z$10)*ISNUMBER(H81:Z81)*$H$10:$Z$10) * 0.85
       )
     ) * 100,
     ""
   )
)</f>
        <v/>
      </c>
      <c r="AG81" s="69" t="str" cm="1">
        <f t="array" ref="AG81">IF(
   SUMPRODUCT(($C$9:$G$9="CO7")*ISNUMBER($C$10:$G$10)*ISNUMBER(C81:G81)) +
   SUMPRODUCT(($H$9:$Z$9="CO7")*ISNUMBER($H$10:$Z$10)*ISNUMBER(H81:Z81)) = 0,
   "",
   IFERROR(
     (
       IF(
         SUMPRODUCT(($C$9:$G$9="CO7")*ISNUMBER($C$10:$G$10)*ISNUMBER(C81:G81)) = 0,
         0,
         SUMPRODUCT(($C$9:$G$9="CO7")*ISNUMBER($C$10:$G$10)*ISNUMBER(C81:G81)*C81:G81) /
         SUMPRODUCT(($C$9:$G$9="CO7")*ISNUMBER($C$10:$G$10)*ISNUMBER(C81:G81)*$C$10:$G$10) * 0.15
       ) +
       IF(
         SUMPRODUCT(($H$9:$Z$9="CO7")*ISNUMBER($H$10:$Z$10)*ISNUMBER(H81:Z81)) = 0,
         0,
         SUMPRODUCT(($H$9:$Z$9="CO7")*ISNUMBER($H$10:$Z$10)*ISNUMBER(H81:Z81)*H81:Z81) /
         SUMPRODUCT(($H$9:$Z$9="CO7")*ISNUMBER($H$10:$Z$10)*ISNUMBER(H81:Z81)*$H$10:$Z$10) * 0.85
       )
     ) * 100,
     ""
   )
)</f>
        <v/>
      </c>
      <c r="AH81" s="70" t="str" cm="1">
        <f t="array" ref="AH81">IF(
   SUMPRODUCT(($C$9:$G$9="CO8")*ISNUMBER($C$10:$G$10)*ISNUMBER(C81:G81)) +
   SUMPRODUCT(($H$9:$Z$9="CO8")*ISNUMBER($H$10:$Z$10)*ISNUMBER(H81:Z81)) = 0,
   "",
   IFERROR(
     (
       IF(
         SUMPRODUCT(($C$9:$G$9="CO8")*ISNUMBER($C$10:$G$10)*ISNUMBER(C81:G81)) = 0,
         0,
         SUMPRODUCT(($C$9:$G$9="CO8")*ISNUMBER($C$10:$G$10)*ISNUMBER(C81:G81)*C81:G81) /
         SUMPRODUCT(($C$9:$G$9="CO8")*ISNUMBER($C$10:$G$10)*ISNUMBER(C81:G81)*$C$10:$G$10) * 0.15
       ) +
       IF(
         SUMPRODUCT(($H$9:$Z$9="CO8")*ISNUMBER($H$10:$Z$10)*ISNUMBER(H81:Z81)) = 0,
         0,
         SUMPRODUCT(($H$9:$Z$9="CO8")*ISNUMBER($H$10:$Z$10)*ISNUMBER(H81:Z81)*H81:Z81) /
         SUMPRODUCT(($H$9:$Z$9="CO8")*ISNUMBER($H$10:$Z$10)*ISNUMBER(H81:Z81)*$H$10:$Z$10) * 0.85
       )
     ) * 100,
     ""
   )
)</f>
        <v/>
      </c>
      <c r="AI81" s="69" t="str">
        <f t="shared" si="14"/>
        <v>F</v>
      </c>
      <c r="AJ81" s="69" t="str">
        <f t="shared" si="15"/>
        <v/>
      </c>
      <c r="AK81" s="69" t="str">
        <f t="shared" si="16"/>
        <v/>
      </c>
      <c r="AL81" s="69" t="str">
        <f t="shared" si="13"/>
        <v/>
      </c>
      <c r="AM81" s="69" t="str">
        <f t="shared" si="13"/>
        <v/>
      </c>
      <c r="AN81" s="69" t="str">
        <f t="shared" si="13"/>
        <v/>
      </c>
      <c r="AO81" s="69" t="str">
        <f t="shared" si="13"/>
        <v/>
      </c>
      <c r="AP81" s="69" t="str">
        <f t="shared" si="13"/>
        <v/>
      </c>
    </row>
    <row r="82" spans="1:42" ht="16.2" thickBot="1" x14ac:dyDescent="0.35">
      <c r="A82" s="71">
        <v>2508136</v>
      </c>
      <c r="B82" s="72" t="s">
        <v>179</v>
      </c>
      <c r="C82" s="80">
        <v>2</v>
      </c>
      <c r="D82" s="85">
        <v>3</v>
      </c>
      <c r="E82" s="93">
        <v>5</v>
      </c>
      <c r="F82" s="94">
        <v>4</v>
      </c>
      <c r="G82" s="94">
        <v>3</v>
      </c>
      <c r="H82" s="73">
        <v>0</v>
      </c>
      <c r="I82" s="73">
        <v>0</v>
      </c>
      <c r="J82" s="73">
        <v>1</v>
      </c>
      <c r="K82" s="73">
        <v>0</v>
      </c>
      <c r="L82" s="73">
        <v>0</v>
      </c>
      <c r="M82" s="73">
        <v>1</v>
      </c>
      <c r="N82" s="73">
        <v>2</v>
      </c>
      <c r="O82" s="73">
        <v>0</v>
      </c>
      <c r="P82" s="73">
        <v>2</v>
      </c>
      <c r="Q82" s="73">
        <v>0</v>
      </c>
      <c r="R82" s="73">
        <v>0</v>
      </c>
      <c r="S82" s="73">
        <v>2</v>
      </c>
      <c r="T82" s="73">
        <v>1</v>
      </c>
      <c r="U82" s="73">
        <v>0</v>
      </c>
      <c r="V82" s="73">
        <v>0.5</v>
      </c>
      <c r="W82" s="73">
        <v>2</v>
      </c>
      <c r="X82" s="106">
        <v>20</v>
      </c>
      <c r="Y82" s="107">
        <v>8</v>
      </c>
      <c r="Z82" s="108">
        <v>7</v>
      </c>
      <c r="AA82" s="74" cm="1">
        <f t="array" ref="AA82">IF(
   SUMPRODUCT(($C$9:$G$9="CO1")*ISNUMBER($C$10:$G$10)*ISNUMBER(C82:G82)) +
   SUMPRODUCT(($H$9:$Z$9="CO1")*ISNUMBER($H$10:$Z$10)*ISNUMBER(H82:Z82)) = 0,
   "",
   IFERROR(
     (
       IF(
         SUMPRODUCT(($C$9:$G$9="CO1")*ISNUMBER($C$10:$G$10)*ISNUMBER(C82:G82)) = 0,
         0,
         SUMPRODUCT(($C$9:$G$9="CO1")*ISNUMBER($C$10:$G$10)*ISNUMBER(C82:G82)*C82:G82) /
         SUMPRODUCT(($C$9:$G$9="CO1")*ISNUMBER($C$10:$G$10)*ISNUMBER(C82:G82)*$C$10:$G$10) * 0.15
       ) +
       IF(
         SUMPRODUCT(($H$9:$Z$9="CO1")*ISNUMBER($H$10:$Z$10)*ISNUMBER(H82:Z82)) = 0,
         0,
         SUMPRODUCT(($H$9:$Z$9="CO1")*ISNUMBER($H$10:$Z$10)*ISNUMBER(H82:Z82)*H82:Z82) /
         SUMPRODUCT(($H$9:$Z$9="CO1")*ISNUMBER($H$10:$Z$10)*ISNUMBER(H82:Z82)*$H$10:$Z$10) * 0.85
       )
     ) * 100,
     ""
   )
)</f>
        <v>57.944444444444443</v>
      </c>
      <c r="AB82" s="74" cm="1">
        <f t="array" ref="AB82">IF(
   SUMPRODUCT(($C$9:$G$9="CO2")*ISNUMBER($C$10:$G$10)*ISNUMBER(C82:G82)) +
   SUMPRODUCT(($H$9:$Z$9="CO2")*ISNUMBER($H$10:$Z$10)*ISNUMBER(H82:Z82)) = 0,
   "",
   IFERROR(
     (
       IF(
         SUMPRODUCT(($C$9:$G$9="CO2")*ISNUMBER($C$10:$G$10)*ISNUMBER(C82:G82)) = 0,
         0,
         SUMPRODUCT(($C$9:$G$9="CO2")*ISNUMBER($C$10:$G$10)*ISNUMBER(C82:G82)*C82:G82) /
         SUMPRODUCT(($C$9:$G$9="CO2")*ISNUMBER($C$10:$G$10)*ISNUMBER(C82:G82)*$C$10:$G$10) * 0.15
       ) +
       IF(
         SUMPRODUCT(($H$9:$Z$9="CO2")*ISNUMBER($H$10:$Z$10)*ISNUMBER(H82:Z82)) = 0,
         0,
         SUMPRODUCT(($H$9:$Z$9="CO2")*ISNUMBER($H$10:$Z$10)*ISNUMBER(H82:Z82)*H82:Z82) /
         SUMPRODUCT(($H$9:$Z$9="CO2")*ISNUMBER($H$10:$Z$10)*ISNUMBER(H82:Z82)*$H$10:$Z$10) * 0.85
       )
     ) * 100,
     ""
   )
)</f>
        <v>75.75</v>
      </c>
      <c r="AC82" s="74" cm="1">
        <f t="array" ref="AC82">IF(
   SUMPRODUCT(($C$9:$G$9="CO3")*ISNUMBER($C$10:$G$10)*ISNUMBER(C82:G82)) +
   SUMPRODUCT(($H$9:$Z$9="CO3")*ISNUMBER($H$10:$Z$10)*ISNUMBER(H82:Z82)) = 0,
   "",
   IFERROR(
     (
       IF(
         SUMPRODUCT(($C$9:$G$9="CO3")*ISNUMBER($C$10:$G$10)*ISNUMBER(C82:G82)) = 0,
         0,
         SUMPRODUCT(($C$9:$G$9="CO3")*ISNUMBER($C$10:$G$10)*ISNUMBER(C82:G82)*C82:G82) /
         SUMPRODUCT(($C$9:$G$9="CO3")*ISNUMBER($C$10:$G$10)*ISNUMBER(C82:G82)*$C$10:$G$10) * 0.15
       ) +
       IF(
         SUMPRODUCT(($H$9:$Z$9="CO3")*ISNUMBER($H$10:$Z$10)*ISNUMBER(H82:Z82)) = 0,
         0,
         SUMPRODUCT(($H$9:$Z$9="CO3")*ISNUMBER($H$10:$Z$10)*ISNUMBER(H82:Z82)*H82:Z82) /
         SUMPRODUCT(($H$9:$Z$9="CO3")*ISNUMBER($H$10:$Z$10)*ISNUMBER(H82:Z82)*$H$10:$Z$10) * 0.85
       )
     ) * 100,
     ""
   )
)</f>
        <v>75.75</v>
      </c>
      <c r="AD82" s="74" cm="1">
        <f t="array" ref="AD82">IF(
   SUMPRODUCT(($C$9:$G$9="CO4")*ISNUMBER($C$10:$G$10)*ISNUMBER(C82:G82)) +
   SUMPRODUCT(($H$9:$Z$9="CO4")*ISNUMBER($H$10:$Z$10)*ISNUMBER(H82:Z82)) = 0,
   "",
   IFERROR(
     (
       IF(
         SUMPRODUCT(($C$9:$G$9="CO4")*ISNUMBER($C$10:$G$10)*ISNUMBER(C82:G82)) = 0,
         0,
         SUMPRODUCT(($C$9:$G$9="CO4")*ISNUMBER($C$10:$G$10)*ISNUMBER(C82:G82)*C82:G82) /
         SUMPRODUCT(($C$9:$G$9="CO4")*ISNUMBER($C$10:$G$10)*ISNUMBER(C82:G82)*$C$10:$G$10) * 0.15
       ) +
       IF(
         SUMPRODUCT(($H$9:$Z$9="CO4")*ISNUMBER($H$10:$Z$10)*ISNUMBER(H82:Z82)) = 0,
         0,
         SUMPRODUCT(($H$9:$Z$9="CO4")*ISNUMBER($H$10:$Z$10)*ISNUMBER(H82:Z82)*H82:Z82) /
         SUMPRODUCT(($H$9:$Z$9="CO4")*ISNUMBER($H$10:$Z$10)*ISNUMBER(H82:Z82)*$H$10:$Z$10) * 0.85
       )
     ) * 100,
     ""
   )
)</f>
        <v>44.416666666666671</v>
      </c>
      <c r="AE82" s="74" t="str" cm="1">
        <f t="array" ref="AE82">IF(
   SUMPRODUCT(($C$9:$G$9="CO5")*ISNUMBER($C$10:$G$10)*ISNUMBER(C82:G82)) +
   SUMPRODUCT(($H$9:$Z$9="CO5")*ISNUMBER($H$10:$Z$10)*ISNUMBER(H82:Z82)) = 0,
   "",
   IFERROR(
     (
       IF(
         SUMPRODUCT(($C$9:$G$9="CO5")*ISNUMBER($C$10:$G$10)*ISNUMBER(C82:G82)) = 0,
         0,
         SUMPRODUCT(($C$9:$G$9="CO5")*ISNUMBER($C$10:$G$10)*ISNUMBER(C82:G82)*C82:G82) /
         SUMPRODUCT(($C$9:$G$9="CO5")*ISNUMBER($C$10:$G$10)*ISNUMBER(C82:G82)*$C$10:$G$10) * 0.15
       ) +
       IF(
         SUMPRODUCT(($H$9:$Z$9="CO5")*ISNUMBER($H$10:$Z$10)*ISNUMBER(H82:Z82)) = 0,
         0,
         SUMPRODUCT(($H$9:$Z$9="CO5")*ISNUMBER($H$10:$Z$10)*ISNUMBER(H82:Z82)*H82:Z82) /
         SUMPRODUCT(($H$9:$Z$9="CO5")*ISNUMBER($H$10:$Z$10)*ISNUMBER(H82:Z82)*$H$10:$Z$10) * 0.85
       )
     ) * 100,
     ""
   )
)</f>
        <v/>
      </c>
      <c r="AF82" s="74" t="str" cm="1">
        <f t="array" ref="AF82">IF(
   SUMPRODUCT(($C$9:$G$9="CO6")*ISNUMBER($C$10:$G$10)*ISNUMBER(C82:G82)) +
   SUMPRODUCT(($H$9:$Z$9="CO6")*ISNUMBER($H$10:$Z$10)*ISNUMBER(H82:Z82)) = 0,
   "",
   IFERROR(
     (
       IF(
         SUMPRODUCT(($C$9:$G$9="CO6")*ISNUMBER($C$10:$G$10)*ISNUMBER(C82:G82)) = 0,
         0,
         SUMPRODUCT(($C$9:$G$9="CO6")*ISNUMBER($C$10:$G$10)*ISNUMBER(C82:G82)*C82:G82) /
         SUMPRODUCT(($C$9:$G$9="CO6")*ISNUMBER($C$10:$G$10)*ISNUMBER(C82:G82)*$C$10:$G$10) * 0.15
       ) +
       IF(
         SUMPRODUCT(($H$9:$Z$9="CO6")*ISNUMBER($H$10:$Z$10)*ISNUMBER(H82:Z82)) = 0,
         0,
         SUMPRODUCT(($H$9:$Z$9="CO6")*ISNUMBER($H$10:$Z$10)*ISNUMBER(H82:Z82)*H82:Z82) /
         SUMPRODUCT(($H$9:$Z$9="CO6")*ISNUMBER($H$10:$Z$10)*ISNUMBER(H82:Z82)*$H$10:$Z$10) * 0.85
       )
     ) * 100,
     ""
   )
)</f>
        <v/>
      </c>
      <c r="AG82" s="74" t="str" cm="1">
        <f t="array" ref="AG82">IF(
   SUMPRODUCT(($C$9:$G$9="CO7")*ISNUMBER($C$10:$G$10)*ISNUMBER(C82:G82)) +
   SUMPRODUCT(($H$9:$Z$9="CO7")*ISNUMBER($H$10:$Z$10)*ISNUMBER(H82:Z82)) = 0,
   "",
   IFERROR(
     (
       IF(
         SUMPRODUCT(($C$9:$G$9="CO7")*ISNUMBER($C$10:$G$10)*ISNUMBER(C82:G82)) = 0,
         0,
         SUMPRODUCT(($C$9:$G$9="CO7")*ISNUMBER($C$10:$G$10)*ISNUMBER(C82:G82)*C82:G82) /
         SUMPRODUCT(($C$9:$G$9="CO7")*ISNUMBER($C$10:$G$10)*ISNUMBER(C82:G82)*$C$10:$G$10) * 0.15
       ) +
       IF(
         SUMPRODUCT(($H$9:$Z$9="CO7")*ISNUMBER($H$10:$Z$10)*ISNUMBER(H82:Z82)) = 0,
         0,
         SUMPRODUCT(($H$9:$Z$9="CO7")*ISNUMBER($H$10:$Z$10)*ISNUMBER(H82:Z82)*H82:Z82) /
         SUMPRODUCT(($H$9:$Z$9="CO7")*ISNUMBER($H$10:$Z$10)*ISNUMBER(H82:Z82)*$H$10:$Z$10) * 0.85
       )
     ) * 100,
     ""
   )
)</f>
        <v/>
      </c>
      <c r="AH82" s="75" t="str" cm="1">
        <f t="array" ref="AH82">IF(
   SUMPRODUCT(($C$9:$G$9="CO8")*ISNUMBER($C$10:$G$10)*ISNUMBER(C82:G82)) +
   SUMPRODUCT(($H$9:$Z$9="CO8")*ISNUMBER($H$10:$Z$10)*ISNUMBER(H82:Z82)) = 0,
   "",
   IFERROR(
     (
       IF(
         SUMPRODUCT(($C$9:$G$9="CO8")*ISNUMBER($C$10:$G$10)*ISNUMBER(C82:G82)) = 0,
         0,
         SUMPRODUCT(($C$9:$G$9="CO8")*ISNUMBER($C$10:$G$10)*ISNUMBER(C82:G82)*C82:G82) /
         SUMPRODUCT(($C$9:$G$9="CO8")*ISNUMBER($C$10:$G$10)*ISNUMBER(C82:G82)*$C$10:$G$10) * 0.15
       ) +
       IF(
         SUMPRODUCT(($H$9:$Z$9="CO8")*ISNUMBER($H$10:$Z$10)*ISNUMBER(H82:Z82)) = 0,
         0,
         SUMPRODUCT(($H$9:$Z$9="CO8")*ISNUMBER($H$10:$Z$10)*ISNUMBER(H82:Z82)*H82:Z82) /
         SUMPRODUCT(($H$9:$Z$9="CO8")*ISNUMBER($H$10:$Z$10)*ISNUMBER(H82:Z82)*$H$10:$Z$10) * 0.85
       )
     ) * 100,
     ""
   )
)</f>
        <v/>
      </c>
      <c r="AI82" s="74" t="str">
        <f t="shared" si="14"/>
        <v>S</v>
      </c>
      <c r="AJ82" s="74" t="str">
        <f t="shared" si="15"/>
        <v>D</v>
      </c>
      <c r="AK82" s="74" t="str">
        <f t="shared" si="16"/>
        <v>D</v>
      </c>
      <c r="AL82" s="74" t="str">
        <f t="shared" si="13"/>
        <v>P</v>
      </c>
      <c r="AM82" s="74" t="str">
        <f t="shared" si="13"/>
        <v/>
      </c>
      <c r="AN82" s="74" t="str">
        <f t="shared" si="13"/>
        <v/>
      </c>
      <c r="AO82" s="74" t="str">
        <f t="shared" si="13"/>
        <v/>
      </c>
      <c r="AP82" s="74" t="str">
        <f t="shared" si="13"/>
        <v/>
      </c>
    </row>
    <row r="83" spans="1:42" x14ac:dyDescent="0.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AA83" s="64" t="str" cm="1">
        <f t="array" ref="AA83">IF(
   SUMPRODUCT(($C$9:$G$9="CO1")*ISNUMBER($C$10:$G$10)*ISNUMBER(C83:G83)) +
   SUMPRODUCT(($H$9:$Z$9="CO1")*ISNUMBER($H$10:$Z$10)*ISNUMBER(H83:Z83)) = 0,
   "",
   IFERROR(
     (
       IF(
         SUMPRODUCT(($C$9:$G$9="CO1")*ISNUMBER($C$10:$G$10)*ISNUMBER(C83:G83)) = 0,
         0,
         SUMPRODUCT(($C$9:$G$9="CO1")*ISNUMBER($C$10:$G$10)*ISNUMBER(C83:G83)*C83:G83) /
         SUMPRODUCT(($C$9:$G$9="CO1")*ISNUMBER($C$10:$G$10)*ISNUMBER(C83:G83)*$C$10:$G$10) * 0.15
       ) +
       IF(
         SUMPRODUCT(($H$9:$Z$9="CO1")*ISNUMBER($H$10:$Z$10)*ISNUMBER(H83:Z83)) = 0,
         0,
         SUMPRODUCT(($H$9:$Z$9="CO1")*ISNUMBER($H$10:$Z$10)*ISNUMBER(H83:Z83)*H83:Z83) /
         SUMPRODUCT(($H$9:$Z$9="CO1")*ISNUMBER($H$10:$Z$10)*ISNUMBER(H83:Z83)*$H$10:$Z$10) * 0.85
       )
     ) * 100,
     ""
   )
)</f>
        <v/>
      </c>
      <c r="AB83" s="64" t="str" cm="1">
        <f t="array" ref="AB83">IF(
   SUMPRODUCT(($C$9:$G$9="CO2")*ISNUMBER($C$10:$G$10)*ISNUMBER(C83:G83)) +
   SUMPRODUCT(($H$9:$Z$9="CO2")*ISNUMBER($H$10:$Z$10)*ISNUMBER(H83:Z83)) = 0,
   "",
   IFERROR(
     (
       IF(
         SUMPRODUCT(($C$9:$G$9="CO2")*ISNUMBER($C$10:$G$10)*ISNUMBER(C83:G83)) = 0,
         0,
         SUMPRODUCT(($C$9:$G$9="CO2")*ISNUMBER($C$10:$G$10)*ISNUMBER(C83:G83)*C83:G83) /
         SUMPRODUCT(($C$9:$G$9="CO2")*ISNUMBER($C$10:$G$10)*ISNUMBER(C83:G83)*$C$10:$G$10) * 0.15
       ) +
       IF(
         SUMPRODUCT(($H$9:$Z$9="CO2")*ISNUMBER($H$10:$Z$10)*ISNUMBER(H83:Z83)) = 0,
         0,
         SUMPRODUCT(($H$9:$Z$9="CO2")*ISNUMBER($H$10:$Z$10)*ISNUMBER(H83:Z83)*H83:Z83) /
         SUMPRODUCT(($H$9:$Z$9="CO2")*ISNUMBER($H$10:$Z$10)*ISNUMBER(H83:Z83)*$H$10:$Z$10) * 0.85
       )
     ) * 100,
     ""
   )
)</f>
        <v/>
      </c>
      <c r="AC83" s="64" t="str" cm="1">
        <f t="array" ref="AC83">IF(
   SUMPRODUCT(($C$9:$G$9="CO3")*ISNUMBER($C$10:$G$10)*ISNUMBER(C83:G83)) +
   SUMPRODUCT(($H$9:$Z$9="CO3")*ISNUMBER($H$10:$Z$10)*ISNUMBER(H83:Z83)) = 0,
   "",
   IFERROR(
     (
       IF(
         SUMPRODUCT(($C$9:$G$9="CO3")*ISNUMBER($C$10:$G$10)*ISNUMBER(C83:G83)) = 0,
         0,
         SUMPRODUCT(($C$9:$G$9="CO3")*ISNUMBER($C$10:$G$10)*ISNUMBER(C83:G83)*C83:G83) /
         SUMPRODUCT(($C$9:$G$9="CO3")*ISNUMBER($C$10:$G$10)*ISNUMBER(C83:G83)*$C$10:$G$10) * 0.15
       ) +
       IF(
         SUMPRODUCT(($H$9:$Z$9="CO3")*ISNUMBER($H$10:$Z$10)*ISNUMBER(H83:Z83)) = 0,
         0,
         SUMPRODUCT(($H$9:$Z$9="CO3")*ISNUMBER($H$10:$Z$10)*ISNUMBER(H83:Z83)*H83:Z83) /
         SUMPRODUCT(($H$9:$Z$9="CO3")*ISNUMBER($H$10:$Z$10)*ISNUMBER(H83:Z83)*$H$10:$Z$10) * 0.85
       )
     ) * 100,
     ""
   )
)</f>
        <v/>
      </c>
      <c r="AD83" s="64" t="str" cm="1">
        <f t="array" ref="AD83">IF(
   SUMPRODUCT(($C$9:$G$9="CO4")*ISNUMBER($C$10:$G$10)*ISNUMBER(C83:G83)) +
   SUMPRODUCT(($H$9:$Z$9="CO4")*ISNUMBER($H$10:$Z$10)*ISNUMBER(H83:Z83)) = 0,
   "",
   IFERROR(
     (
       IF(
         SUMPRODUCT(($C$9:$G$9="CO4")*ISNUMBER($C$10:$G$10)*ISNUMBER(C83:G83)) = 0,
         0,
         SUMPRODUCT(($C$9:$G$9="CO4")*ISNUMBER($C$10:$G$10)*ISNUMBER(C83:G83)*C83:G83) /
         SUMPRODUCT(($C$9:$G$9="CO4")*ISNUMBER($C$10:$G$10)*ISNUMBER(C83:G83)*$C$10:$G$10) * 0.15
       ) +
       IF(
         SUMPRODUCT(($H$9:$Z$9="CO4")*ISNUMBER($H$10:$Z$10)*ISNUMBER(H83:Z83)) = 0,
         0,
         SUMPRODUCT(($H$9:$Z$9="CO4")*ISNUMBER($H$10:$Z$10)*ISNUMBER(H83:Z83)*H83:Z83) /
         SUMPRODUCT(($H$9:$Z$9="CO4")*ISNUMBER($H$10:$Z$10)*ISNUMBER(H83:Z83)*$H$10:$Z$10) * 0.85
       )
     ) * 100,
     ""
   )
)</f>
        <v/>
      </c>
      <c r="AE83" s="64" t="str" cm="1">
        <f t="array" ref="AE83">IF(
   SUMPRODUCT(($C$9:$G$9="CO5")*ISNUMBER($C$10:$G$10)*ISNUMBER(C83:G83)) +
   SUMPRODUCT(($H$9:$Z$9="CO5")*ISNUMBER($H$10:$Z$10)*ISNUMBER(H83:Z83)) = 0,
   "",
   IFERROR(
     (
       IF(
         SUMPRODUCT(($C$9:$G$9="CO5")*ISNUMBER($C$10:$G$10)*ISNUMBER(C83:G83)) = 0,
         0,
         SUMPRODUCT(($C$9:$G$9="CO5")*ISNUMBER($C$10:$G$10)*ISNUMBER(C83:G83)*C83:G83) /
         SUMPRODUCT(($C$9:$G$9="CO5")*ISNUMBER($C$10:$G$10)*ISNUMBER(C83:G83)*$C$10:$G$10) * 0.15
       ) +
       IF(
         SUMPRODUCT(($H$9:$Z$9="CO5")*ISNUMBER($H$10:$Z$10)*ISNUMBER(H83:Z83)) = 0,
         0,
         SUMPRODUCT(($H$9:$Z$9="CO5")*ISNUMBER($H$10:$Z$10)*ISNUMBER(H83:Z83)*H83:Z83) /
         SUMPRODUCT(($H$9:$Z$9="CO5")*ISNUMBER($H$10:$Z$10)*ISNUMBER(H83:Z83)*$H$10:$Z$10) * 0.85
       )
     ) * 100,
     ""
   )
)</f>
        <v/>
      </c>
      <c r="AF83" s="64" t="str" cm="1">
        <f t="array" ref="AF83">IF(
   SUMPRODUCT(($C$9:$G$9="CO6")*ISNUMBER($C$10:$G$10)*ISNUMBER(C83:G83)) +
   SUMPRODUCT(($H$9:$Z$9="CO6")*ISNUMBER($H$10:$Z$10)*ISNUMBER(H83:Z83)) = 0,
   "",
   IFERROR(
     (
       IF(
         SUMPRODUCT(($C$9:$G$9="CO6")*ISNUMBER($C$10:$G$10)*ISNUMBER(C83:G83)) = 0,
         0,
         SUMPRODUCT(($C$9:$G$9="CO6")*ISNUMBER($C$10:$G$10)*ISNUMBER(C83:G83)*C83:G83) /
         SUMPRODUCT(($C$9:$G$9="CO6")*ISNUMBER($C$10:$G$10)*ISNUMBER(C83:G83)*$C$10:$G$10) * 0.15
       ) +
       IF(
         SUMPRODUCT(($H$9:$Z$9="CO6")*ISNUMBER($H$10:$Z$10)*ISNUMBER(H83:Z83)) = 0,
         0,
         SUMPRODUCT(($H$9:$Z$9="CO6")*ISNUMBER($H$10:$Z$10)*ISNUMBER(H83:Z83)*H83:Z83) /
         SUMPRODUCT(($H$9:$Z$9="CO6")*ISNUMBER($H$10:$Z$10)*ISNUMBER(H83:Z83)*$H$10:$Z$10) * 0.85
       )
     ) * 100,
     ""
   )
)</f>
        <v/>
      </c>
      <c r="AG83" s="64" t="str" cm="1">
        <f t="array" ref="AG83">IF(
   SUMPRODUCT(($C$9:$G$9="CO7")*ISNUMBER($C$10:$G$10)*ISNUMBER(C83:G83)) +
   SUMPRODUCT(($H$9:$Z$9="CO7")*ISNUMBER($H$10:$Z$10)*ISNUMBER(H83:Z83)) = 0,
   "",
   IFERROR(
     (
       IF(
         SUMPRODUCT(($C$9:$G$9="CO7")*ISNUMBER($C$10:$G$10)*ISNUMBER(C83:G83)) = 0,
         0,
         SUMPRODUCT(($C$9:$G$9="CO7")*ISNUMBER($C$10:$G$10)*ISNUMBER(C83:G83)*C83:G83) /
         SUMPRODUCT(($C$9:$G$9="CO7")*ISNUMBER($C$10:$G$10)*ISNUMBER(C83:G83)*$C$10:$G$10) * 0.15
       ) +
       IF(
         SUMPRODUCT(($H$9:$Z$9="CO7")*ISNUMBER($H$10:$Z$10)*ISNUMBER(H83:Z83)) = 0,
         0,
         SUMPRODUCT(($H$9:$Z$9="CO7")*ISNUMBER($H$10:$Z$10)*ISNUMBER(H83:Z83)*H83:Z83) /
         SUMPRODUCT(($H$9:$Z$9="CO7")*ISNUMBER($H$10:$Z$10)*ISNUMBER(H83:Z83)*$H$10:$Z$10) * 0.85
       )
     ) * 100,
     ""
   )
)</f>
        <v/>
      </c>
      <c r="AH83" s="65" t="str" cm="1">
        <f t="array" ref="AH83">IF(
   SUMPRODUCT(($C$9:$G$9="CO8")*ISNUMBER($C$10:$G$10)*ISNUMBER(C83:G83)) +
   SUMPRODUCT(($H$9:$Z$9="CO8")*ISNUMBER($H$10:$Z$10)*ISNUMBER(H83:Z83)) = 0,
   "",
   IFERROR(
     (
       IF(
         SUMPRODUCT(($C$9:$G$9="CO8")*ISNUMBER($C$10:$G$10)*ISNUMBER(C83:G83)) = 0,
         0,
         SUMPRODUCT(($C$9:$G$9="CO8")*ISNUMBER($C$10:$G$10)*ISNUMBER(C83:G83)*C83:G83) /
         SUMPRODUCT(($C$9:$G$9="CO8")*ISNUMBER($C$10:$G$10)*ISNUMBER(C83:G83)*$C$10:$G$10) * 0.15
       ) +
       IF(
         SUMPRODUCT(($H$9:$Z$9="CO8")*ISNUMBER($H$10:$Z$10)*ISNUMBER(H83:Z83)) = 0,
         0,
         SUMPRODUCT(($H$9:$Z$9="CO8")*ISNUMBER($H$10:$Z$10)*ISNUMBER(H83:Z83)*H83:Z83) /
         SUMPRODUCT(($H$9:$Z$9="CO8")*ISNUMBER($H$10:$Z$10)*ISNUMBER(H83:Z83)*$H$10:$Z$10) * 0.85
       )
     ) * 100,
     ""
   )
)</f>
        <v/>
      </c>
      <c r="AI83" s="64" t="str">
        <f t="shared" si="14"/>
        <v/>
      </c>
      <c r="AJ83" s="64" t="str">
        <f t="shared" si="15"/>
        <v/>
      </c>
      <c r="AK83" s="64" t="str">
        <f t="shared" si="16"/>
        <v/>
      </c>
      <c r="AL83" s="64" t="str">
        <f t="shared" si="13"/>
        <v/>
      </c>
      <c r="AM83" s="64" t="str">
        <f t="shared" si="13"/>
        <v/>
      </c>
      <c r="AN83" s="64" t="str">
        <f t="shared" si="13"/>
        <v/>
      </c>
      <c r="AO83" s="64" t="str">
        <f t="shared" si="13"/>
        <v/>
      </c>
      <c r="AP83" s="64" t="str">
        <f t="shared" si="13"/>
        <v/>
      </c>
    </row>
    <row r="84" spans="1:42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" t="str" cm="1">
        <f t="array" ref="AA84">IF(
   SUMPRODUCT(($C$9:$G$9="CO1")*ISNUMBER($C$10:$G$10)*ISNUMBER(C84:G84)) +
   SUMPRODUCT(($H$9:$Z$9="CO1")*ISNUMBER($H$10:$Z$10)*ISNUMBER(H84:Z84)) = 0,
   "",
   IFERROR(
     (
       IF(
         SUMPRODUCT(($C$9:$G$9="CO1")*ISNUMBER($C$10:$G$10)*ISNUMBER(C84:G84)) = 0,
         0,
         SUMPRODUCT(($C$9:$G$9="CO1")*ISNUMBER($C$10:$G$10)*ISNUMBER(C84:G84)*C84:G84) /
         SUMPRODUCT(($C$9:$G$9="CO1")*ISNUMBER($C$10:$G$10)*ISNUMBER(C84:G84)*$C$10:$G$10) * 0.15
       ) +
       IF(
         SUMPRODUCT(($H$9:$Z$9="CO1")*ISNUMBER($H$10:$Z$10)*ISNUMBER(H84:Z84)) = 0,
         0,
         SUMPRODUCT(($H$9:$Z$9="CO1")*ISNUMBER($H$10:$Z$10)*ISNUMBER(H84:Z84)*H84:Z84) /
         SUMPRODUCT(($H$9:$Z$9="CO1")*ISNUMBER($H$10:$Z$10)*ISNUMBER(H84:Z84)*$H$10:$Z$10) * 0.85
       )
     ) * 100,
     ""
   )
)</f>
        <v/>
      </c>
      <c r="AB84" s="1" t="str" cm="1">
        <f t="array" ref="AB84">IF(
   SUMPRODUCT(($C$9:$G$9="CO2")*ISNUMBER($C$10:$G$10)*ISNUMBER(C84:G84)) +
   SUMPRODUCT(($H$9:$Z$9="CO2")*ISNUMBER($H$10:$Z$10)*ISNUMBER(H84:Z84)) = 0,
   "",
   IFERROR(
     (
       IF(
         SUMPRODUCT(($C$9:$G$9="CO2")*ISNUMBER($C$10:$G$10)*ISNUMBER(C84:G84)) = 0,
         0,
         SUMPRODUCT(($C$9:$G$9="CO2")*ISNUMBER($C$10:$G$10)*ISNUMBER(C84:G84)*C84:G84) /
         SUMPRODUCT(($C$9:$G$9="CO2")*ISNUMBER($C$10:$G$10)*ISNUMBER(C84:G84)*$C$10:$G$10) * 0.15
       ) +
       IF(
         SUMPRODUCT(($H$9:$Z$9="CO2")*ISNUMBER($H$10:$Z$10)*ISNUMBER(H84:Z84)) = 0,
         0,
         SUMPRODUCT(($H$9:$Z$9="CO2")*ISNUMBER($H$10:$Z$10)*ISNUMBER(H84:Z84)*H84:Z84) /
         SUMPRODUCT(($H$9:$Z$9="CO2")*ISNUMBER($H$10:$Z$10)*ISNUMBER(H84:Z84)*$H$10:$Z$10) * 0.85
       )
     ) * 100,
     ""
   )
)</f>
        <v/>
      </c>
      <c r="AC84" s="1" t="str" cm="1">
        <f t="array" ref="AC84">IF(
   SUMPRODUCT(($C$9:$G$9="CO3")*ISNUMBER($C$10:$G$10)*ISNUMBER(C84:G84)) +
   SUMPRODUCT(($H$9:$Z$9="CO3")*ISNUMBER($H$10:$Z$10)*ISNUMBER(H84:Z84)) = 0,
   "",
   IFERROR(
     (
       IF(
         SUMPRODUCT(($C$9:$G$9="CO3")*ISNUMBER($C$10:$G$10)*ISNUMBER(C84:G84)) = 0,
         0,
         SUMPRODUCT(($C$9:$G$9="CO3")*ISNUMBER($C$10:$G$10)*ISNUMBER(C84:G84)*C84:G84) /
         SUMPRODUCT(($C$9:$G$9="CO3")*ISNUMBER($C$10:$G$10)*ISNUMBER(C84:G84)*$C$10:$G$10) * 0.15
       ) +
       IF(
         SUMPRODUCT(($H$9:$Z$9="CO3")*ISNUMBER($H$10:$Z$10)*ISNUMBER(H84:Z84)) = 0,
         0,
         SUMPRODUCT(($H$9:$Z$9="CO3")*ISNUMBER($H$10:$Z$10)*ISNUMBER(H84:Z84)*H84:Z84) /
         SUMPRODUCT(($H$9:$Z$9="CO3")*ISNUMBER($H$10:$Z$10)*ISNUMBER(H84:Z84)*$H$10:$Z$10) * 0.85
       )
     ) * 100,
     ""
   )
)</f>
        <v/>
      </c>
      <c r="AD84" s="1" t="str" cm="1">
        <f t="array" ref="AD84">IF(
   SUMPRODUCT(($C$9:$G$9="CO4")*ISNUMBER($C$10:$G$10)*ISNUMBER(C84:G84)) +
   SUMPRODUCT(($H$9:$Z$9="CO4")*ISNUMBER($H$10:$Z$10)*ISNUMBER(H84:Z84)) = 0,
   "",
   IFERROR(
     (
       IF(
         SUMPRODUCT(($C$9:$G$9="CO4")*ISNUMBER($C$10:$G$10)*ISNUMBER(C84:G84)) = 0,
         0,
         SUMPRODUCT(($C$9:$G$9="CO4")*ISNUMBER($C$10:$G$10)*ISNUMBER(C84:G84)*C84:G84) /
         SUMPRODUCT(($C$9:$G$9="CO4")*ISNUMBER($C$10:$G$10)*ISNUMBER(C84:G84)*$C$10:$G$10) * 0.15
       ) +
       IF(
         SUMPRODUCT(($H$9:$Z$9="CO4")*ISNUMBER($H$10:$Z$10)*ISNUMBER(H84:Z84)) = 0,
         0,
         SUMPRODUCT(($H$9:$Z$9="CO4")*ISNUMBER($H$10:$Z$10)*ISNUMBER(H84:Z84)*H84:Z84) /
         SUMPRODUCT(($H$9:$Z$9="CO4")*ISNUMBER($H$10:$Z$10)*ISNUMBER(H84:Z84)*$H$10:$Z$10) * 0.85
       )
     ) * 100,
     ""
   )
)</f>
        <v/>
      </c>
      <c r="AE84" s="1" t="str" cm="1">
        <f t="array" ref="AE84">IF(
   SUMPRODUCT(($C$9:$G$9="CO5")*ISNUMBER($C$10:$G$10)*ISNUMBER(C84:G84)) +
   SUMPRODUCT(($H$9:$Z$9="CO5")*ISNUMBER($H$10:$Z$10)*ISNUMBER(H84:Z84)) = 0,
   "",
   IFERROR(
     (
       IF(
         SUMPRODUCT(($C$9:$G$9="CO5")*ISNUMBER($C$10:$G$10)*ISNUMBER(C84:G84)) = 0,
         0,
         SUMPRODUCT(($C$9:$G$9="CO5")*ISNUMBER($C$10:$G$10)*ISNUMBER(C84:G84)*C84:G84) /
         SUMPRODUCT(($C$9:$G$9="CO5")*ISNUMBER($C$10:$G$10)*ISNUMBER(C84:G84)*$C$10:$G$10) * 0.15
       ) +
       IF(
         SUMPRODUCT(($H$9:$Z$9="CO5")*ISNUMBER($H$10:$Z$10)*ISNUMBER(H84:Z84)) = 0,
         0,
         SUMPRODUCT(($H$9:$Z$9="CO5")*ISNUMBER($H$10:$Z$10)*ISNUMBER(H84:Z84)*H84:Z84) /
         SUMPRODUCT(($H$9:$Z$9="CO5")*ISNUMBER($H$10:$Z$10)*ISNUMBER(H84:Z84)*$H$10:$Z$10) * 0.85
       )
     ) * 100,
     ""
   )
)</f>
        <v/>
      </c>
      <c r="AF84" s="1" t="str" cm="1">
        <f t="array" ref="AF84">IF(
   SUMPRODUCT(($C$9:$G$9="CO6")*ISNUMBER($C$10:$G$10)*ISNUMBER(C84:G84)) +
   SUMPRODUCT(($H$9:$Z$9="CO6")*ISNUMBER($H$10:$Z$10)*ISNUMBER(H84:Z84)) = 0,
   "",
   IFERROR(
     (
       IF(
         SUMPRODUCT(($C$9:$G$9="CO6")*ISNUMBER($C$10:$G$10)*ISNUMBER(C84:G84)) = 0,
         0,
         SUMPRODUCT(($C$9:$G$9="CO6")*ISNUMBER($C$10:$G$10)*ISNUMBER(C84:G84)*C84:G84) /
         SUMPRODUCT(($C$9:$G$9="CO6")*ISNUMBER($C$10:$G$10)*ISNUMBER(C84:G84)*$C$10:$G$10) * 0.15
       ) +
       IF(
         SUMPRODUCT(($H$9:$Z$9="CO6")*ISNUMBER($H$10:$Z$10)*ISNUMBER(H84:Z84)) = 0,
         0,
         SUMPRODUCT(($H$9:$Z$9="CO6")*ISNUMBER($H$10:$Z$10)*ISNUMBER(H84:Z84)*H84:Z84) /
         SUMPRODUCT(($H$9:$Z$9="CO6")*ISNUMBER($H$10:$Z$10)*ISNUMBER(H84:Z84)*$H$10:$Z$10) * 0.85
       )
     ) * 100,
     ""
   )
)</f>
        <v/>
      </c>
      <c r="AG84" s="1" t="str" cm="1">
        <f t="array" ref="AG84">IF(
   SUMPRODUCT(($C$9:$G$9="CO7")*ISNUMBER($C$10:$G$10)*ISNUMBER(C84:G84)) +
   SUMPRODUCT(($H$9:$Z$9="CO7")*ISNUMBER($H$10:$Z$10)*ISNUMBER(H84:Z84)) = 0,
   "",
   IFERROR(
     (
       IF(
         SUMPRODUCT(($C$9:$G$9="CO7")*ISNUMBER($C$10:$G$10)*ISNUMBER(C84:G84)) = 0,
         0,
         SUMPRODUCT(($C$9:$G$9="CO7")*ISNUMBER($C$10:$G$10)*ISNUMBER(C84:G84)*C84:G84) /
         SUMPRODUCT(($C$9:$G$9="CO7")*ISNUMBER($C$10:$G$10)*ISNUMBER(C84:G84)*$C$10:$G$10) * 0.15
       ) +
       IF(
         SUMPRODUCT(($H$9:$Z$9="CO7")*ISNUMBER($H$10:$Z$10)*ISNUMBER(H84:Z84)) = 0,
         0,
         SUMPRODUCT(($H$9:$Z$9="CO7")*ISNUMBER($H$10:$Z$10)*ISNUMBER(H84:Z84)*H84:Z84) /
         SUMPRODUCT(($H$9:$Z$9="CO7")*ISNUMBER($H$10:$Z$10)*ISNUMBER(H84:Z84)*$H$10:$Z$10) * 0.85
       )
     ) * 100,
     ""
   )
)</f>
        <v/>
      </c>
      <c r="AH84" s="3" t="str" cm="1">
        <f t="array" ref="AH84">IF(
   SUMPRODUCT(($C$9:$G$9="CO8")*ISNUMBER($C$10:$G$10)*ISNUMBER(C84:G84)) +
   SUMPRODUCT(($H$9:$Z$9="CO8")*ISNUMBER($H$10:$Z$10)*ISNUMBER(H84:Z84)) = 0,
   "",
   IFERROR(
     (
       IF(
         SUMPRODUCT(($C$9:$G$9="CO8")*ISNUMBER($C$10:$G$10)*ISNUMBER(C84:G84)) = 0,
         0,
         SUMPRODUCT(($C$9:$G$9="CO8")*ISNUMBER($C$10:$G$10)*ISNUMBER(C84:G84)*C84:G84) /
         SUMPRODUCT(($C$9:$G$9="CO8")*ISNUMBER($C$10:$G$10)*ISNUMBER(C84:G84)*$C$10:$G$10) * 0.15
       ) +
       IF(
         SUMPRODUCT(($H$9:$Z$9="CO8")*ISNUMBER($H$10:$Z$10)*ISNUMBER(H84:Z84)) = 0,
         0,
         SUMPRODUCT(($H$9:$Z$9="CO8")*ISNUMBER($H$10:$Z$10)*ISNUMBER(H84:Z84)*H84:Z84) /
         SUMPRODUCT(($H$9:$Z$9="CO8")*ISNUMBER($H$10:$Z$10)*ISNUMBER(H84:Z84)*$H$10:$Z$10) * 0.85
       )
     ) * 100,
     ""
   )
)</f>
        <v/>
      </c>
      <c r="AI84" s="1" t="str">
        <f t="shared" si="14"/>
        <v/>
      </c>
      <c r="AJ84" s="1" t="str">
        <f t="shared" si="15"/>
        <v/>
      </c>
      <c r="AK84" s="1" t="str">
        <f t="shared" si="16"/>
        <v/>
      </c>
      <c r="AL84" s="1" t="str">
        <f t="shared" si="13"/>
        <v/>
      </c>
      <c r="AM84" s="1" t="str">
        <f t="shared" si="13"/>
        <v/>
      </c>
      <c r="AN84" s="1" t="str">
        <f t="shared" si="13"/>
        <v/>
      </c>
      <c r="AO84" s="1" t="str">
        <f t="shared" si="13"/>
        <v/>
      </c>
      <c r="AP84" s="1" t="str">
        <f t="shared" si="13"/>
        <v/>
      </c>
    </row>
    <row r="85" spans="1:42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" t="str" cm="1">
        <f t="array" ref="AA85">IF(
   SUMPRODUCT(($C$9:$G$9="CO1")*ISNUMBER($C$10:$G$10)*ISNUMBER(C85:G85)) +
   SUMPRODUCT(($H$9:$Z$9="CO1")*ISNUMBER($H$10:$Z$10)*ISNUMBER(H85:Z85)) = 0,
   "",
   IFERROR(
     (
       IF(
         SUMPRODUCT(($C$9:$G$9="CO1")*ISNUMBER($C$10:$G$10)*ISNUMBER(C85:G85)) = 0,
         0,
         SUMPRODUCT(($C$9:$G$9="CO1")*ISNUMBER($C$10:$G$10)*ISNUMBER(C85:G85)*C85:G85) /
         SUMPRODUCT(($C$9:$G$9="CO1")*ISNUMBER($C$10:$G$10)*ISNUMBER(C85:G85)*$C$10:$G$10) * 0.15
       ) +
       IF(
         SUMPRODUCT(($H$9:$Z$9="CO1")*ISNUMBER($H$10:$Z$10)*ISNUMBER(H85:Z85)) = 0,
         0,
         SUMPRODUCT(($H$9:$Z$9="CO1")*ISNUMBER($H$10:$Z$10)*ISNUMBER(H85:Z85)*H85:Z85) /
         SUMPRODUCT(($H$9:$Z$9="CO1")*ISNUMBER($H$10:$Z$10)*ISNUMBER(H85:Z85)*$H$10:$Z$10) * 0.85
       )
     ) * 100,
     ""
   )
)</f>
        <v/>
      </c>
      <c r="AB85" s="1" t="str" cm="1">
        <f t="array" ref="AB85">IF(
   SUMPRODUCT(($C$9:$G$9="CO2")*ISNUMBER($C$10:$G$10)*ISNUMBER(C85:G85)) +
   SUMPRODUCT(($H$9:$Z$9="CO2")*ISNUMBER($H$10:$Z$10)*ISNUMBER(H85:Z85)) = 0,
   "",
   IFERROR(
     (
       IF(
         SUMPRODUCT(($C$9:$G$9="CO2")*ISNUMBER($C$10:$G$10)*ISNUMBER(C85:G85)) = 0,
         0,
         SUMPRODUCT(($C$9:$G$9="CO2")*ISNUMBER($C$10:$G$10)*ISNUMBER(C85:G85)*C85:G85) /
         SUMPRODUCT(($C$9:$G$9="CO2")*ISNUMBER($C$10:$G$10)*ISNUMBER(C85:G85)*$C$10:$G$10) * 0.15
       ) +
       IF(
         SUMPRODUCT(($H$9:$Z$9="CO2")*ISNUMBER($H$10:$Z$10)*ISNUMBER(H85:Z85)) = 0,
         0,
         SUMPRODUCT(($H$9:$Z$9="CO2")*ISNUMBER($H$10:$Z$10)*ISNUMBER(H85:Z85)*H85:Z85) /
         SUMPRODUCT(($H$9:$Z$9="CO2")*ISNUMBER($H$10:$Z$10)*ISNUMBER(H85:Z85)*$H$10:$Z$10) * 0.85
       )
     ) * 100,
     ""
   )
)</f>
        <v/>
      </c>
      <c r="AC85" s="1" t="str" cm="1">
        <f t="array" ref="AC85">IF(
   SUMPRODUCT(($C$9:$G$9="CO3")*ISNUMBER($C$10:$G$10)*ISNUMBER(C85:G85)) +
   SUMPRODUCT(($H$9:$Z$9="CO3")*ISNUMBER($H$10:$Z$10)*ISNUMBER(H85:Z85)) = 0,
   "",
   IFERROR(
     (
       IF(
         SUMPRODUCT(($C$9:$G$9="CO3")*ISNUMBER($C$10:$G$10)*ISNUMBER(C85:G85)) = 0,
         0,
         SUMPRODUCT(($C$9:$G$9="CO3")*ISNUMBER($C$10:$G$10)*ISNUMBER(C85:G85)*C85:G85) /
         SUMPRODUCT(($C$9:$G$9="CO3")*ISNUMBER($C$10:$G$10)*ISNUMBER(C85:G85)*$C$10:$G$10) * 0.15
       ) +
       IF(
         SUMPRODUCT(($H$9:$Z$9="CO3")*ISNUMBER($H$10:$Z$10)*ISNUMBER(H85:Z85)) = 0,
         0,
         SUMPRODUCT(($H$9:$Z$9="CO3")*ISNUMBER($H$10:$Z$10)*ISNUMBER(H85:Z85)*H85:Z85) /
         SUMPRODUCT(($H$9:$Z$9="CO3")*ISNUMBER($H$10:$Z$10)*ISNUMBER(H85:Z85)*$H$10:$Z$10) * 0.85
       )
     ) * 100,
     ""
   )
)</f>
        <v/>
      </c>
      <c r="AD85" s="1" t="str" cm="1">
        <f t="array" ref="AD85">IF(
   SUMPRODUCT(($C$9:$G$9="CO4")*ISNUMBER($C$10:$G$10)*ISNUMBER(C85:G85)) +
   SUMPRODUCT(($H$9:$Z$9="CO4")*ISNUMBER($H$10:$Z$10)*ISNUMBER(H85:Z85)) = 0,
   "",
   IFERROR(
     (
       IF(
         SUMPRODUCT(($C$9:$G$9="CO4")*ISNUMBER($C$10:$G$10)*ISNUMBER(C85:G85)) = 0,
         0,
         SUMPRODUCT(($C$9:$G$9="CO4")*ISNUMBER($C$10:$G$10)*ISNUMBER(C85:G85)*C85:G85) /
         SUMPRODUCT(($C$9:$G$9="CO4")*ISNUMBER($C$10:$G$10)*ISNUMBER(C85:G85)*$C$10:$G$10) * 0.15
       ) +
       IF(
         SUMPRODUCT(($H$9:$Z$9="CO4")*ISNUMBER($H$10:$Z$10)*ISNUMBER(H85:Z85)) = 0,
         0,
         SUMPRODUCT(($H$9:$Z$9="CO4")*ISNUMBER($H$10:$Z$10)*ISNUMBER(H85:Z85)*H85:Z85) /
         SUMPRODUCT(($H$9:$Z$9="CO4")*ISNUMBER($H$10:$Z$10)*ISNUMBER(H85:Z85)*$H$10:$Z$10) * 0.85
       )
     ) * 100,
     ""
   )
)</f>
        <v/>
      </c>
      <c r="AE85" s="1" t="str" cm="1">
        <f t="array" ref="AE85">IF(
   SUMPRODUCT(($C$9:$G$9="CO5")*ISNUMBER($C$10:$G$10)*ISNUMBER(C85:G85)) +
   SUMPRODUCT(($H$9:$Z$9="CO5")*ISNUMBER($H$10:$Z$10)*ISNUMBER(H85:Z85)) = 0,
   "",
   IFERROR(
     (
       IF(
         SUMPRODUCT(($C$9:$G$9="CO5")*ISNUMBER($C$10:$G$10)*ISNUMBER(C85:G85)) = 0,
         0,
         SUMPRODUCT(($C$9:$G$9="CO5")*ISNUMBER($C$10:$G$10)*ISNUMBER(C85:G85)*C85:G85) /
         SUMPRODUCT(($C$9:$G$9="CO5")*ISNUMBER($C$10:$G$10)*ISNUMBER(C85:G85)*$C$10:$G$10) * 0.15
       ) +
       IF(
         SUMPRODUCT(($H$9:$Z$9="CO5")*ISNUMBER($H$10:$Z$10)*ISNUMBER(H85:Z85)) = 0,
         0,
         SUMPRODUCT(($H$9:$Z$9="CO5")*ISNUMBER($H$10:$Z$10)*ISNUMBER(H85:Z85)*H85:Z85) /
         SUMPRODUCT(($H$9:$Z$9="CO5")*ISNUMBER($H$10:$Z$10)*ISNUMBER(H85:Z85)*$H$10:$Z$10) * 0.85
       )
     ) * 100,
     ""
   )
)</f>
        <v/>
      </c>
      <c r="AF85" s="1" t="str" cm="1">
        <f t="array" ref="AF85">IF(
   SUMPRODUCT(($C$9:$G$9="CO6")*ISNUMBER($C$10:$G$10)*ISNUMBER(C85:G85)) +
   SUMPRODUCT(($H$9:$Z$9="CO6")*ISNUMBER($H$10:$Z$10)*ISNUMBER(H85:Z85)) = 0,
   "",
   IFERROR(
     (
       IF(
         SUMPRODUCT(($C$9:$G$9="CO6")*ISNUMBER($C$10:$G$10)*ISNUMBER(C85:G85)) = 0,
         0,
         SUMPRODUCT(($C$9:$G$9="CO6")*ISNUMBER($C$10:$G$10)*ISNUMBER(C85:G85)*C85:G85) /
         SUMPRODUCT(($C$9:$G$9="CO6")*ISNUMBER($C$10:$G$10)*ISNUMBER(C85:G85)*$C$10:$G$10) * 0.15
       ) +
       IF(
         SUMPRODUCT(($H$9:$Z$9="CO6")*ISNUMBER($H$10:$Z$10)*ISNUMBER(H85:Z85)) = 0,
         0,
         SUMPRODUCT(($H$9:$Z$9="CO6")*ISNUMBER($H$10:$Z$10)*ISNUMBER(H85:Z85)*H85:Z85) /
         SUMPRODUCT(($H$9:$Z$9="CO6")*ISNUMBER($H$10:$Z$10)*ISNUMBER(H85:Z85)*$H$10:$Z$10) * 0.85
       )
     ) * 100,
     ""
   )
)</f>
        <v/>
      </c>
      <c r="AG85" s="1" t="str" cm="1">
        <f t="array" ref="AG85">IF(
   SUMPRODUCT(($C$9:$G$9="CO7")*ISNUMBER($C$10:$G$10)*ISNUMBER(C85:G85)) +
   SUMPRODUCT(($H$9:$Z$9="CO7")*ISNUMBER($H$10:$Z$10)*ISNUMBER(H85:Z85)) = 0,
   "",
   IFERROR(
     (
       IF(
         SUMPRODUCT(($C$9:$G$9="CO7")*ISNUMBER($C$10:$G$10)*ISNUMBER(C85:G85)) = 0,
         0,
         SUMPRODUCT(($C$9:$G$9="CO7")*ISNUMBER($C$10:$G$10)*ISNUMBER(C85:G85)*C85:G85) /
         SUMPRODUCT(($C$9:$G$9="CO7")*ISNUMBER($C$10:$G$10)*ISNUMBER(C85:G85)*$C$10:$G$10) * 0.15
       ) +
       IF(
         SUMPRODUCT(($H$9:$Z$9="CO7")*ISNUMBER($H$10:$Z$10)*ISNUMBER(H85:Z85)) = 0,
         0,
         SUMPRODUCT(($H$9:$Z$9="CO7")*ISNUMBER($H$10:$Z$10)*ISNUMBER(H85:Z85)*H85:Z85) /
         SUMPRODUCT(($H$9:$Z$9="CO7")*ISNUMBER($H$10:$Z$10)*ISNUMBER(H85:Z85)*$H$10:$Z$10) * 0.85
       )
     ) * 100,
     ""
   )
)</f>
        <v/>
      </c>
      <c r="AH85" s="3" t="str" cm="1">
        <f t="array" ref="AH85">IF(
   SUMPRODUCT(($C$9:$G$9="CO8")*ISNUMBER($C$10:$G$10)*ISNUMBER(C85:G85)) +
   SUMPRODUCT(($H$9:$Z$9="CO8")*ISNUMBER($H$10:$Z$10)*ISNUMBER(H85:Z85)) = 0,
   "",
   IFERROR(
     (
       IF(
         SUMPRODUCT(($C$9:$G$9="CO8")*ISNUMBER($C$10:$G$10)*ISNUMBER(C85:G85)) = 0,
         0,
         SUMPRODUCT(($C$9:$G$9="CO8")*ISNUMBER($C$10:$G$10)*ISNUMBER(C85:G85)*C85:G85) /
         SUMPRODUCT(($C$9:$G$9="CO8")*ISNUMBER($C$10:$G$10)*ISNUMBER(C85:G85)*$C$10:$G$10) * 0.15
       ) +
       IF(
         SUMPRODUCT(($H$9:$Z$9="CO8")*ISNUMBER($H$10:$Z$10)*ISNUMBER(H85:Z85)) = 0,
         0,
         SUMPRODUCT(($H$9:$Z$9="CO8")*ISNUMBER($H$10:$Z$10)*ISNUMBER(H85:Z85)*H85:Z85) /
         SUMPRODUCT(($H$9:$Z$9="CO8")*ISNUMBER($H$10:$Z$10)*ISNUMBER(H85:Z85)*$H$10:$Z$10) * 0.85
       )
     ) * 100,
     ""
   )
)</f>
        <v/>
      </c>
      <c r="AI85" s="1" t="str">
        <f t="shared" si="14"/>
        <v/>
      </c>
      <c r="AJ85" s="1" t="str">
        <f t="shared" si="15"/>
        <v/>
      </c>
      <c r="AK85" s="1" t="str">
        <f t="shared" si="16"/>
        <v/>
      </c>
      <c r="AL85" s="1" t="str">
        <f t="shared" si="13"/>
        <v/>
      </c>
      <c r="AM85" s="1" t="str">
        <f t="shared" si="13"/>
        <v/>
      </c>
      <c r="AN85" s="1" t="str">
        <f t="shared" si="13"/>
        <v/>
      </c>
      <c r="AO85" s="1" t="str">
        <f t="shared" si="13"/>
        <v/>
      </c>
      <c r="AP85" s="1" t="str">
        <f t="shared" si="13"/>
        <v/>
      </c>
    </row>
    <row r="86" spans="1:42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" t="str" cm="1">
        <f t="array" ref="AA86">IF(
   SUMPRODUCT(($C$9:$G$9="CO1")*ISNUMBER($C$10:$G$10)*ISNUMBER(C86:G86)) +
   SUMPRODUCT(($H$9:$Z$9="CO1")*ISNUMBER($H$10:$Z$10)*ISNUMBER(H86:Z86)) = 0,
   "",
   IFERROR(
     (
       IF(
         SUMPRODUCT(($C$9:$G$9="CO1")*ISNUMBER($C$10:$G$10)*ISNUMBER(C86:G86)) = 0,
         0,
         SUMPRODUCT(($C$9:$G$9="CO1")*ISNUMBER($C$10:$G$10)*ISNUMBER(C86:G86)*C86:G86) /
         SUMPRODUCT(($C$9:$G$9="CO1")*ISNUMBER($C$10:$G$10)*ISNUMBER(C86:G86)*$C$10:$G$10) * 0.15
       ) +
       IF(
         SUMPRODUCT(($H$9:$Z$9="CO1")*ISNUMBER($H$10:$Z$10)*ISNUMBER(H86:Z86)) = 0,
         0,
         SUMPRODUCT(($H$9:$Z$9="CO1")*ISNUMBER($H$10:$Z$10)*ISNUMBER(H86:Z86)*H86:Z86) /
         SUMPRODUCT(($H$9:$Z$9="CO1")*ISNUMBER($H$10:$Z$10)*ISNUMBER(H86:Z86)*$H$10:$Z$10) * 0.85
       )
     ) * 100,
     ""
   )
)</f>
        <v/>
      </c>
      <c r="AB86" s="1" t="str" cm="1">
        <f t="array" ref="AB86">IF(
   SUMPRODUCT(($C$9:$G$9="CO2")*ISNUMBER($C$10:$G$10)*ISNUMBER(C86:G86)) +
   SUMPRODUCT(($H$9:$Z$9="CO2")*ISNUMBER($H$10:$Z$10)*ISNUMBER(H86:Z86)) = 0,
   "",
   IFERROR(
     (
       IF(
         SUMPRODUCT(($C$9:$G$9="CO2")*ISNUMBER($C$10:$G$10)*ISNUMBER(C86:G86)) = 0,
         0,
         SUMPRODUCT(($C$9:$G$9="CO2")*ISNUMBER($C$10:$G$10)*ISNUMBER(C86:G86)*C86:G86) /
         SUMPRODUCT(($C$9:$G$9="CO2")*ISNUMBER($C$10:$G$10)*ISNUMBER(C86:G86)*$C$10:$G$10) * 0.15
       ) +
       IF(
         SUMPRODUCT(($H$9:$Z$9="CO2")*ISNUMBER($H$10:$Z$10)*ISNUMBER(H86:Z86)) = 0,
         0,
         SUMPRODUCT(($H$9:$Z$9="CO2")*ISNUMBER($H$10:$Z$10)*ISNUMBER(H86:Z86)*H86:Z86) /
         SUMPRODUCT(($H$9:$Z$9="CO2")*ISNUMBER($H$10:$Z$10)*ISNUMBER(H86:Z86)*$H$10:$Z$10) * 0.85
       )
     ) * 100,
     ""
   )
)</f>
        <v/>
      </c>
      <c r="AC86" s="1" t="str" cm="1">
        <f t="array" ref="AC86">IF(
   SUMPRODUCT(($C$9:$G$9="CO3")*ISNUMBER($C$10:$G$10)*ISNUMBER(C86:G86)) +
   SUMPRODUCT(($H$9:$Z$9="CO3")*ISNUMBER($H$10:$Z$10)*ISNUMBER(H86:Z86)) = 0,
   "",
   IFERROR(
     (
       IF(
         SUMPRODUCT(($C$9:$G$9="CO3")*ISNUMBER($C$10:$G$10)*ISNUMBER(C86:G86)) = 0,
         0,
         SUMPRODUCT(($C$9:$G$9="CO3")*ISNUMBER($C$10:$G$10)*ISNUMBER(C86:G86)*C86:G86) /
         SUMPRODUCT(($C$9:$G$9="CO3")*ISNUMBER($C$10:$G$10)*ISNUMBER(C86:G86)*$C$10:$G$10) * 0.15
       ) +
       IF(
         SUMPRODUCT(($H$9:$Z$9="CO3")*ISNUMBER($H$10:$Z$10)*ISNUMBER(H86:Z86)) = 0,
         0,
         SUMPRODUCT(($H$9:$Z$9="CO3")*ISNUMBER($H$10:$Z$10)*ISNUMBER(H86:Z86)*H86:Z86) /
         SUMPRODUCT(($H$9:$Z$9="CO3")*ISNUMBER($H$10:$Z$10)*ISNUMBER(H86:Z86)*$H$10:$Z$10) * 0.85
       )
     ) * 100,
     ""
   )
)</f>
        <v/>
      </c>
      <c r="AD86" s="1" t="str" cm="1">
        <f t="array" ref="AD86">IF(
   SUMPRODUCT(($C$9:$G$9="CO4")*ISNUMBER($C$10:$G$10)*ISNUMBER(C86:G86)) +
   SUMPRODUCT(($H$9:$Z$9="CO4")*ISNUMBER($H$10:$Z$10)*ISNUMBER(H86:Z86)) = 0,
   "",
   IFERROR(
     (
       IF(
         SUMPRODUCT(($C$9:$G$9="CO4")*ISNUMBER($C$10:$G$10)*ISNUMBER(C86:G86)) = 0,
         0,
         SUMPRODUCT(($C$9:$G$9="CO4")*ISNUMBER($C$10:$G$10)*ISNUMBER(C86:G86)*C86:G86) /
         SUMPRODUCT(($C$9:$G$9="CO4")*ISNUMBER($C$10:$G$10)*ISNUMBER(C86:G86)*$C$10:$G$10) * 0.15
       ) +
       IF(
         SUMPRODUCT(($H$9:$Z$9="CO4")*ISNUMBER($H$10:$Z$10)*ISNUMBER(H86:Z86)) = 0,
         0,
         SUMPRODUCT(($H$9:$Z$9="CO4")*ISNUMBER($H$10:$Z$10)*ISNUMBER(H86:Z86)*H86:Z86) /
         SUMPRODUCT(($H$9:$Z$9="CO4")*ISNUMBER($H$10:$Z$10)*ISNUMBER(H86:Z86)*$H$10:$Z$10) * 0.85
       )
     ) * 100,
     ""
   )
)</f>
        <v/>
      </c>
      <c r="AE86" s="1" t="str" cm="1">
        <f t="array" ref="AE86">IF(
   SUMPRODUCT(($C$9:$G$9="CO5")*ISNUMBER($C$10:$G$10)*ISNUMBER(C86:G86)) +
   SUMPRODUCT(($H$9:$Z$9="CO5")*ISNUMBER($H$10:$Z$10)*ISNUMBER(H86:Z86)) = 0,
   "",
   IFERROR(
     (
       IF(
         SUMPRODUCT(($C$9:$G$9="CO5")*ISNUMBER($C$10:$G$10)*ISNUMBER(C86:G86)) = 0,
         0,
         SUMPRODUCT(($C$9:$G$9="CO5")*ISNUMBER($C$10:$G$10)*ISNUMBER(C86:G86)*C86:G86) /
         SUMPRODUCT(($C$9:$G$9="CO5")*ISNUMBER($C$10:$G$10)*ISNUMBER(C86:G86)*$C$10:$G$10) * 0.15
       ) +
       IF(
         SUMPRODUCT(($H$9:$Z$9="CO5")*ISNUMBER($H$10:$Z$10)*ISNUMBER(H86:Z86)) = 0,
         0,
         SUMPRODUCT(($H$9:$Z$9="CO5")*ISNUMBER($H$10:$Z$10)*ISNUMBER(H86:Z86)*H86:Z86) /
         SUMPRODUCT(($H$9:$Z$9="CO5")*ISNUMBER($H$10:$Z$10)*ISNUMBER(H86:Z86)*$H$10:$Z$10) * 0.85
       )
     ) * 100,
     ""
   )
)</f>
        <v/>
      </c>
      <c r="AF86" s="1" t="str" cm="1">
        <f t="array" ref="AF86">IF(
   SUMPRODUCT(($C$9:$G$9="CO6")*ISNUMBER($C$10:$G$10)*ISNUMBER(C86:G86)) +
   SUMPRODUCT(($H$9:$Z$9="CO6")*ISNUMBER($H$10:$Z$10)*ISNUMBER(H86:Z86)) = 0,
   "",
   IFERROR(
     (
       IF(
         SUMPRODUCT(($C$9:$G$9="CO6")*ISNUMBER($C$10:$G$10)*ISNUMBER(C86:G86)) = 0,
         0,
         SUMPRODUCT(($C$9:$G$9="CO6")*ISNUMBER($C$10:$G$10)*ISNUMBER(C86:G86)*C86:G86) /
         SUMPRODUCT(($C$9:$G$9="CO6")*ISNUMBER($C$10:$G$10)*ISNUMBER(C86:G86)*$C$10:$G$10) * 0.15
       ) +
       IF(
         SUMPRODUCT(($H$9:$Z$9="CO6")*ISNUMBER($H$10:$Z$10)*ISNUMBER(H86:Z86)) = 0,
         0,
         SUMPRODUCT(($H$9:$Z$9="CO6")*ISNUMBER($H$10:$Z$10)*ISNUMBER(H86:Z86)*H86:Z86) /
         SUMPRODUCT(($H$9:$Z$9="CO6")*ISNUMBER($H$10:$Z$10)*ISNUMBER(H86:Z86)*$H$10:$Z$10) * 0.85
       )
     ) * 100,
     ""
   )
)</f>
        <v/>
      </c>
      <c r="AG86" s="1" t="str" cm="1">
        <f t="array" ref="AG86">IF(
   SUMPRODUCT(($C$9:$G$9="CO7")*ISNUMBER($C$10:$G$10)*ISNUMBER(C86:G86)) +
   SUMPRODUCT(($H$9:$Z$9="CO7")*ISNUMBER($H$10:$Z$10)*ISNUMBER(H86:Z86)) = 0,
   "",
   IFERROR(
     (
       IF(
         SUMPRODUCT(($C$9:$G$9="CO7")*ISNUMBER($C$10:$G$10)*ISNUMBER(C86:G86)) = 0,
         0,
         SUMPRODUCT(($C$9:$G$9="CO7")*ISNUMBER($C$10:$G$10)*ISNUMBER(C86:G86)*C86:G86) /
         SUMPRODUCT(($C$9:$G$9="CO7")*ISNUMBER($C$10:$G$10)*ISNUMBER(C86:G86)*$C$10:$G$10) * 0.15
       ) +
       IF(
         SUMPRODUCT(($H$9:$Z$9="CO7")*ISNUMBER($H$10:$Z$10)*ISNUMBER(H86:Z86)) = 0,
         0,
         SUMPRODUCT(($H$9:$Z$9="CO7")*ISNUMBER($H$10:$Z$10)*ISNUMBER(H86:Z86)*H86:Z86) /
         SUMPRODUCT(($H$9:$Z$9="CO7")*ISNUMBER($H$10:$Z$10)*ISNUMBER(H86:Z86)*$H$10:$Z$10) * 0.85
       )
     ) * 100,
     ""
   )
)</f>
        <v/>
      </c>
      <c r="AH86" s="3" t="str" cm="1">
        <f t="array" ref="AH86">IF(
   SUMPRODUCT(($C$9:$G$9="CO8")*ISNUMBER($C$10:$G$10)*ISNUMBER(C86:G86)) +
   SUMPRODUCT(($H$9:$Z$9="CO8")*ISNUMBER($H$10:$Z$10)*ISNUMBER(H86:Z86)) = 0,
   "",
   IFERROR(
     (
       IF(
         SUMPRODUCT(($C$9:$G$9="CO8")*ISNUMBER($C$10:$G$10)*ISNUMBER(C86:G86)) = 0,
         0,
         SUMPRODUCT(($C$9:$G$9="CO8")*ISNUMBER($C$10:$G$10)*ISNUMBER(C86:G86)*C86:G86) /
         SUMPRODUCT(($C$9:$G$9="CO8")*ISNUMBER($C$10:$G$10)*ISNUMBER(C86:G86)*$C$10:$G$10) * 0.15
       ) +
       IF(
         SUMPRODUCT(($H$9:$Z$9="CO8")*ISNUMBER($H$10:$Z$10)*ISNUMBER(H86:Z86)) = 0,
         0,
         SUMPRODUCT(($H$9:$Z$9="CO8")*ISNUMBER($H$10:$Z$10)*ISNUMBER(H86:Z86)*H86:Z86) /
         SUMPRODUCT(($H$9:$Z$9="CO8")*ISNUMBER($H$10:$Z$10)*ISNUMBER(H86:Z86)*$H$10:$Z$10) * 0.85
       )
     ) * 100,
     ""
   )
)</f>
        <v/>
      </c>
      <c r="AI86" s="1" t="str">
        <f t="shared" si="14"/>
        <v/>
      </c>
      <c r="AJ86" s="1" t="str">
        <f t="shared" si="15"/>
        <v/>
      </c>
      <c r="AK86" s="1" t="str">
        <f t="shared" si="16"/>
        <v/>
      </c>
      <c r="AL86" s="1" t="str">
        <f t="shared" si="13"/>
        <v/>
      </c>
      <c r="AM86" s="1" t="str">
        <f t="shared" si="13"/>
        <v/>
      </c>
      <c r="AN86" s="1" t="str">
        <f t="shared" si="13"/>
        <v/>
      </c>
      <c r="AO86" s="1" t="str">
        <f t="shared" si="13"/>
        <v/>
      </c>
      <c r="AP86" s="1" t="str">
        <f t="shared" si="13"/>
        <v/>
      </c>
    </row>
    <row r="87" spans="1:42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" t="str" cm="1">
        <f t="array" ref="AA87">IF(
   SUMPRODUCT(($C$9:$G$9="CO1")*ISNUMBER($C$10:$G$10)*ISNUMBER(C87:G87)) +
   SUMPRODUCT(($H$9:$Z$9="CO1")*ISNUMBER($H$10:$Z$10)*ISNUMBER(H87:Z87)) = 0,
   "",
   IFERROR(
     (
       IF(
         SUMPRODUCT(($C$9:$G$9="CO1")*ISNUMBER($C$10:$G$10)*ISNUMBER(C87:G87)) = 0,
         0,
         SUMPRODUCT(($C$9:$G$9="CO1")*ISNUMBER($C$10:$G$10)*ISNUMBER(C87:G87)*C87:G87) /
         SUMPRODUCT(($C$9:$G$9="CO1")*ISNUMBER($C$10:$G$10)*ISNUMBER(C87:G87)*$C$10:$G$10) * 0.15
       ) +
       IF(
         SUMPRODUCT(($H$9:$Z$9="CO1")*ISNUMBER($H$10:$Z$10)*ISNUMBER(H87:Z87)) = 0,
         0,
         SUMPRODUCT(($H$9:$Z$9="CO1")*ISNUMBER($H$10:$Z$10)*ISNUMBER(H87:Z87)*H87:Z87) /
         SUMPRODUCT(($H$9:$Z$9="CO1")*ISNUMBER($H$10:$Z$10)*ISNUMBER(H87:Z87)*$H$10:$Z$10) * 0.85
       )
     ) * 100,
     ""
   )
)</f>
        <v/>
      </c>
      <c r="AB87" s="1" t="str" cm="1">
        <f t="array" ref="AB87">IF(
   SUMPRODUCT(($C$9:$G$9="CO2")*ISNUMBER($C$10:$G$10)*ISNUMBER(C87:G87)) +
   SUMPRODUCT(($H$9:$Z$9="CO2")*ISNUMBER($H$10:$Z$10)*ISNUMBER(H87:Z87)) = 0,
   "",
   IFERROR(
     (
       IF(
         SUMPRODUCT(($C$9:$G$9="CO2")*ISNUMBER($C$10:$G$10)*ISNUMBER(C87:G87)) = 0,
         0,
         SUMPRODUCT(($C$9:$G$9="CO2")*ISNUMBER($C$10:$G$10)*ISNUMBER(C87:G87)*C87:G87) /
         SUMPRODUCT(($C$9:$G$9="CO2")*ISNUMBER($C$10:$G$10)*ISNUMBER(C87:G87)*$C$10:$G$10) * 0.15
       ) +
       IF(
         SUMPRODUCT(($H$9:$Z$9="CO2")*ISNUMBER($H$10:$Z$10)*ISNUMBER(H87:Z87)) = 0,
         0,
         SUMPRODUCT(($H$9:$Z$9="CO2")*ISNUMBER($H$10:$Z$10)*ISNUMBER(H87:Z87)*H87:Z87) /
         SUMPRODUCT(($H$9:$Z$9="CO2")*ISNUMBER($H$10:$Z$10)*ISNUMBER(H87:Z87)*$H$10:$Z$10) * 0.85
       )
     ) * 100,
     ""
   )
)</f>
        <v/>
      </c>
      <c r="AC87" s="1" t="str" cm="1">
        <f t="array" ref="AC87">IF(
   SUMPRODUCT(($C$9:$G$9="CO3")*ISNUMBER($C$10:$G$10)*ISNUMBER(C87:G87)) +
   SUMPRODUCT(($H$9:$Z$9="CO3")*ISNUMBER($H$10:$Z$10)*ISNUMBER(H87:Z87)) = 0,
   "",
   IFERROR(
     (
       IF(
         SUMPRODUCT(($C$9:$G$9="CO3")*ISNUMBER($C$10:$G$10)*ISNUMBER(C87:G87)) = 0,
         0,
         SUMPRODUCT(($C$9:$G$9="CO3")*ISNUMBER($C$10:$G$10)*ISNUMBER(C87:G87)*C87:G87) /
         SUMPRODUCT(($C$9:$G$9="CO3")*ISNUMBER($C$10:$G$10)*ISNUMBER(C87:G87)*$C$10:$G$10) * 0.15
       ) +
       IF(
         SUMPRODUCT(($H$9:$Z$9="CO3")*ISNUMBER($H$10:$Z$10)*ISNUMBER(H87:Z87)) = 0,
         0,
         SUMPRODUCT(($H$9:$Z$9="CO3")*ISNUMBER($H$10:$Z$10)*ISNUMBER(H87:Z87)*H87:Z87) /
         SUMPRODUCT(($H$9:$Z$9="CO3")*ISNUMBER($H$10:$Z$10)*ISNUMBER(H87:Z87)*$H$10:$Z$10) * 0.85
       )
     ) * 100,
     ""
   )
)</f>
        <v/>
      </c>
      <c r="AD87" s="1" t="str" cm="1">
        <f t="array" ref="AD87">IF(
   SUMPRODUCT(($C$9:$G$9="CO4")*ISNUMBER($C$10:$G$10)*ISNUMBER(C87:G87)) +
   SUMPRODUCT(($H$9:$Z$9="CO4")*ISNUMBER($H$10:$Z$10)*ISNUMBER(H87:Z87)) = 0,
   "",
   IFERROR(
     (
       IF(
         SUMPRODUCT(($C$9:$G$9="CO4")*ISNUMBER($C$10:$G$10)*ISNUMBER(C87:G87)) = 0,
         0,
         SUMPRODUCT(($C$9:$G$9="CO4")*ISNUMBER($C$10:$G$10)*ISNUMBER(C87:G87)*C87:G87) /
         SUMPRODUCT(($C$9:$G$9="CO4")*ISNUMBER($C$10:$G$10)*ISNUMBER(C87:G87)*$C$10:$G$10) * 0.15
       ) +
       IF(
         SUMPRODUCT(($H$9:$Z$9="CO4")*ISNUMBER($H$10:$Z$10)*ISNUMBER(H87:Z87)) = 0,
         0,
         SUMPRODUCT(($H$9:$Z$9="CO4")*ISNUMBER($H$10:$Z$10)*ISNUMBER(H87:Z87)*H87:Z87) /
         SUMPRODUCT(($H$9:$Z$9="CO4")*ISNUMBER($H$10:$Z$10)*ISNUMBER(H87:Z87)*$H$10:$Z$10) * 0.85
       )
     ) * 100,
     ""
   )
)</f>
        <v/>
      </c>
      <c r="AE87" s="1" t="str" cm="1">
        <f t="array" ref="AE87">IF(
   SUMPRODUCT(($C$9:$G$9="CO5")*ISNUMBER($C$10:$G$10)*ISNUMBER(C87:G87)) +
   SUMPRODUCT(($H$9:$Z$9="CO5")*ISNUMBER($H$10:$Z$10)*ISNUMBER(H87:Z87)) = 0,
   "",
   IFERROR(
     (
       IF(
         SUMPRODUCT(($C$9:$G$9="CO5")*ISNUMBER($C$10:$G$10)*ISNUMBER(C87:G87)) = 0,
         0,
         SUMPRODUCT(($C$9:$G$9="CO5")*ISNUMBER($C$10:$G$10)*ISNUMBER(C87:G87)*C87:G87) /
         SUMPRODUCT(($C$9:$G$9="CO5")*ISNUMBER($C$10:$G$10)*ISNUMBER(C87:G87)*$C$10:$G$10) * 0.15
       ) +
       IF(
         SUMPRODUCT(($H$9:$Z$9="CO5")*ISNUMBER($H$10:$Z$10)*ISNUMBER(H87:Z87)) = 0,
         0,
         SUMPRODUCT(($H$9:$Z$9="CO5")*ISNUMBER($H$10:$Z$10)*ISNUMBER(H87:Z87)*H87:Z87) /
         SUMPRODUCT(($H$9:$Z$9="CO5")*ISNUMBER($H$10:$Z$10)*ISNUMBER(H87:Z87)*$H$10:$Z$10) * 0.85
       )
     ) * 100,
     ""
   )
)</f>
        <v/>
      </c>
      <c r="AF87" s="1" t="str" cm="1">
        <f t="array" ref="AF87">IF(
   SUMPRODUCT(($C$9:$G$9="CO6")*ISNUMBER($C$10:$G$10)*ISNUMBER(C87:G87)) +
   SUMPRODUCT(($H$9:$Z$9="CO6")*ISNUMBER($H$10:$Z$10)*ISNUMBER(H87:Z87)) = 0,
   "",
   IFERROR(
     (
       IF(
         SUMPRODUCT(($C$9:$G$9="CO6")*ISNUMBER($C$10:$G$10)*ISNUMBER(C87:G87)) = 0,
         0,
         SUMPRODUCT(($C$9:$G$9="CO6")*ISNUMBER($C$10:$G$10)*ISNUMBER(C87:G87)*C87:G87) /
         SUMPRODUCT(($C$9:$G$9="CO6")*ISNUMBER($C$10:$G$10)*ISNUMBER(C87:G87)*$C$10:$G$10) * 0.15
       ) +
       IF(
         SUMPRODUCT(($H$9:$Z$9="CO6")*ISNUMBER($H$10:$Z$10)*ISNUMBER(H87:Z87)) = 0,
         0,
         SUMPRODUCT(($H$9:$Z$9="CO6")*ISNUMBER($H$10:$Z$10)*ISNUMBER(H87:Z87)*H87:Z87) /
         SUMPRODUCT(($H$9:$Z$9="CO6")*ISNUMBER($H$10:$Z$10)*ISNUMBER(H87:Z87)*$H$10:$Z$10) * 0.85
       )
     ) * 100,
     ""
   )
)</f>
        <v/>
      </c>
      <c r="AG87" s="1" t="str" cm="1">
        <f t="array" ref="AG87">IF(
   SUMPRODUCT(($C$9:$G$9="CO7")*ISNUMBER($C$10:$G$10)*ISNUMBER(C87:G87)) +
   SUMPRODUCT(($H$9:$Z$9="CO7")*ISNUMBER($H$10:$Z$10)*ISNUMBER(H87:Z87)) = 0,
   "",
   IFERROR(
     (
       IF(
         SUMPRODUCT(($C$9:$G$9="CO7")*ISNUMBER($C$10:$G$10)*ISNUMBER(C87:G87)) = 0,
         0,
         SUMPRODUCT(($C$9:$G$9="CO7")*ISNUMBER($C$10:$G$10)*ISNUMBER(C87:G87)*C87:G87) /
         SUMPRODUCT(($C$9:$G$9="CO7")*ISNUMBER($C$10:$G$10)*ISNUMBER(C87:G87)*$C$10:$G$10) * 0.15
       ) +
       IF(
         SUMPRODUCT(($H$9:$Z$9="CO7")*ISNUMBER($H$10:$Z$10)*ISNUMBER(H87:Z87)) = 0,
         0,
         SUMPRODUCT(($H$9:$Z$9="CO7")*ISNUMBER($H$10:$Z$10)*ISNUMBER(H87:Z87)*H87:Z87) /
         SUMPRODUCT(($H$9:$Z$9="CO7")*ISNUMBER($H$10:$Z$10)*ISNUMBER(H87:Z87)*$H$10:$Z$10) * 0.85
       )
     ) * 100,
     ""
   )
)</f>
        <v/>
      </c>
      <c r="AH87" s="3" t="str" cm="1">
        <f t="array" ref="AH87">IF(
   SUMPRODUCT(($C$9:$G$9="CO8")*ISNUMBER($C$10:$G$10)*ISNUMBER(C87:G87)) +
   SUMPRODUCT(($H$9:$Z$9="CO8")*ISNUMBER($H$10:$Z$10)*ISNUMBER(H87:Z87)) = 0,
   "",
   IFERROR(
     (
       IF(
         SUMPRODUCT(($C$9:$G$9="CO8")*ISNUMBER($C$10:$G$10)*ISNUMBER(C87:G87)) = 0,
         0,
         SUMPRODUCT(($C$9:$G$9="CO8")*ISNUMBER($C$10:$G$10)*ISNUMBER(C87:G87)*C87:G87) /
         SUMPRODUCT(($C$9:$G$9="CO8")*ISNUMBER($C$10:$G$10)*ISNUMBER(C87:G87)*$C$10:$G$10) * 0.15
       ) +
       IF(
         SUMPRODUCT(($H$9:$Z$9="CO8")*ISNUMBER($H$10:$Z$10)*ISNUMBER(H87:Z87)) = 0,
         0,
         SUMPRODUCT(($H$9:$Z$9="CO8")*ISNUMBER($H$10:$Z$10)*ISNUMBER(H87:Z87)*H87:Z87) /
         SUMPRODUCT(($H$9:$Z$9="CO8")*ISNUMBER($H$10:$Z$10)*ISNUMBER(H87:Z87)*$H$10:$Z$10) * 0.85
       )
     ) * 100,
     ""
   )
)</f>
        <v/>
      </c>
      <c r="AI87" s="1" t="str">
        <f t="shared" si="14"/>
        <v/>
      </c>
      <c r="AJ87" s="1" t="str">
        <f t="shared" si="15"/>
        <v/>
      </c>
      <c r="AK87" s="1" t="str">
        <f t="shared" si="16"/>
        <v/>
      </c>
      <c r="AL87" s="1" t="str">
        <f t="shared" si="13"/>
        <v/>
      </c>
      <c r="AM87" s="1" t="str">
        <f t="shared" si="13"/>
        <v/>
      </c>
      <c r="AN87" s="1" t="str">
        <f t="shared" si="13"/>
        <v/>
      </c>
      <c r="AO87" s="1" t="str">
        <f t="shared" si="13"/>
        <v/>
      </c>
      <c r="AP87" s="1" t="str">
        <f t="shared" si="13"/>
        <v/>
      </c>
    </row>
    <row r="88" spans="1:42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" t="str" cm="1">
        <f t="array" ref="AA88">IF(
   SUMPRODUCT(($C$9:$G$9="CO1")*ISNUMBER($C$10:$G$10)*ISNUMBER(C88:G88)) +
   SUMPRODUCT(($H$9:$Z$9="CO1")*ISNUMBER($H$10:$Z$10)*ISNUMBER(H88:Z88)) = 0,
   "",
   IFERROR(
     (
       IF(
         SUMPRODUCT(($C$9:$G$9="CO1")*ISNUMBER($C$10:$G$10)*ISNUMBER(C88:G88)) = 0,
         0,
         SUMPRODUCT(($C$9:$G$9="CO1")*ISNUMBER($C$10:$G$10)*ISNUMBER(C88:G88)*C88:G88) /
         SUMPRODUCT(($C$9:$G$9="CO1")*ISNUMBER($C$10:$G$10)*ISNUMBER(C88:G88)*$C$10:$G$10) * 0.15
       ) +
       IF(
         SUMPRODUCT(($H$9:$Z$9="CO1")*ISNUMBER($H$10:$Z$10)*ISNUMBER(H88:Z88)) = 0,
         0,
         SUMPRODUCT(($H$9:$Z$9="CO1")*ISNUMBER($H$10:$Z$10)*ISNUMBER(H88:Z88)*H88:Z88) /
         SUMPRODUCT(($H$9:$Z$9="CO1")*ISNUMBER($H$10:$Z$10)*ISNUMBER(H88:Z88)*$H$10:$Z$10) * 0.85
       )
     ) * 100,
     ""
   )
)</f>
        <v/>
      </c>
      <c r="AB88" s="1" t="str" cm="1">
        <f t="array" ref="AB88">IF(
   SUMPRODUCT(($C$9:$G$9="CO2")*ISNUMBER($C$10:$G$10)*ISNUMBER(C88:G88)) +
   SUMPRODUCT(($H$9:$Z$9="CO2")*ISNUMBER($H$10:$Z$10)*ISNUMBER(H88:Z88)) = 0,
   "",
   IFERROR(
     (
       IF(
         SUMPRODUCT(($C$9:$G$9="CO2")*ISNUMBER($C$10:$G$10)*ISNUMBER(C88:G88)) = 0,
         0,
         SUMPRODUCT(($C$9:$G$9="CO2")*ISNUMBER($C$10:$G$10)*ISNUMBER(C88:G88)*C88:G88) /
         SUMPRODUCT(($C$9:$G$9="CO2")*ISNUMBER($C$10:$G$10)*ISNUMBER(C88:G88)*$C$10:$G$10) * 0.15
       ) +
       IF(
         SUMPRODUCT(($H$9:$Z$9="CO2")*ISNUMBER($H$10:$Z$10)*ISNUMBER(H88:Z88)) = 0,
         0,
         SUMPRODUCT(($H$9:$Z$9="CO2")*ISNUMBER($H$10:$Z$10)*ISNUMBER(H88:Z88)*H88:Z88) /
         SUMPRODUCT(($H$9:$Z$9="CO2")*ISNUMBER($H$10:$Z$10)*ISNUMBER(H88:Z88)*$H$10:$Z$10) * 0.85
       )
     ) * 100,
     ""
   )
)</f>
        <v/>
      </c>
      <c r="AC88" s="1" t="str" cm="1">
        <f t="array" ref="AC88">IF(
   SUMPRODUCT(($C$9:$G$9="CO3")*ISNUMBER($C$10:$G$10)*ISNUMBER(C88:G88)) +
   SUMPRODUCT(($H$9:$Z$9="CO3")*ISNUMBER($H$10:$Z$10)*ISNUMBER(H88:Z88)) = 0,
   "",
   IFERROR(
     (
       IF(
         SUMPRODUCT(($C$9:$G$9="CO3")*ISNUMBER($C$10:$G$10)*ISNUMBER(C88:G88)) = 0,
         0,
         SUMPRODUCT(($C$9:$G$9="CO3")*ISNUMBER($C$10:$G$10)*ISNUMBER(C88:G88)*C88:G88) /
         SUMPRODUCT(($C$9:$G$9="CO3")*ISNUMBER($C$10:$G$10)*ISNUMBER(C88:G88)*$C$10:$G$10) * 0.15
       ) +
       IF(
         SUMPRODUCT(($H$9:$Z$9="CO3")*ISNUMBER($H$10:$Z$10)*ISNUMBER(H88:Z88)) = 0,
         0,
         SUMPRODUCT(($H$9:$Z$9="CO3")*ISNUMBER($H$10:$Z$10)*ISNUMBER(H88:Z88)*H88:Z88) /
         SUMPRODUCT(($H$9:$Z$9="CO3")*ISNUMBER($H$10:$Z$10)*ISNUMBER(H88:Z88)*$H$10:$Z$10) * 0.85
       )
     ) * 100,
     ""
   )
)</f>
        <v/>
      </c>
      <c r="AD88" s="1" t="str" cm="1">
        <f t="array" ref="AD88">IF(
   SUMPRODUCT(($C$9:$G$9="CO4")*ISNUMBER($C$10:$G$10)*ISNUMBER(C88:G88)) +
   SUMPRODUCT(($H$9:$Z$9="CO4")*ISNUMBER($H$10:$Z$10)*ISNUMBER(H88:Z88)) = 0,
   "",
   IFERROR(
     (
       IF(
         SUMPRODUCT(($C$9:$G$9="CO4")*ISNUMBER($C$10:$G$10)*ISNUMBER(C88:G88)) = 0,
         0,
         SUMPRODUCT(($C$9:$G$9="CO4")*ISNUMBER($C$10:$G$10)*ISNUMBER(C88:G88)*C88:G88) /
         SUMPRODUCT(($C$9:$G$9="CO4")*ISNUMBER($C$10:$G$10)*ISNUMBER(C88:G88)*$C$10:$G$10) * 0.15
       ) +
       IF(
         SUMPRODUCT(($H$9:$Z$9="CO4")*ISNUMBER($H$10:$Z$10)*ISNUMBER(H88:Z88)) = 0,
         0,
         SUMPRODUCT(($H$9:$Z$9="CO4")*ISNUMBER($H$10:$Z$10)*ISNUMBER(H88:Z88)*H88:Z88) /
         SUMPRODUCT(($H$9:$Z$9="CO4")*ISNUMBER($H$10:$Z$10)*ISNUMBER(H88:Z88)*$H$10:$Z$10) * 0.85
       )
     ) * 100,
     ""
   )
)</f>
        <v/>
      </c>
      <c r="AE88" s="1" t="str" cm="1">
        <f t="array" ref="AE88">IF(
   SUMPRODUCT(($C$9:$G$9="CO5")*ISNUMBER($C$10:$G$10)*ISNUMBER(C88:G88)) +
   SUMPRODUCT(($H$9:$Z$9="CO5")*ISNUMBER($H$10:$Z$10)*ISNUMBER(H88:Z88)) = 0,
   "",
   IFERROR(
     (
       IF(
         SUMPRODUCT(($C$9:$G$9="CO5")*ISNUMBER($C$10:$G$10)*ISNUMBER(C88:G88)) = 0,
         0,
         SUMPRODUCT(($C$9:$G$9="CO5")*ISNUMBER($C$10:$G$10)*ISNUMBER(C88:G88)*C88:G88) /
         SUMPRODUCT(($C$9:$G$9="CO5")*ISNUMBER($C$10:$G$10)*ISNUMBER(C88:G88)*$C$10:$G$10) * 0.15
       ) +
       IF(
         SUMPRODUCT(($H$9:$Z$9="CO5")*ISNUMBER($H$10:$Z$10)*ISNUMBER(H88:Z88)) = 0,
         0,
         SUMPRODUCT(($H$9:$Z$9="CO5")*ISNUMBER($H$10:$Z$10)*ISNUMBER(H88:Z88)*H88:Z88) /
         SUMPRODUCT(($H$9:$Z$9="CO5")*ISNUMBER($H$10:$Z$10)*ISNUMBER(H88:Z88)*$H$10:$Z$10) * 0.85
       )
     ) * 100,
     ""
   )
)</f>
        <v/>
      </c>
      <c r="AF88" s="1" t="str" cm="1">
        <f t="array" ref="AF88">IF(
   SUMPRODUCT(($C$9:$G$9="CO6")*ISNUMBER($C$10:$G$10)*ISNUMBER(C88:G88)) +
   SUMPRODUCT(($H$9:$Z$9="CO6")*ISNUMBER($H$10:$Z$10)*ISNUMBER(H88:Z88)) = 0,
   "",
   IFERROR(
     (
       IF(
         SUMPRODUCT(($C$9:$G$9="CO6")*ISNUMBER($C$10:$G$10)*ISNUMBER(C88:G88)) = 0,
         0,
         SUMPRODUCT(($C$9:$G$9="CO6")*ISNUMBER($C$10:$G$10)*ISNUMBER(C88:G88)*C88:G88) /
         SUMPRODUCT(($C$9:$G$9="CO6")*ISNUMBER($C$10:$G$10)*ISNUMBER(C88:G88)*$C$10:$G$10) * 0.15
       ) +
       IF(
         SUMPRODUCT(($H$9:$Z$9="CO6")*ISNUMBER($H$10:$Z$10)*ISNUMBER(H88:Z88)) = 0,
         0,
         SUMPRODUCT(($H$9:$Z$9="CO6")*ISNUMBER($H$10:$Z$10)*ISNUMBER(H88:Z88)*H88:Z88) /
         SUMPRODUCT(($H$9:$Z$9="CO6")*ISNUMBER($H$10:$Z$10)*ISNUMBER(H88:Z88)*$H$10:$Z$10) * 0.85
       )
     ) * 100,
     ""
   )
)</f>
        <v/>
      </c>
      <c r="AG88" s="1" t="str" cm="1">
        <f t="array" ref="AG88">IF(
   SUMPRODUCT(($C$9:$G$9="CO7")*ISNUMBER($C$10:$G$10)*ISNUMBER(C88:G88)) +
   SUMPRODUCT(($H$9:$Z$9="CO7")*ISNUMBER($H$10:$Z$10)*ISNUMBER(H88:Z88)) = 0,
   "",
   IFERROR(
     (
       IF(
         SUMPRODUCT(($C$9:$G$9="CO7")*ISNUMBER($C$10:$G$10)*ISNUMBER(C88:G88)) = 0,
         0,
         SUMPRODUCT(($C$9:$G$9="CO7")*ISNUMBER($C$10:$G$10)*ISNUMBER(C88:G88)*C88:G88) /
         SUMPRODUCT(($C$9:$G$9="CO7")*ISNUMBER($C$10:$G$10)*ISNUMBER(C88:G88)*$C$10:$G$10) * 0.15
       ) +
       IF(
         SUMPRODUCT(($H$9:$Z$9="CO7")*ISNUMBER($H$10:$Z$10)*ISNUMBER(H88:Z88)) = 0,
         0,
         SUMPRODUCT(($H$9:$Z$9="CO7")*ISNUMBER($H$10:$Z$10)*ISNUMBER(H88:Z88)*H88:Z88) /
         SUMPRODUCT(($H$9:$Z$9="CO7")*ISNUMBER($H$10:$Z$10)*ISNUMBER(H88:Z88)*$H$10:$Z$10) * 0.85
       )
     ) * 100,
     ""
   )
)</f>
        <v/>
      </c>
      <c r="AH88" s="3" t="str" cm="1">
        <f t="array" ref="AH88">IF(
   SUMPRODUCT(($C$9:$G$9="CO8")*ISNUMBER($C$10:$G$10)*ISNUMBER(C88:G88)) +
   SUMPRODUCT(($H$9:$Z$9="CO8")*ISNUMBER($H$10:$Z$10)*ISNUMBER(H88:Z88)) = 0,
   "",
   IFERROR(
     (
       IF(
         SUMPRODUCT(($C$9:$G$9="CO8")*ISNUMBER($C$10:$G$10)*ISNUMBER(C88:G88)) = 0,
         0,
         SUMPRODUCT(($C$9:$G$9="CO8")*ISNUMBER($C$10:$G$10)*ISNUMBER(C88:G88)*C88:G88) /
         SUMPRODUCT(($C$9:$G$9="CO8")*ISNUMBER($C$10:$G$10)*ISNUMBER(C88:G88)*$C$10:$G$10) * 0.15
       ) +
       IF(
         SUMPRODUCT(($H$9:$Z$9="CO8")*ISNUMBER($H$10:$Z$10)*ISNUMBER(H88:Z88)) = 0,
         0,
         SUMPRODUCT(($H$9:$Z$9="CO8")*ISNUMBER($H$10:$Z$10)*ISNUMBER(H88:Z88)*H88:Z88) /
         SUMPRODUCT(($H$9:$Z$9="CO8")*ISNUMBER($H$10:$Z$10)*ISNUMBER(H88:Z88)*$H$10:$Z$10) * 0.85
       )
     ) * 100,
     ""
   )
)</f>
        <v/>
      </c>
      <c r="AI88" s="1" t="str">
        <f t="shared" si="14"/>
        <v/>
      </c>
      <c r="AJ88" s="1" t="str">
        <f t="shared" si="15"/>
        <v/>
      </c>
      <c r="AK88" s="1" t="str">
        <f t="shared" si="16"/>
        <v/>
      </c>
      <c r="AL88" s="1" t="str">
        <f t="shared" si="13"/>
        <v/>
      </c>
      <c r="AM88" s="1" t="str">
        <f t="shared" si="13"/>
        <v/>
      </c>
      <c r="AN88" s="1" t="str">
        <f t="shared" si="13"/>
        <v/>
      </c>
      <c r="AO88" s="1" t="str">
        <f t="shared" si="13"/>
        <v/>
      </c>
      <c r="AP88" s="1" t="str">
        <f t="shared" si="13"/>
        <v/>
      </c>
    </row>
    <row r="89" spans="1:42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" t="str" cm="1">
        <f t="array" ref="AA89">IF(
   SUMPRODUCT(($C$9:$G$9="CO1")*ISNUMBER($C$10:$G$10)*ISNUMBER(C89:G89)) +
   SUMPRODUCT(($H$9:$Z$9="CO1")*ISNUMBER($H$10:$Z$10)*ISNUMBER(H89:Z89)) = 0,
   "",
   IFERROR(
     (
       IF(
         SUMPRODUCT(($C$9:$G$9="CO1")*ISNUMBER($C$10:$G$10)*ISNUMBER(C89:G89)) = 0,
         0,
         SUMPRODUCT(($C$9:$G$9="CO1")*ISNUMBER($C$10:$G$10)*ISNUMBER(C89:G89)*C89:G89) /
         SUMPRODUCT(($C$9:$G$9="CO1")*ISNUMBER($C$10:$G$10)*ISNUMBER(C89:G89)*$C$10:$G$10) * 0.15
       ) +
       IF(
         SUMPRODUCT(($H$9:$Z$9="CO1")*ISNUMBER($H$10:$Z$10)*ISNUMBER(H89:Z89)) = 0,
         0,
         SUMPRODUCT(($H$9:$Z$9="CO1")*ISNUMBER($H$10:$Z$10)*ISNUMBER(H89:Z89)*H89:Z89) /
         SUMPRODUCT(($H$9:$Z$9="CO1")*ISNUMBER($H$10:$Z$10)*ISNUMBER(H89:Z89)*$H$10:$Z$10) * 0.85
       )
     ) * 100,
     ""
   )
)</f>
        <v/>
      </c>
      <c r="AB89" s="1" t="str" cm="1">
        <f t="array" ref="AB89">IF(
   SUMPRODUCT(($C$9:$G$9="CO2")*ISNUMBER($C$10:$G$10)*ISNUMBER(C89:G89)) +
   SUMPRODUCT(($H$9:$Z$9="CO2")*ISNUMBER($H$10:$Z$10)*ISNUMBER(H89:Z89)) = 0,
   "",
   IFERROR(
     (
       IF(
         SUMPRODUCT(($C$9:$G$9="CO2")*ISNUMBER($C$10:$G$10)*ISNUMBER(C89:G89)) = 0,
         0,
         SUMPRODUCT(($C$9:$G$9="CO2")*ISNUMBER($C$10:$G$10)*ISNUMBER(C89:G89)*C89:G89) /
         SUMPRODUCT(($C$9:$G$9="CO2")*ISNUMBER($C$10:$G$10)*ISNUMBER(C89:G89)*$C$10:$G$10) * 0.15
       ) +
       IF(
         SUMPRODUCT(($H$9:$Z$9="CO2")*ISNUMBER($H$10:$Z$10)*ISNUMBER(H89:Z89)) = 0,
         0,
         SUMPRODUCT(($H$9:$Z$9="CO2")*ISNUMBER($H$10:$Z$10)*ISNUMBER(H89:Z89)*H89:Z89) /
         SUMPRODUCT(($H$9:$Z$9="CO2")*ISNUMBER($H$10:$Z$10)*ISNUMBER(H89:Z89)*$H$10:$Z$10) * 0.85
       )
     ) * 100,
     ""
   )
)</f>
        <v/>
      </c>
      <c r="AC89" s="1" t="str" cm="1">
        <f t="array" ref="AC89">IF(
   SUMPRODUCT(($C$9:$G$9="CO3")*ISNUMBER($C$10:$G$10)*ISNUMBER(C89:G89)) +
   SUMPRODUCT(($H$9:$Z$9="CO3")*ISNUMBER($H$10:$Z$10)*ISNUMBER(H89:Z89)) = 0,
   "",
   IFERROR(
     (
       IF(
         SUMPRODUCT(($C$9:$G$9="CO3")*ISNUMBER($C$10:$G$10)*ISNUMBER(C89:G89)) = 0,
         0,
         SUMPRODUCT(($C$9:$G$9="CO3")*ISNUMBER($C$10:$G$10)*ISNUMBER(C89:G89)*C89:G89) /
         SUMPRODUCT(($C$9:$G$9="CO3")*ISNUMBER($C$10:$G$10)*ISNUMBER(C89:G89)*$C$10:$G$10) * 0.15
       ) +
       IF(
         SUMPRODUCT(($H$9:$Z$9="CO3")*ISNUMBER($H$10:$Z$10)*ISNUMBER(H89:Z89)) = 0,
         0,
         SUMPRODUCT(($H$9:$Z$9="CO3")*ISNUMBER($H$10:$Z$10)*ISNUMBER(H89:Z89)*H89:Z89) /
         SUMPRODUCT(($H$9:$Z$9="CO3")*ISNUMBER($H$10:$Z$10)*ISNUMBER(H89:Z89)*$H$10:$Z$10) * 0.85
       )
     ) * 100,
     ""
   )
)</f>
        <v/>
      </c>
      <c r="AD89" s="1" t="str" cm="1">
        <f t="array" ref="AD89">IF(
   SUMPRODUCT(($C$9:$G$9="CO4")*ISNUMBER($C$10:$G$10)*ISNUMBER(C89:G89)) +
   SUMPRODUCT(($H$9:$Z$9="CO4")*ISNUMBER($H$10:$Z$10)*ISNUMBER(H89:Z89)) = 0,
   "",
   IFERROR(
     (
       IF(
         SUMPRODUCT(($C$9:$G$9="CO4")*ISNUMBER($C$10:$G$10)*ISNUMBER(C89:G89)) = 0,
         0,
         SUMPRODUCT(($C$9:$G$9="CO4")*ISNUMBER($C$10:$G$10)*ISNUMBER(C89:G89)*C89:G89) /
         SUMPRODUCT(($C$9:$G$9="CO4")*ISNUMBER($C$10:$G$10)*ISNUMBER(C89:G89)*$C$10:$G$10) * 0.15
       ) +
       IF(
         SUMPRODUCT(($H$9:$Z$9="CO4")*ISNUMBER($H$10:$Z$10)*ISNUMBER(H89:Z89)) = 0,
         0,
         SUMPRODUCT(($H$9:$Z$9="CO4")*ISNUMBER($H$10:$Z$10)*ISNUMBER(H89:Z89)*H89:Z89) /
         SUMPRODUCT(($H$9:$Z$9="CO4")*ISNUMBER($H$10:$Z$10)*ISNUMBER(H89:Z89)*$H$10:$Z$10) * 0.85
       )
     ) * 100,
     ""
   )
)</f>
        <v/>
      </c>
      <c r="AE89" s="1" t="str" cm="1">
        <f t="array" ref="AE89">IF(
   SUMPRODUCT(($C$9:$G$9="CO5")*ISNUMBER($C$10:$G$10)*ISNUMBER(C89:G89)) +
   SUMPRODUCT(($H$9:$Z$9="CO5")*ISNUMBER($H$10:$Z$10)*ISNUMBER(H89:Z89)) = 0,
   "",
   IFERROR(
     (
       IF(
         SUMPRODUCT(($C$9:$G$9="CO5")*ISNUMBER($C$10:$G$10)*ISNUMBER(C89:G89)) = 0,
         0,
         SUMPRODUCT(($C$9:$G$9="CO5")*ISNUMBER($C$10:$G$10)*ISNUMBER(C89:G89)*C89:G89) /
         SUMPRODUCT(($C$9:$G$9="CO5")*ISNUMBER($C$10:$G$10)*ISNUMBER(C89:G89)*$C$10:$G$10) * 0.15
       ) +
       IF(
         SUMPRODUCT(($H$9:$Z$9="CO5")*ISNUMBER($H$10:$Z$10)*ISNUMBER(H89:Z89)) = 0,
         0,
         SUMPRODUCT(($H$9:$Z$9="CO5")*ISNUMBER($H$10:$Z$10)*ISNUMBER(H89:Z89)*H89:Z89) /
         SUMPRODUCT(($H$9:$Z$9="CO5")*ISNUMBER($H$10:$Z$10)*ISNUMBER(H89:Z89)*$H$10:$Z$10) * 0.85
       )
     ) * 100,
     ""
   )
)</f>
        <v/>
      </c>
      <c r="AF89" s="1" t="str" cm="1">
        <f t="array" ref="AF89">IF(
   SUMPRODUCT(($C$9:$G$9="CO6")*ISNUMBER($C$10:$G$10)*ISNUMBER(C89:G89)) +
   SUMPRODUCT(($H$9:$Z$9="CO6")*ISNUMBER($H$10:$Z$10)*ISNUMBER(H89:Z89)) = 0,
   "",
   IFERROR(
     (
       IF(
         SUMPRODUCT(($C$9:$G$9="CO6")*ISNUMBER($C$10:$G$10)*ISNUMBER(C89:G89)) = 0,
         0,
         SUMPRODUCT(($C$9:$G$9="CO6")*ISNUMBER($C$10:$G$10)*ISNUMBER(C89:G89)*C89:G89) /
         SUMPRODUCT(($C$9:$G$9="CO6")*ISNUMBER($C$10:$G$10)*ISNUMBER(C89:G89)*$C$10:$G$10) * 0.15
       ) +
       IF(
         SUMPRODUCT(($H$9:$Z$9="CO6")*ISNUMBER($H$10:$Z$10)*ISNUMBER(H89:Z89)) = 0,
         0,
         SUMPRODUCT(($H$9:$Z$9="CO6")*ISNUMBER($H$10:$Z$10)*ISNUMBER(H89:Z89)*H89:Z89) /
         SUMPRODUCT(($H$9:$Z$9="CO6")*ISNUMBER($H$10:$Z$10)*ISNUMBER(H89:Z89)*$H$10:$Z$10) * 0.85
       )
     ) * 100,
     ""
   )
)</f>
        <v/>
      </c>
      <c r="AG89" s="1" t="str" cm="1">
        <f t="array" ref="AG89">IF(
   SUMPRODUCT(($C$9:$G$9="CO7")*ISNUMBER($C$10:$G$10)*ISNUMBER(C89:G89)) +
   SUMPRODUCT(($H$9:$Z$9="CO7")*ISNUMBER($H$10:$Z$10)*ISNUMBER(H89:Z89)) = 0,
   "",
   IFERROR(
     (
       IF(
         SUMPRODUCT(($C$9:$G$9="CO7")*ISNUMBER($C$10:$G$10)*ISNUMBER(C89:G89)) = 0,
         0,
         SUMPRODUCT(($C$9:$G$9="CO7")*ISNUMBER($C$10:$G$10)*ISNUMBER(C89:G89)*C89:G89) /
         SUMPRODUCT(($C$9:$G$9="CO7")*ISNUMBER($C$10:$G$10)*ISNUMBER(C89:G89)*$C$10:$G$10) * 0.15
       ) +
       IF(
         SUMPRODUCT(($H$9:$Z$9="CO7")*ISNUMBER($H$10:$Z$10)*ISNUMBER(H89:Z89)) = 0,
         0,
         SUMPRODUCT(($H$9:$Z$9="CO7")*ISNUMBER($H$10:$Z$10)*ISNUMBER(H89:Z89)*H89:Z89) /
         SUMPRODUCT(($H$9:$Z$9="CO7")*ISNUMBER($H$10:$Z$10)*ISNUMBER(H89:Z89)*$H$10:$Z$10) * 0.85
       )
     ) * 100,
     ""
   )
)</f>
        <v/>
      </c>
      <c r="AH89" s="3" t="str" cm="1">
        <f t="array" ref="AH89">IF(
   SUMPRODUCT(($C$9:$G$9="CO8")*ISNUMBER($C$10:$G$10)*ISNUMBER(C89:G89)) +
   SUMPRODUCT(($H$9:$Z$9="CO8")*ISNUMBER($H$10:$Z$10)*ISNUMBER(H89:Z89)) = 0,
   "",
   IFERROR(
     (
       IF(
         SUMPRODUCT(($C$9:$G$9="CO8")*ISNUMBER($C$10:$G$10)*ISNUMBER(C89:G89)) = 0,
         0,
         SUMPRODUCT(($C$9:$G$9="CO8")*ISNUMBER($C$10:$G$10)*ISNUMBER(C89:G89)*C89:G89) /
         SUMPRODUCT(($C$9:$G$9="CO8")*ISNUMBER($C$10:$G$10)*ISNUMBER(C89:G89)*$C$10:$G$10) * 0.15
       ) +
       IF(
         SUMPRODUCT(($H$9:$Z$9="CO8")*ISNUMBER($H$10:$Z$10)*ISNUMBER(H89:Z89)) = 0,
         0,
         SUMPRODUCT(($H$9:$Z$9="CO8")*ISNUMBER($H$10:$Z$10)*ISNUMBER(H89:Z89)*H89:Z89) /
         SUMPRODUCT(($H$9:$Z$9="CO8")*ISNUMBER($H$10:$Z$10)*ISNUMBER(H89:Z89)*$H$10:$Z$10) * 0.85
       )
     ) * 100,
     ""
   )
)</f>
        <v/>
      </c>
      <c r="AI89" s="1" t="str">
        <f t="shared" si="14"/>
        <v/>
      </c>
      <c r="AJ89" s="1" t="str">
        <f t="shared" si="15"/>
        <v/>
      </c>
      <c r="AK89" s="1" t="str">
        <f t="shared" si="16"/>
        <v/>
      </c>
      <c r="AL89" s="1" t="str">
        <f t="shared" si="13"/>
        <v/>
      </c>
      <c r="AM89" s="1" t="str">
        <f t="shared" si="13"/>
        <v/>
      </c>
      <c r="AN89" s="1" t="str">
        <f t="shared" si="13"/>
        <v/>
      </c>
      <c r="AO89" s="1" t="str">
        <f t="shared" si="13"/>
        <v/>
      </c>
      <c r="AP89" s="1" t="str">
        <f t="shared" si="13"/>
        <v/>
      </c>
    </row>
    <row r="90" spans="1:42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" t="str" cm="1">
        <f t="array" ref="AA90">IF(
   SUMPRODUCT(($C$9:$G$9="CO1")*ISNUMBER($C$10:$G$10)*ISNUMBER(C90:G90)) +
   SUMPRODUCT(($H$9:$Z$9="CO1")*ISNUMBER($H$10:$Z$10)*ISNUMBER(H90:Z90)) = 0,
   "",
   IFERROR(
     (
       IF(
         SUMPRODUCT(($C$9:$G$9="CO1")*ISNUMBER($C$10:$G$10)*ISNUMBER(C90:G90)) = 0,
         0,
         SUMPRODUCT(($C$9:$G$9="CO1")*ISNUMBER($C$10:$G$10)*ISNUMBER(C90:G90)*C90:G90) /
         SUMPRODUCT(($C$9:$G$9="CO1")*ISNUMBER($C$10:$G$10)*ISNUMBER(C90:G90)*$C$10:$G$10) * 0.15
       ) +
       IF(
         SUMPRODUCT(($H$9:$Z$9="CO1")*ISNUMBER($H$10:$Z$10)*ISNUMBER(H90:Z90)) = 0,
         0,
         SUMPRODUCT(($H$9:$Z$9="CO1")*ISNUMBER($H$10:$Z$10)*ISNUMBER(H90:Z90)*H90:Z90) /
         SUMPRODUCT(($H$9:$Z$9="CO1")*ISNUMBER($H$10:$Z$10)*ISNUMBER(H90:Z90)*$H$10:$Z$10) * 0.85
       )
     ) * 100,
     ""
   )
)</f>
        <v/>
      </c>
      <c r="AB90" s="1" t="str" cm="1">
        <f t="array" ref="AB90">IF(
   SUMPRODUCT(($C$9:$G$9="CO2")*ISNUMBER($C$10:$G$10)*ISNUMBER(C90:G90)) +
   SUMPRODUCT(($H$9:$Z$9="CO2")*ISNUMBER($H$10:$Z$10)*ISNUMBER(H90:Z90)) = 0,
   "",
   IFERROR(
     (
       IF(
         SUMPRODUCT(($C$9:$G$9="CO2")*ISNUMBER($C$10:$G$10)*ISNUMBER(C90:G90)) = 0,
         0,
         SUMPRODUCT(($C$9:$G$9="CO2")*ISNUMBER($C$10:$G$10)*ISNUMBER(C90:G90)*C90:G90) /
         SUMPRODUCT(($C$9:$G$9="CO2")*ISNUMBER($C$10:$G$10)*ISNUMBER(C90:G90)*$C$10:$G$10) * 0.15
       ) +
       IF(
         SUMPRODUCT(($H$9:$Z$9="CO2")*ISNUMBER($H$10:$Z$10)*ISNUMBER(H90:Z90)) = 0,
         0,
         SUMPRODUCT(($H$9:$Z$9="CO2")*ISNUMBER($H$10:$Z$10)*ISNUMBER(H90:Z90)*H90:Z90) /
         SUMPRODUCT(($H$9:$Z$9="CO2")*ISNUMBER($H$10:$Z$10)*ISNUMBER(H90:Z90)*$H$10:$Z$10) * 0.85
       )
     ) * 100,
     ""
   )
)</f>
        <v/>
      </c>
      <c r="AC90" s="1" t="str" cm="1">
        <f t="array" ref="AC90">IF(
   SUMPRODUCT(($C$9:$G$9="CO3")*ISNUMBER($C$10:$G$10)*ISNUMBER(C90:G90)) +
   SUMPRODUCT(($H$9:$Z$9="CO3")*ISNUMBER($H$10:$Z$10)*ISNUMBER(H90:Z90)) = 0,
   "",
   IFERROR(
     (
       IF(
         SUMPRODUCT(($C$9:$G$9="CO3")*ISNUMBER($C$10:$G$10)*ISNUMBER(C90:G90)) = 0,
         0,
         SUMPRODUCT(($C$9:$G$9="CO3")*ISNUMBER($C$10:$G$10)*ISNUMBER(C90:G90)*C90:G90) /
         SUMPRODUCT(($C$9:$G$9="CO3")*ISNUMBER($C$10:$G$10)*ISNUMBER(C90:G90)*$C$10:$G$10) * 0.15
       ) +
       IF(
         SUMPRODUCT(($H$9:$Z$9="CO3")*ISNUMBER($H$10:$Z$10)*ISNUMBER(H90:Z90)) = 0,
         0,
         SUMPRODUCT(($H$9:$Z$9="CO3")*ISNUMBER($H$10:$Z$10)*ISNUMBER(H90:Z90)*H90:Z90) /
         SUMPRODUCT(($H$9:$Z$9="CO3")*ISNUMBER($H$10:$Z$10)*ISNUMBER(H90:Z90)*$H$10:$Z$10) * 0.85
       )
     ) * 100,
     ""
   )
)</f>
        <v/>
      </c>
      <c r="AD90" s="1" t="str" cm="1">
        <f t="array" ref="AD90">IF(
   SUMPRODUCT(($C$9:$G$9="CO4")*ISNUMBER($C$10:$G$10)*ISNUMBER(C90:G90)) +
   SUMPRODUCT(($H$9:$Z$9="CO4")*ISNUMBER($H$10:$Z$10)*ISNUMBER(H90:Z90)) = 0,
   "",
   IFERROR(
     (
       IF(
         SUMPRODUCT(($C$9:$G$9="CO4")*ISNUMBER($C$10:$G$10)*ISNUMBER(C90:G90)) = 0,
         0,
         SUMPRODUCT(($C$9:$G$9="CO4")*ISNUMBER($C$10:$G$10)*ISNUMBER(C90:G90)*C90:G90) /
         SUMPRODUCT(($C$9:$G$9="CO4")*ISNUMBER($C$10:$G$10)*ISNUMBER(C90:G90)*$C$10:$G$10) * 0.15
       ) +
       IF(
         SUMPRODUCT(($H$9:$Z$9="CO4")*ISNUMBER($H$10:$Z$10)*ISNUMBER(H90:Z90)) = 0,
         0,
         SUMPRODUCT(($H$9:$Z$9="CO4")*ISNUMBER($H$10:$Z$10)*ISNUMBER(H90:Z90)*H90:Z90) /
         SUMPRODUCT(($H$9:$Z$9="CO4")*ISNUMBER($H$10:$Z$10)*ISNUMBER(H90:Z90)*$H$10:$Z$10) * 0.85
       )
     ) * 100,
     ""
   )
)</f>
        <v/>
      </c>
      <c r="AE90" s="1" t="str" cm="1">
        <f t="array" ref="AE90">IF(
   SUMPRODUCT(($C$9:$G$9="CO5")*ISNUMBER($C$10:$G$10)*ISNUMBER(C90:G90)) +
   SUMPRODUCT(($H$9:$Z$9="CO5")*ISNUMBER($H$10:$Z$10)*ISNUMBER(H90:Z90)) = 0,
   "",
   IFERROR(
     (
       IF(
         SUMPRODUCT(($C$9:$G$9="CO5")*ISNUMBER($C$10:$G$10)*ISNUMBER(C90:G90)) = 0,
         0,
         SUMPRODUCT(($C$9:$G$9="CO5")*ISNUMBER($C$10:$G$10)*ISNUMBER(C90:G90)*C90:G90) /
         SUMPRODUCT(($C$9:$G$9="CO5")*ISNUMBER($C$10:$G$10)*ISNUMBER(C90:G90)*$C$10:$G$10) * 0.15
       ) +
       IF(
         SUMPRODUCT(($H$9:$Z$9="CO5")*ISNUMBER($H$10:$Z$10)*ISNUMBER(H90:Z90)) = 0,
         0,
         SUMPRODUCT(($H$9:$Z$9="CO5")*ISNUMBER($H$10:$Z$10)*ISNUMBER(H90:Z90)*H90:Z90) /
         SUMPRODUCT(($H$9:$Z$9="CO5")*ISNUMBER($H$10:$Z$10)*ISNUMBER(H90:Z90)*$H$10:$Z$10) * 0.85
       )
     ) * 100,
     ""
   )
)</f>
        <v/>
      </c>
      <c r="AF90" s="1" t="str" cm="1">
        <f t="array" ref="AF90">IF(
   SUMPRODUCT(($C$9:$G$9="CO6")*ISNUMBER($C$10:$G$10)*ISNUMBER(C90:G90)) +
   SUMPRODUCT(($H$9:$Z$9="CO6")*ISNUMBER($H$10:$Z$10)*ISNUMBER(H90:Z90)) = 0,
   "",
   IFERROR(
     (
       IF(
         SUMPRODUCT(($C$9:$G$9="CO6")*ISNUMBER($C$10:$G$10)*ISNUMBER(C90:G90)) = 0,
         0,
         SUMPRODUCT(($C$9:$G$9="CO6")*ISNUMBER($C$10:$G$10)*ISNUMBER(C90:G90)*C90:G90) /
         SUMPRODUCT(($C$9:$G$9="CO6")*ISNUMBER($C$10:$G$10)*ISNUMBER(C90:G90)*$C$10:$G$10) * 0.15
       ) +
       IF(
         SUMPRODUCT(($H$9:$Z$9="CO6")*ISNUMBER($H$10:$Z$10)*ISNUMBER(H90:Z90)) = 0,
         0,
         SUMPRODUCT(($H$9:$Z$9="CO6")*ISNUMBER($H$10:$Z$10)*ISNUMBER(H90:Z90)*H90:Z90) /
         SUMPRODUCT(($H$9:$Z$9="CO6")*ISNUMBER($H$10:$Z$10)*ISNUMBER(H90:Z90)*$H$10:$Z$10) * 0.85
       )
     ) * 100,
     ""
   )
)</f>
        <v/>
      </c>
      <c r="AG90" s="1" t="str" cm="1">
        <f t="array" ref="AG90">IF(
   SUMPRODUCT(($C$9:$G$9="CO7")*ISNUMBER($C$10:$G$10)*ISNUMBER(C90:G90)) +
   SUMPRODUCT(($H$9:$Z$9="CO7")*ISNUMBER($H$10:$Z$10)*ISNUMBER(H90:Z90)) = 0,
   "",
   IFERROR(
     (
       IF(
         SUMPRODUCT(($C$9:$G$9="CO7")*ISNUMBER($C$10:$G$10)*ISNUMBER(C90:G90)) = 0,
         0,
         SUMPRODUCT(($C$9:$G$9="CO7")*ISNUMBER($C$10:$G$10)*ISNUMBER(C90:G90)*C90:G90) /
         SUMPRODUCT(($C$9:$G$9="CO7")*ISNUMBER($C$10:$G$10)*ISNUMBER(C90:G90)*$C$10:$G$10) * 0.15
       ) +
       IF(
         SUMPRODUCT(($H$9:$Z$9="CO7")*ISNUMBER($H$10:$Z$10)*ISNUMBER(H90:Z90)) = 0,
         0,
         SUMPRODUCT(($H$9:$Z$9="CO7")*ISNUMBER($H$10:$Z$10)*ISNUMBER(H90:Z90)*H90:Z90) /
         SUMPRODUCT(($H$9:$Z$9="CO7")*ISNUMBER($H$10:$Z$10)*ISNUMBER(H90:Z90)*$H$10:$Z$10) * 0.85
       )
     ) * 100,
     ""
   )
)</f>
        <v/>
      </c>
      <c r="AH90" s="3" t="str" cm="1">
        <f t="array" ref="AH90">IF(
   SUMPRODUCT(($C$9:$G$9="CO8")*ISNUMBER($C$10:$G$10)*ISNUMBER(C90:G90)) +
   SUMPRODUCT(($H$9:$Z$9="CO8")*ISNUMBER($H$10:$Z$10)*ISNUMBER(H90:Z90)) = 0,
   "",
   IFERROR(
     (
       IF(
         SUMPRODUCT(($C$9:$G$9="CO8")*ISNUMBER($C$10:$G$10)*ISNUMBER(C90:G90)) = 0,
         0,
         SUMPRODUCT(($C$9:$G$9="CO8")*ISNUMBER($C$10:$G$10)*ISNUMBER(C90:G90)*C90:G90) /
         SUMPRODUCT(($C$9:$G$9="CO8")*ISNUMBER($C$10:$G$10)*ISNUMBER(C90:G90)*$C$10:$G$10) * 0.15
       ) +
       IF(
         SUMPRODUCT(($H$9:$Z$9="CO8")*ISNUMBER($H$10:$Z$10)*ISNUMBER(H90:Z90)) = 0,
         0,
         SUMPRODUCT(($H$9:$Z$9="CO8")*ISNUMBER($H$10:$Z$10)*ISNUMBER(H90:Z90)*H90:Z90) /
         SUMPRODUCT(($H$9:$Z$9="CO8")*ISNUMBER($H$10:$Z$10)*ISNUMBER(H90:Z90)*$H$10:$Z$10) * 0.85
       )
     ) * 100,
     ""
   )
)</f>
        <v/>
      </c>
      <c r="AI90" s="1" t="str">
        <f t="shared" si="14"/>
        <v/>
      </c>
      <c r="AJ90" s="1" t="str">
        <f t="shared" si="15"/>
        <v/>
      </c>
      <c r="AK90" s="1" t="str">
        <f t="shared" si="16"/>
        <v/>
      </c>
      <c r="AL90" s="1" t="str">
        <f t="shared" si="13"/>
        <v/>
      </c>
      <c r="AM90" s="1" t="str">
        <f t="shared" si="13"/>
        <v/>
      </c>
      <c r="AN90" s="1" t="str">
        <f t="shared" si="13"/>
        <v/>
      </c>
      <c r="AO90" s="1" t="str">
        <f t="shared" si="13"/>
        <v/>
      </c>
      <c r="AP90" s="1" t="str">
        <f t="shared" si="13"/>
        <v/>
      </c>
    </row>
    <row r="91" spans="1:42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" t="str" cm="1">
        <f t="array" ref="AA91">IF(
   SUMPRODUCT(($C$9:$G$9="CO1")*ISNUMBER($C$10:$G$10)*ISNUMBER(C91:G91)) +
   SUMPRODUCT(($H$9:$Z$9="CO1")*ISNUMBER($H$10:$Z$10)*ISNUMBER(H91:Z91)) = 0,
   "",
   IFERROR(
     (
       IF(
         SUMPRODUCT(($C$9:$G$9="CO1")*ISNUMBER($C$10:$G$10)*ISNUMBER(C91:G91)) = 0,
         0,
         SUMPRODUCT(($C$9:$G$9="CO1")*ISNUMBER($C$10:$G$10)*ISNUMBER(C91:G91)*C91:G91) /
         SUMPRODUCT(($C$9:$G$9="CO1")*ISNUMBER($C$10:$G$10)*ISNUMBER(C91:G91)*$C$10:$G$10) * 0.15
       ) +
       IF(
         SUMPRODUCT(($H$9:$Z$9="CO1")*ISNUMBER($H$10:$Z$10)*ISNUMBER(H91:Z91)) = 0,
         0,
         SUMPRODUCT(($H$9:$Z$9="CO1")*ISNUMBER($H$10:$Z$10)*ISNUMBER(H91:Z91)*H91:Z91) /
         SUMPRODUCT(($H$9:$Z$9="CO1")*ISNUMBER($H$10:$Z$10)*ISNUMBER(H91:Z91)*$H$10:$Z$10) * 0.85
       )
     ) * 100,
     ""
   )
)</f>
        <v/>
      </c>
      <c r="AB91" s="1" t="str" cm="1">
        <f t="array" ref="AB91">IF(
   SUMPRODUCT(($C$9:$G$9="CO2")*ISNUMBER($C$10:$G$10)*ISNUMBER(C91:G91)) +
   SUMPRODUCT(($H$9:$Z$9="CO2")*ISNUMBER($H$10:$Z$10)*ISNUMBER(H91:Z91)) = 0,
   "",
   IFERROR(
     (
       IF(
         SUMPRODUCT(($C$9:$G$9="CO2")*ISNUMBER($C$10:$G$10)*ISNUMBER(C91:G91)) = 0,
         0,
         SUMPRODUCT(($C$9:$G$9="CO2")*ISNUMBER($C$10:$G$10)*ISNUMBER(C91:G91)*C91:G91) /
         SUMPRODUCT(($C$9:$G$9="CO2")*ISNUMBER($C$10:$G$10)*ISNUMBER(C91:G91)*$C$10:$G$10) * 0.15
       ) +
       IF(
         SUMPRODUCT(($H$9:$Z$9="CO2")*ISNUMBER($H$10:$Z$10)*ISNUMBER(H91:Z91)) = 0,
         0,
         SUMPRODUCT(($H$9:$Z$9="CO2")*ISNUMBER($H$10:$Z$10)*ISNUMBER(H91:Z91)*H91:Z91) /
         SUMPRODUCT(($H$9:$Z$9="CO2")*ISNUMBER($H$10:$Z$10)*ISNUMBER(H91:Z91)*$H$10:$Z$10) * 0.85
       )
     ) * 100,
     ""
   )
)</f>
        <v/>
      </c>
      <c r="AC91" s="1" t="str" cm="1">
        <f t="array" ref="AC91">IF(
   SUMPRODUCT(($C$9:$G$9="CO3")*ISNUMBER($C$10:$G$10)*ISNUMBER(C91:G91)) +
   SUMPRODUCT(($H$9:$Z$9="CO3")*ISNUMBER($H$10:$Z$10)*ISNUMBER(H91:Z91)) = 0,
   "",
   IFERROR(
     (
       IF(
         SUMPRODUCT(($C$9:$G$9="CO3")*ISNUMBER($C$10:$G$10)*ISNUMBER(C91:G91)) = 0,
         0,
         SUMPRODUCT(($C$9:$G$9="CO3")*ISNUMBER($C$10:$G$10)*ISNUMBER(C91:G91)*C91:G91) /
         SUMPRODUCT(($C$9:$G$9="CO3")*ISNUMBER($C$10:$G$10)*ISNUMBER(C91:G91)*$C$10:$G$10) * 0.15
       ) +
       IF(
         SUMPRODUCT(($H$9:$Z$9="CO3")*ISNUMBER($H$10:$Z$10)*ISNUMBER(H91:Z91)) = 0,
         0,
         SUMPRODUCT(($H$9:$Z$9="CO3")*ISNUMBER($H$10:$Z$10)*ISNUMBER(H91:Z91)*H91:Z91) /
         SUMPRODUCT(($H$9:$Z$9="CO3")*ISNUMBER($H$10:$Z$10)*ISNUMBER(H91:Z91)*$H$10:$Z$10) * 0.85
       )
     ) * 100,
     ""
   )
)</f>
        <v/>
      </c>
      <c r="AD91" s="1" t="str" cm="1">
        <f t="array" ref="AD91">IF(
   SUMPRODUCT(($C$9:$G$9="CO4")*ISNUMBER($C$10:$G$10)*ISNUMBER(C91:G91)) +
   SUMPRODUCT(($H$9:$Z$9="CO4")*ISNUMBER($H$10:$Z$10)*ISNUMBER(H91:Z91)) = 0,
   "",
   IFERROR(
     (
       IF(
         SUMPRODUCT(($C$9:$G$9="CO4")*ISNUMBER($C$10:$G$10)*ISNUMBER(C91:G91)) = 0,
         0,
         SUMPRODUCT(($C$9:$G$9="CO4")*ISNUMBER($C$10:$G$10)*ISNUMBER(C91:G91)*C91:G91) /
         SUMPRODUCT(($C$9:$G$9="CO4")*ISNUMBER($C$10:$G$10)*ISNUMBER(C91:G91)*$C$10:$G$10) * 0.15
       ) +
       IF(
         SUMPRODUCT(($H$9:$Z$9="CO4")*ISNUMBER($H$10:$Z$10)*ISNUMBER(H91:Z91)) = 0,
         0,
         SUMPRODUCT(($H$9:$Z$9="CO4")*ISNUMBER($H$10:$Z$10)*ISNUMBER(H91:Z91)*H91:Z91) /
         SUMPRODUCT(($H$9:$Z$9="CO4")*ISNUMBER($H$10:$Z$10)*ISNUMBER(H91:Z91)*$H$10:$Z$10) * 0.85
       )
     ) * 100,
     ""
   )
)</f>
        <v/>
      </c>
      <c r="AE91" s="1" t="str" cm="1">
        <f t="array" ref="AE91">IF(
   SUMPRODUCT(($C$9:$G$9="CO5")*ISNUMBER($C$10:$G$10)*ISNUMBER(C91:G91)) +
   SUMPRODUCT(($H$9:$Z$9="CO5")*ISNUMBER($H$10:$Z$10)*ISNUMBER(H91:Z91)) = 0,
   "",
   IFERROR(
     (
       IF(
         SUMPRODUCT(($C$9:$G$9="CO5")*ISNUMBER($C$10:$G$10)*ISNUMBER(C91:G91)) = 0,
         0,
         SUMPRODUCT(($C$9:$G$9="CO5")*ISNUMBER($C$10:$G$10)*ISNUMBER(C91:G91)*C91:G91) /
         SUMPRODUCT(($C$9:$G$9="CO5")*ISNUMBER($C$10:$G$10)*ISNUMBER(C91:G91)*$C$10:$G$10) * 0.15
       ) +
       IF(
         SUMPRODUCT(($H$9:$Z$9="CO5")*ISNUMBER($H$10:$Z$10)*ISNUMBER(H91:Z91)) = 0,
         0,
         SUMPRODUCT(($H$9:$Z$9="CO5")*ISNUMBER($H$10:$Z$10)*ISNUMBER(H91:Z91)*H91:Z91) /
         SUMPRODUCT(($H$9:$Z$9="CO5")*ISNUMBER($H$10:$Z$10)*ISNUMBER(H91:Z91)*$H$10:$Z$10) * 0.85
       )
     ) * 100,
     ""
   )
)</f>
        <v/>
      </c>
      <c r="AF91" s="1" t="str" cm="1">
        <f t="array" ref="AF91">IF(
   SUMPRODUCT(($C$9:$G$9="CO6")*ISNUMBER($C$10:$G$10)*ISNUMBER(C91:G91)) +
   SUMPRODUCT(($H$9:$Z$9="CO6")*ISNUMBER($H$10:$Z$10)*ISNUMBER(H91:Z91)) = 0,
   "",
   IFERROR(
     (
       IF(
         SUMPRODUCT(($C$9:$G$9="CO6")*ISNUMBER($C$10:$G$10)*ISNUMBER(C91:G91)) = 0,
         0,
         SUMPRODUCT(($C$9:$G$9="CO6")*ISNUMBER($C$10:$G$10)*ISNUMBER(C91:G91)*C91:G91) /
         SUMPRODUCT(($C$9:$G$9="CO6")*ISNUMBER($C$10:$G$10)*ISNUMBER(C91:G91)*$C$10:$G$10) * 0.15
       ) +
       IF(
         SUMPRODUCT(($H$9:$Z$9="CO6")*ISNUMBER($H$10:$Z$10)*ISNUMBER(H91:Z91)) = 0,
         0,
         SUMPRODUCT(($H$9:$Z$9="CO6")*ISNUMBER($H$10:$Z$10)*ISNUMBER(H91:Z91)*H91:Z91) /
         SUMPRODUCT(($H$9:$Z$9="CO6")*ISNUMBER($H$10:$Z$10)*ISNUMBER(H91:Z91)*$H$10:$Z$10) * 0.85
       )
     ) * 100,
     ""
   )
)</f>
        <v/>
      </c>
      <c r="AG91" s="1" t="str" cm="1">
        <f t="array" ref="AG91">IF(
   SUMPRODUCT(($C$9:$G$9="CO7")*ISNUMBER($C$10:$G$10)*ISNUMBER(C91:G91)) +
   SUMPRODUCT(($H$9:$Z$9="CO7")*ISNUMBER($H$10:$Z$10)*ISNUMBER(H91:Z91)) = 0,
   "",
   IFERROR(
     (
       IF(
         SUMPRODUCT(($C$9:$G$9="CO7")*ISNUMBER($C$10:$G$10)*ISNUMBER(C91:G91)) = 0,
         0,
         SUMPRODUCT(($C$9:$G$9="CO7")*ISNUMBER($C$10:$G$10)*ISNUMBER(C91:G91)*C91:G91) /
         SUMPRODUCT(($C$9:$G$9="CO7")*ISNUMBER($C$10:$G$10)*ISNUMBER(C91:G91)*$C$10:$G$10) * 0.15
       ) +
       IF(
         SUMPRODUCT(($H$9:$Z$9="CO7")*ISNUMBER($H$10:$Z$10)*ISNUMBER(H91:Z91)) = 0,
         0,
         SUMPRODUCT(($H$9:$Z$9="CO7")*ISNUMBER($H$10:$Z$10)*ISNUMBER(H91:Z91)*H91:Z91) /
         SUMPRODUCT(($H$9:$Z$9="CO7")*ISNUMBER($H$10:$Z$10)*ISNUMBER(H91:Z91)*$H$10:$Z$10) * 0.85
       )
     ) * 100,
     ""
   )
)</f>
        <v/>
      </c>
      <c r="AH91" s="3" t="str" cm="1">
        <f t="array" ref="AH91">IF(
   SUMPRODUCT(($C$9:$G$9="CO8")*ISNUMBER($C$10:$G$10)*ISNUMBER(C91:G91)) +
   SUMPRODUCT(($H$9:$Z$9="CO8")*ISNUMBER($H$10:$Z$10)*ISNUMBER(H91:Z91)) = 0,
   "",
   IFERROR(
     (
       IF(
         SUMPRODUCT(($C$9:$G$9="CO8")*ISNUMBER($C$10:$G$10)*ISNUMBER(C91:G91)) = 0,
         0,
         SUMPRODUCT(($C$9:$G$9="CO8")*ISNUMBER($C$10:$G$10)*ISNUMBER(C91:G91)*C91:G91) /
         SUMPRODUCT(($C$9:$G$9="CO8")*ISNUMBER($C$10:$G$10)*ISNUMBER(C91:G91)*$C$10:$G$10) * 0.15
       ) +
       IF(
         SUMPRODUCT(($H$9:$Z$9="CO8")*ISNUMBER($H$10:$Z$10)*ISNUMBER(H91:Z91)) = 0,
         0,
         SUMPRODUCT(($H$9:$Z$9="CO8")*ISNUMBER($H$10:$Z$10)*ISNUMBER(H91:Z91)*H91:Z91) /
         SUMPRODUCT(($H$9:$Z$9="CO8")*ISNUMBER($H$10:$Z$10)*ISNUMBER(H91:Z91)*$H$10:$Z$10) * 0.85
       )
     ) * 100,
     ""
   )
)</f>
        <v/>
      </c>
      <c r="AI91" s="1" t="str">
        <f t="shared" si="14"/>
        <v/>
      </c>
      <c r="AJ91" s="1" t="str">
        <f t="shared" si="15"/>
        <v/>
      </c>
      <c r="AK91" s="1" t="str">
        <f t="shared" si="16"/>
        <v/>
      </c>
      <c r="AL91" s="1" t="str">
        <f t="shared" si="13"/>
        <v/>
      </c>
      <c r="AM91" s="1" t="str">
        <f t="shared" si="13"/>
        <v/>
      </c>
      <c r="AN91" s="1" t="str">
        <f t="shared" si="13"/>
        <v/>
      </c>
      <c r="AO91" s="1" t="str">
        <f t="shared" si="13"/>
        <v/>
      </c>
      <c r="AP91" s="1" t="str">
        <f t="shared" si="13"/>
        <v/>
      </c>
    </row>
    <row r="92" spans="1:42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" t="str" cm="1">
        <f t="array" ref="AA92">IF(
   SUMPRODUCT(($C$9:$G$9="CO1")*ISNUMBER($C$10:$G$10)*ISNUMBER(C92:G92)) +
   SUMPRODUCT(($H$9:$Z$9="CO1")*ISNUMBER($H$10:$Z$10)*ISNUMBER(H92:Z92)) = 0,
   "",
   IFERROR(
     (
       IF(
         SUMPRODUCT(($C$9:$G$9="CO1")*ISNUMBER($C$10:$G$10)*ISNUMBER(C92:G92)) = 0,
         0,
         SUMPRODUCT(($C$9:$G$9="CO1")*ISNUMBER($C$10:$G$10)*ISNUMBER(C92:G92)*C92:G92) /
         SUMPRODUCT(($C$9:$G$9="CO1")*ISNUMBER($C$10:$G$10)*ISNUMBER(C92:G92)*$C$10:$G$10) * 0.15
       ) +
       IF(
         SUMPRODUCT(($H$9:$Z$9="CO1")*ISNUMBER($H$10:$Z$10)*ISNUMBER(H92:Z92)) = 0,
         0,
         SUMPRODUCT(($H$9:$Z$9="CO1")*ISNUMBER($H$10:$Z$10)*ISNUMBER(H92:Z92)*H92:Z92) /
         SUMPRODUCT(($H$9:$Z$9="CO1")*ISNUMBER($H$10:$Z$10)*ISNUMBER(H92:Z92)*$H$10:$Z$10) * 0.85
       )
     ) * 100,
     ""
   )
)</f>
        <v/>
      </c>
      <c r="AB92" s="1" t="str" cm="1">
        <f t="array" ref="AB92">IF(
   SUMPRODUCT(($C$9:$G$9="CO2")*ISNUMBER($C$10:$G$10)*ISNUMBER(C92:G92)) +
   SUMPRODUCT(($H$9:$Z$9="CO2")*ISNUMBER($H$10:$Z$10)*ISNUMBER(H92:Z92)) = 0,
   "",
   IFERROR(
     (
       IF(
         SUMPRODUCT(($C$9:$G$9="CO2")*ISNUMBER($C$10:$G$10)*ISNUMBER(C92:G92)) = 0,
         0,
         SUMPRODUCT(($C$9:$G$9="CO2")*ISNUMBER($C$10:$G$10)*ISNUMBER(C92:G92)*C92:G92) /
         SUMPRODUCT(($C$9:$G$9="CO2")*ISNUMBER($C$10:$G$10)*ISNUMBER(C92:G92)*$C$10:$G$10) * 0.15
       ) +
       IF(
         SUMPRODUCT(($H$9:$Z$9="CO2")*ISNUMBER($H$10:$Z$10)*ISNUMBER(H92:Z92)) = 0,
         0,
         SUMPRODUCT(($H$9:$Z$9="CO2")*ISNUMBER($H$10:$Z$10)*ISNUMBER(H92:Z92)*H92:Z92) /
         SUMPRODUCT(($H$9:$Z$9="CO2")*ISNUMBER($H$10:$Z$10)*ISNUMBER(H92:Z92)*$H$10:$Z$10) * 0.85
       )
     ) * 100,
     ""
   )
)</f>
        <v/>
      </c>
      <c r="AC92" s="1" t="str" cm="1">
        <f t="array" ref="AC92">IF(
   SUMPRODUCT(($C$9:$G$9="CO3")*ISNUMBER($C$10:$G$10)*ISNUMBER(C92:G92)) +
   SUMPRODUCT(($H$9:$Z$9="CO3")*ISNUMBER($H$10:$Z$10)*ISNUMBER(H92:Z92)) = 0,
   "",
   IFERROR(
     (
       IF(
         SUMPRODUCT(($C$9:$G$9="CO3")*ISNUMBER($C$10:$G$10)*ISNUMBER(C92:G92)) = 0,
         0,
         SUMPRODUCT(($C$9:$G$9="CO3")*ISNUMBER($C$10:$G$10)*ISNUMBER(C92:G92)*C92:G92) /
         SUMPRODUCT(($C$9:$G$9="CO3")*ISNUMBER($C$10:$G$10)*ISNUMBER(C92:G92)*$C$10:$G$10) * 0.15
       ) +
       IF(
         SUMPRODUCT(($H$9:$Z$9="CO3")*ISNUMBER($H$10:$Z$10)*ISNUMBER(H92:Z92)) = 0,
         0,
         SUMPRODUCT(($H$9:$Z$9="CO3")*ISNUMBER($H$10:$Z$10)*ISNUMBER(H92:Z92)*H92:Z92) /
         SUMPRODUCT(($H$9:$Z$9="CO3")*ISNUMBER($H$10:$Z$10)*ISNUMBER(H92:Z92)*$H$10:$Z$10) * 0.85
       )
     ) * 100,
     ""
   )
)</f>
        <v/>
      </c>
      <c r="AD92" s="1" t="str" cm="1">
        <f t="array" ref="AD92">IF(
   SUMPRODUCT(($C$9:$G$9="CO4")*ISNUMBER($C$10:$G$10)*ISNUMBER(C92:G92)) +
   SUMPRODUCT(($H$9:$Z$9="CO4")*ISNUMBER($H$10:$Z$10)*ISNUMBER(H92:Z92)) = 0,
   "",
   IFERROR(
     (
       IF(
         SUMPRODUCT(($C$9:$G$9="CO4")*ISNUMBER($C$10:$G$10)*ISNUMBER(C92:G92)) = 0,
         0,
         SUMPRODUCT(($C$9:$G$9="CO4")*ISNUMBER($C$10:$G$10)*ISNUMBER(C92:G92)*C92:G92) /
         SUMPRODUCT(($C$9:$G$9="CO4")*ISNUMBER($C$10:$G$10)*ISNUMBER(C92:G92)*$C$10:$G$10) * 0.15
       ) +
       IF(
         SUMPRODUCT(($H$9:$Z$9="CO4")*ISNUMBER($H$10:$Z$10)*ISNUMBER(H92:Z92)) = 0,
         0,
         SUMPRODUCT(($H$9:$Z$9="CO4")*ISNUMBER($H$10:$Z$10)*ISNUMBER(H92:Z92)*H92:Z92) /
         SUMPRODUCT(($H$9:$Z$9="CO4")*ISNUMBER($H$10:$Z$10)*ISNUMBER(H92:Z92)*$H$10:$Z$10) * 0.85
       )
     ) * 100,
     ""
   )
)</f>
        <v/>
      </c>
      <c r="AE92" s="1" t="str" cm="1">
        <f t="array" ref="AE92">IF(
   SUMPRODUCT(($C$9:$G$9="CO5")*ISNUMBER($C$10:$G$10)*ISNUMBER(C92:G92)) +
   SUMPRODUCT(($H$9:$Z$9="CO5")*ISNUMBER($H$10:$Z$10)*ISNUMBER(H92:Z92)) = 0,
   "",
   IFERROR(
     (
       IF(
         SUMPRODUCT(($C$9:$G$9="CO5")*ISNUMBER($C$10:$G$10)*ISNUMBER(C92:G92)) = 0,
         0,
         SUMPRODUCT(($C$9:$G$9="CO5")*ISNUMBER($C$10:$G$10)*ISNUMBER(C92:G92)*C92:G92) /
         SUMPRODUCT(($C$9:$G$9="CO5")*ISNUMBER($C$10:$G$10)*ISNUMBER(C92:G92)*$C$10:$G$10) * 0.15
       ) +
       IF(
         SUMPRODUCT(($H$9:$Z$9="CO5")*ISNUMBER($H$10:$Z$10)*ISNUMBER(H92:Z92)) = 0,
         0,
         SUMPRODUCT(($H$9:$Z$9="CO5")*ISNUMBER($H$10:$Z$10)*ISNUMBER(H92:Z92)*H92:Z92) /
         SUMPRODUCT(($H$9:$Z$9="CO5")*ISNUMBER($H$10:$Z$10)*ISNUMBER(H92:Z92)*$H$10:$Z$10) * 0.85
       )
     ) * 100,
     ""
   )
)</f>
        <v/>
      </c>
      <c r="AF92" s="1" t="str" cm="1">
        <f t="array" ref="AF92">IF(
   SUMPRODUCT(($C$9:$G$9="CO6")*ISNUMBER($C$10:$G$10)*ISNUMBER(C92:G92)) +
   SUMPRODUCT(($H$9:$Z$9="CO6")*ISNUMBER($H$10:$Z$10)*ISNUMBER(H92:Z92)) = 0,
   "",
   IFERROR(
     (
       IF(
         SUMPRODUCT(($C$9:$G$9="CO6")*ISNUMBER($C$10:$G$10)*ISNUMBER(C92:G92)) = 0,
         0,
         SUMPRODUCT(($C$9:$G$9="CO6")*ISNUMBER($C$10:$G$10)*ISNUMBER(C92:G92)*C92:G92) /
         SUMPRODUCT(($C$9:$G$9="CO6")*ISNUMBER($C$10:$G$10)*ISNUMBER(C92:G92)*$C$10:$G$10) * 0.15
       ) +
       IF(
         SUMPRODUCT(($H$9:$Z$9="CO6")*ISNUMBER($H$10:$Z$10)*ISNUMBER(H92:Z92)) = 0,
         0,
         SUMPRODUCT(($H$9:$Z$9="CO6")*ISNUMBER($H$10:$Z$10)*ISNUMBER(H92:Z92)*H92:Z92) /
         SUMPRODUCT(($H$9:$Z$9="CO6")*ISNUMBER($H$10:$Z$10)*ISNUMBER(H92:Z92)*$H$10:$Z$10) * 0.85
       )
     ) * 100,
     ""
   )
)</f>
        <v/>
      </c>
      <c r="AG92" s="1" t="str" cm="1">
        <f t="array" ref="AG92">IF(
   SUMPRODUCT(($C$9:$G$9="CO7")*ISNUMBER($C$10:$G$10)*ISNUMBER(C92:G92)) +
   SUMPRODUCT(($H$9:$Z$9="CO7")*ISNUMBER($H$10:$Z$10)*ISNUMBER(H92:Z92)) = 0,
   "",
   IFERROR(
     (
       IF(
         SUMPRODUCT(($C$9:$G$9="CO7")*ISNUMBER($C$10:$G$10)*ISNUMBER(C92:G92)) = 0,
         0,
         SUMPRODUCT(($C$9:$G$9="CO7")*ISNUMBER($C$10:$G$10)*ISNUMBER(C92:G92)*C92:G92) /
         SUMPRODUCT(($C$9:$G$9="CO7")*ISNUMBER($C$10:$G$10)*ISNUMBER(C92:G92)*$C$10:$G$10) * 0.15
       ) +
       IF(
         SUMPRODUCT(($H$9:$Z$9="CO7")*ISNUMBER($H$10:$Z$10)*ISNUMBER(H92:Z92)) = 0,
         0,
         SUMPRODUCT(($H$9:$Z$9="CO7")*ISNUMBER($H$10:$Z$10)*ISNUMBER(H92:Z92)*H92:Z92) /
         SUMPRODUCT(($H$9:$Z$9="CO7")*ISNUMBER($H$10:$Z$10)*ISNUMBER(H92:Z92)*$H$10:$Z$10) * 0.85
       )
     ) * 100,
     ""
   )
)</f>
        <v/>
      </c>
      <c r="AH92" s="3" t="str" cm="1">
        <f t="array" ref="AH92">IF(
   SUMPRODUCT(($C$9:$G$9="CO8")*ISNUMBER($C$10:$G$10)*ISNUMBER(C92:G92)) +
   SUMPRODUCT(($H$9:$Z$9="CO8")*ISNUMBER($H$10:$Z$10)*ISNUMBER(H92:Z92)) = 0,
   "",
   IFERROR(
     (
       IF(
         SUMPRODUCT(($C$9:$G$9="CO8")*ISNUMBER($C$10:$G$10)*ISNUMBER(C92:G92)) = 0,
         0,
         SUMPRODUCT(($C$9:$G$9="CO8")*ISNUMBER($C$10:$G$10)*ISNUMBER(C92:G92)*C92:G92) /
         SUMPRODUCT(($C$9:$G$9="CO8")*ISNUMBER($C$10:$G$10)*ISNUMBER(C92:G92)*$C$10:$G$10) * 0.15
       ) +
       IF(
         SUMPRODUCT(($H$9:$Z$9="CO8")*ISNUMBER($H$10:$Z$10)*ISNUMBER(H92:Z92)) = 0,
         0,
         SUMPRODUCT(($H$9:$Z$9="CO8")*ISNUMBER($H$10:$Z$10)*ISNUMBER(H92:Z92)*H92:Z92) /
         SUMPRODUCT(($H$9:$Z$9="CO8")*ISNUMBER($H$10:$Z$10)*ISNUMBER(H92:Z92)*$H$10:$Z$10) * 0.85
       )
     ) * 100,
     ""
   )
)</f>
        <v/>
      </c>
      <c r="AI92" s="1" t="str">
        <f t="shared" si="14"/>
        <v/>
      </c>
      <c r="AJ92" s="1" t="str">
        <f t="shared" si="15"/>
        <v/>
      </c>
      <c r="AK92" s="1" t="str">
        <f t="shared" si="16"/>
        <v/>
      </c>
      <c r="AL92" s="1" t="str">
        <f t="shared" si="13"/>
        <v/>
      </c>
      <c r="AM92" s="1" t="str">
        <f t="shared" si="13"/>
        <v/>
      </c>
      <c r="AN92" s="1" t="str">
        <f t="shared" si="13"/>
        <v/>
      </c>
      <c r="AO92" s="1" t="str">
        <f t="shared" si="13"/>
        <v/>
      </c>
      <c r="AP92" s="1" t="str">
        <f t="shared" si="13"/>
        <v/>
      </c>
    </row>
    <row r="93" spans="1:42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" t="str" cm="1">
        <f t="array" ref="AA93">IF(
   SUMPRODUCT(($C$9:$G$9="CO1")*ISNUMBER($C$10:$G$10)*ISNUMBER(C93:G93)) +
   SUMPRODUCT(($H$9:$Z$9="CO1")*ISNUMBER($H$10:$Z$10)*ISNUMBER(H93:Z93)) = 0,
   "",
   IFERROR(
     (
       IF(
         SUMPRODUCT(($C$9:$G$9="CO1")*ISNUMBER($C$10:$G$10)*ISNUMBER(C93:G93)) = 0,
         0,
         SUMPRODUCT(($C$9:$G$9="CO1")*ISNUMBER($C$10:$G$10)*ISNUMBER(C93:G93)*C93:G93) /
         SUMPRODUCT(($C$9:$G$9="CO1")*ISNUMBER($C$10:$G$10)*ISNUMBER(C93:G93)*$C$10:$G$10) * 0.15
       ) +
       IF(
         SUMPRODUCT(($H$9:$Z$9="CO1")*ISNUMBER($H$10:$Z$10)*ISNUMBER(H93:Z93)) = 0,
         0,
         SUMPRODUCT(($H$9:$Z$9="CO1")*ISNUMBER($H$10:$Z$10)*ISNUMBER(H93:Z93)*H93:Z93) /
         SUMPRODUCT(($H$9:$Z$9="CO1")*ISNUMBER($H$10:$Z$10)*ISNUMBER(H93:Z93)*$H$10:$Z$10) * 0.85
       )
     ) * 100,
     ""
   )
)</f>
        <v/>
      </c>
      <c r="AB93" s="1" t="str" cm="1">
        <f t="array" ref="AB93">IF(
   SUMPRODUCT(($C$9:$G$9="CO2")*ISNUMBER($C$10:$G$10)*ISNUMBER(C93:G93)) +
   SUMPRODUCT(($H$9:$Z$9="CO2")*ISNUMBER($H$10:$Z$10)*ISNUMBER(H93:Z93)) = 0,
   "",
   IFERROR(
     (
       IF(
         SUMPRODUCT(($C$9:$G$9="CO2")*ISNUMBER($C$10:$G$10)*ISNUMBER(C93:G93)) = 0,
         0,
         SUMPRODUCT(($C$9:$G$9="CO2")*ISNUMBER($C$10:$G$10)*ISNUMBER(C93:G93)*C93:G93) /
         SUMPRODUCT(($C$9:$G$9="CO2")*ISNUMBER($C$10:$G$10)*ISNUMBER(C93:G93)*$C$10:$G$10) * 0.15
       ) +
       IF(
         SUMPRODUCT(($H$9:$Z$9="CO2")*ISNUMBER($H$10:$Z$10)*ISNUMBER(H93:Z93)) = 0,
         0,
         SUMPRODUCT(($H$9:$Z$9="CO2")*ISNUMBER($H$10:$Z$10)*ISNUMBER(H93:Z93)*H93:Z93) /
         SUMPRODUCT(($H$9:$Z$9="CO2")*ISNUMBER($H$10:$Z$10)*ISNUMBER(H93:Z93)*$H$10:$Z$10) * 0.85
       )
     ) * 100,
     ""
   )
)</f>
        <v/>
      </c>
      <c r="AC93" s="1" t="str" cm="1">
        <f t="array" ref="AC93">IF(
   SUMPRODUCT(($C$9:$G$9="CO3")*ISNUMBER($C$10:$G$10)*ISNUMBER(C93:G93)) +
   SUMPRODUCT(($H$9:$Z$9="CO3")*ISNUMBER($H$10:$Z$10)*ISNUMBER(H93:Z93)) = 0,
   "",
   IFERROR(
     (
       IF(
         SUMPRODUCT(($C$9:$G$9="CO3")*ISNUMBER($C$10:$G$10)*ISNUMBER(C93:G93)) = 0,
         0,
         SUMPRODUCT(($C$9:$G$9="CO3")*ISNUMBER($C$10:$G$10)*ISNUMBER(C93:G93)*C93:G93) /
         SUMPRODUCT(($C$9:$G$9="CO3")*ISNUMBER($C$10:$G$10)*ISNUMBER(C93:G93)*$C$10:$G$10) * 0.15
       ) +
       IF(
         SUMPRODUCT(($H$9:$Z$9="CO3")*ISNUMBER($H$10:$Z$10)*ISNUMBER(H93:Z93)) = 0,
         0,
         SUMPRODUCT(($H$9:$Z$9="CO3")*ISNUMBER($H$10:$Z$10)*ISNUMBER(H93:Z93)*H93:Z93) /
         SUMPRODUCT(($H$9:$Z$9="CO3")*ISNUMBER($H$10:$Z$10)*ISNUMBER(H93:Z93)*$H$10:$Z$10) * 0.85
       )
     ) * 100,
     ""
   )
)</f>
        <v/>
      </c>
      <c r="AD93" s="1" t="str" cm="1">
        <f t="array" ref="AD93">IF(
   SUMPRODUCT(($C$9:$G$9="CO4")*ISNUMBER($C$10:$G$10)*ISNUMBER(C93:G93)) +
   SUMPRODUCT(($H$9:$Z$9="CO4")*ISNUMBER($H$10:$Z$10)*ISNUMBER(H93:Z93)) = 0,
   "",
   IFERROR(
     (
       IF(
         SUMPRODUCT(($C$9:$G$9="CO4")*ISNUMBER($C$10:$G$10)*ISNUMBER(C93:G93)) = 0,
         0,
         SUMPRODUCT(($C$9:$G$9="CO4")*ISNUMBER($C$10:$G$10)*ISNUMBER(C93:G93)*C93:G93) /
         SUMPRODUCT(($C$9:$G$9="CO4")*ISNUMBER($C$10:$G$10)*ISNUMBER(C93:G93)*$C$10:$G$10) * 0.15
       ) +
       IF(
         SUMPRODUCT(($H$9:$Z$9="CO4")*ISNUMBER($H$10:$Z$10)*ISNUMBER(H93:Z93)) = 0,
         0,
         SUMPRODUCT(($H$9:$Z$9="CO4")*ISNUMBER($H$10:$Z$10)*ISNUMBER(H93:Z93)*H93:Z93) /
         SUMPRODUCT(($H$9:$Z$9="CO4")*ISNUMBER($H$10:$Z$10)*ISNUMBER(H93:Z93)*$H$10:$Z$10) * 0.85
       )
     ) * 100,
     ""
   )
)</f>
        <v/>
      </c>
      <c r="AE93" s="1" t="str" cm="1">
        <f t="array" ref="AE93">IF(
   SUMPRODUCT(($C$9:$G$9="CO5")*ISNUMBER($C$10:$G$10)*ISNUMBER(C93:G93)) +
   SUMPRODUCT(($H$9:$Z$9="CO5")*ISNUMBER($H$10:$Z$10)*ISNUMBER(H93:Z93)) = 0,
   "",
   IFERROR(
     (
       IF(
         SUMPRODUCT(($C$9:$G$9="CO5")*ISNUMBER($C$10:$G$10)*ISNUMBER(C93:G93)) = 0,
         0,
         SUMPRODUCT(($C$9:$G$9="CO5")*ISNUMBER($C$10:$G$10)*ISNUMBER(C93:G93)*C93:G93) /
         SUMPRODUCT(($C$9:$G$9="CO5")*ISNUMBER($C$10:$G$10)*ISNUMBER(C93:G93)*$C$10:$G$10) * 0.15
       ) +
       IF(
         SUMPRODUCT(($H$9:$Z$9="CO5")*ISNUMBER($H$10:$Z$10)*ISNUMBER(H93:Z93)) = 0,
         0,
         SUMPRODUCT(($H$9:$Z$9="CO5")*ISNUMBER($H$10:$Z$10)*ISNUMBER(H93:Z93)*H93:Z93) /
         SUMPRODUCT(($H$9:$Z$9="CO5")*ISNUMBER($H$10:$Z$10)*ISNUMBER(H93:Z93)*$H$10:$Z$10) * 0.85
       )
     ) * 100,
     ""
   )
)</f>
        <v/>
      </c>
      <c r="AF93" s="1" t="str" cm="1">
        <f t="array" ref="AF93">IF(
   SUMPRODUCT(($C$9:$G$9="CO6")*ISNUMBER($C$10:$G$10)*ISNUMBER(C93:G93)) +
   SUMPRODUCT(($H$9:$Z$9="CO6")*ISNUMBER($H$10:$Z$10)*ISNUMBER(H93:Z93)) = 0,
   "",
   IFERROR(
     (
       IF(
         SUMPRODUCT(($C$9:$G$9="CO6")*ISNUMBER($C$10:$G$10)*ISNUMBER(C93:G93)) = 0,
         0,
         SUMPRODUCT(($C$9:$G$9="CO6")*ISNUMBER($C$10:$G$10)*ISNUMBER(C93:G93)*C93:G93) /
         SUMPRODUCT(($C$9:$G$9="CO6")*ISNUMBER($C$10:$G$10)*ISNUMBER(C93:G93)*$C$10:$G$10) * 0.15
       ) +
       IF(
         SUMPRODUCT(($H$9:$Z$9="CO6")*ISNUMBER($H$10:$Z$10)*ISNUMBER(H93:Z93)) = 0,
         0,
         SUMPRODUCT(($H$9:$Z$9="CO6")*ISNUMBER($H$10:$Z$10)*ISNUMBER(H93:Z93)*H93:Z93) /
         SUMPRODUCT(($H$9:$Z$9="CO6")*ISNUMBER($H$10:$Z$10)*ISNUMBER(H93:Z93)*$H$10:$Z$10) * 0.85
       )
     ) * 100,
     ""
   )
)</f>
        <v/>
      </c>
      <c r="AG93" s="1" t="str" cm="1">
        <f t="array" ref="AG93">IF(
   SUMPRODUCT(($C$9:$G$9="CO7")*ISNUMBER($C$10:$G$10)*ISNUMBER(C93:G93)) +
   SUMPRODUCT(($H$9:$Z$9="CO7")*ISNUMBER($H$10:$Z$10)*ISNUMBER(H93:Z93)) = 0,
   "",
   IFERROR(
     (
       IF(
         SUMPRODUCT(($C$9:$G$9="CO7")*ISNUMBER($C$10:$G$10)*ISNUMBER(C93:G93)) = 0,
         0,
         SUMPRODUCT(($C$9:$G$9="CO7")*ISNUMBER($C$10:$G$10)*ISNUMBER(C93:G93)*C93:G93) /
         SUMPRODUCT(($C$9:$G$9="CO7")*ISNUMBER($C$10:$G$10)*ISNUMBER(C93:G93)*$C$10:$G$10) * 0.15
       ) +
       IF(
         SUMPRODUCT(($H$9:$Z$9="CO7")*ISNUMBER($H$10:$Z$10)*ISNUMBER(H93:Z93)) = 0,
         0,
         SUMPRODUCT(($H$9:$Z$9="CO7")*ISNUMBER($H$10:$Z$10)*ISNUMBER(H93:Z93)*H93:Z93) /
         SUMPRODUCT(($H$9:$Z$9="CO7")*ISNUMBER($H$10:$Z$10)*ISNUMBER(H93:Z93)*$H$10:$Z$10) * 0.85
       )
     ) * 100,
     ""
   )
)</f>
        <v/>
      </c>
      <c r="AH93" s="3" t="str" cm="1">
        <f t="array" ref="AH93">IF(
   SUMPRODUCT(($C$9:$G$9="CO8")*ISNUMBER($C$10:$G$10)*ISNUMBER(C93:G93)) +
   SUMPRODUCT(($H$9:$Z$9="CO8")*ISNUMBER($H$10:$Z$10)*ISNUMBER(H93:Z93)) = 0,
   "",
   IFERROR(
     (
       IF(
         SUMPRODUCT(($C$9:$G$9="CO8")*ISNUMBER($C$10:$G$10)*ISNUMBER(C93:G93)) = 0,
         0,
         SUMPRODUCT(($C$9:$G$9="CO8")*ISNUMBER($C$10:$G$10)*ISNUMBER(C93:G93)*C93:G93) /
         SUMPRODUCT(($C$9:$G$9="CO8")*ISNUMBER($C$10:$G$10)*ISNUMBER(C93:G93)*$C$10:$G$10) * 0.15
       ) +
       IF(
         SUMPRODUCT(($H$9:$Z$9="CO8")*ISNUMBER($H$10:$Z$10)*ISNUMBER(H93:Z93)) = 0,
         0,
         SUMPRODUCT(($H$9:$Z$9="CO8")*ISNUMBER($H$10:$Z$10)*ISNUMBER(H93:Z93)*H93:Z93) /
         SUMPRODUCT(($H$9:$Z$9="CO8")*ISNUMBER($H$10:$Z$10)*ISNUMBER(H93:Z93)*$H$10:$Z$10) * 0.85
       )
     ) * 100,
     ""
   )
)</f>
        <v/>
      </c>
      <c r="AI93" s="1" t="str">
        <f t="shared" si="14"/>
        <v/>
      </c>
      <c r="AJ93" s="1" t="str">
        <f t="shared" si="15"/>
        <v/>
      </c>
      <c r="AK93" s="1" t="str">
        <f t="shared" si="16"/>
        <v/>
      </c>
      <c r="AL93" s="1" t="str">
        <f t="shared" si="13"/>
        <v/>
      </c>
      <c r="AM93" s="1" t="str">
        <f t="shared" si="13"/>
        <v/>
      </c>
      <c r="AN93" s="1" t="str">
        <f t="shared" si="13"/>
        <v/>
      </c>
      <c r="AO93" s="1" t="str">
        <f t="shared" si="13"/>
        <v/>
      </c>
      <c r="AP93" s="1" t="str">
        <f t="shared" si="13"/>
        <v/>
      </c>
    </row>
    <row r="94" spans="1:42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" t="str" cm="1">
        <f t="array" ref="AA94">IF(
   SUMPRODUCT(($C$9:$G$9="CO1")*ISNUMBER($C$10:$G$10)*ISNUMBER(C94:G94)) +
   SUMPRODUCT(($H$9:$Z$9="CO1")*ISNUMBER($H$10:$Z$10)*ISNUMBER(H94:Z94)) = 0,
   "",
   IFERROR(
     (
       IF(
         SUMPRODUCT(($C$9:$G$9="CO1")*ISNUMBER($C$10:$G$10)*ISNUMBER(C94:G94)) = 0,
         0,
         SUMPRODUCT(($C$9:$G$9="CO1")*ISNUMBER($C$10:$G$10)*ISNUMBER(C94:G94)*C94:G94) /
         SUMPRODUCT(($C$9:$G$9="CO1")*ISNUMBER($C$10:$G$10)*ISNUMBER(C94:G94)*$C$10:$G$10) * 0.15
       ) +
       IF(
         SUMPRODUCT(($H$9:$Z$9="CO1")*ISNUMBER($H$10:$Z$10)*ISNUMBER(H94:Z94)) = 0,
         0,
         SUMPRODUCT(($H$9:$Z$9="CO1")*ISNUMBER($H$10:$Z$10)*ISNUMBER(H94:Z94)*H94:Z94) /
         SUMPRODUCT(($H$9:$Z$9="CO1")*ISNUMBER($H$10:$Z$10)*ISNUMBER(H94:Z94)*$H$10:$Z$10) * 0.85
       )
     ) * 100,
     ""
   )
)</f>
        <v/>
      </c>
      <c r="AB94" s="1" t="str" cm="1">
        <f t="array" ref="AB94">IF(
   SUMPRODUCT(($C$9:$G$9="CO2")*ISNUMBER($C$10:$G$10)*ISNUMBER(C94:G94)) +
   SUMPRODUCT(($H$9:$Z$9="CO2")*ISNUMBER($H$10:$Z$10)*ISNUMBER(H94:Z94)) = 0,
   "",
   IFERROR(
     (
       IF(
         SUMPRODUCT(($C$9:$G$9="CO2")*ISNUMBER($C$10:$G$10)*ISNUMBER(C94:G94)) = 0,
         0,
         SUMPRODUCT(($C$9:$G$9="CO2")*ISNUMBER($C$10:$G$10)*ISNUMBER(C94:G94)*C94:G94) /
         SUMPRODUCT(($C$9:$G$9="CO2")*ISNUMBER($C$10:$G$10)*ISNUMBER(C94:G94)*$C$10:$G$10) * 0.15
       ) +
       IF(
         SUMPRODUCT(($H$9:$Z$9="CO2")*ISNUMBER($H$10:$Z$10)*ISNUMBER(H94:Z94)) = 0,
         0,
         SUMPRODUCT(($H$9:$Z$9="CO2")*ISNUMBER($H$10:$Z$10)*ISNUMBER(H94:Z94)*H94:Z94) /
         SUMPRODUCT(($H$9:$Z$9="CO2")*ISNUMBER($H$10:$Z$10)*ISNUMBER(H94:Z94)*$H$10:$Z$10) * 0.85
       )
     ) * 100,
     ""
   )
)</f>
        <v/>
      </c>
      <c r="AC94" s="1" t="str" cm="1">
        <f t="array" ref="AC94">IF(
   SUMPRODUCT(($C$9:$G$9="CO3")*ISNUMBER($C$10:$G$10)*ISNUMBER(C94:G94)) +
   SUMPRODUCT(($H$9:$Z$9="CO3")*ISNUMBER($H$10:$Z$10)*ISNUMBER(H94:Z94)) = 0,
   "",
   IFERROR(
     (
       IF(
         SUMPRODUCT(($C$9:$G$9="CO3")*ISNUMBER($C$10:$G$10)*ISNUMBER(C94:G94)) = 0,
         0,
         SUMPRODUCT(($C$9:$G$9="CO3")*ISNUMBER($C$10:$G$10)*ISNUMBER(C94:G94)*C94:G94) /
         SUMPRODUCT(($C$9:$G$9="CO3")*ISNUMBER($C$10:$G$10)*ISNUMBER(C94:G94)*$C$10:$G$10) * 0.15
       ) +
       IF(
         SUMPRODUCT(($H$9:$Z$9="CO3")*ISNUMBER($H$10:$Z$10)*ISNUMBER(H94:Z94)) = 0,
         0,
         SUMPRODUCT(($H$9:$Z$9="CO3")*ISNUMBER($H$10:$Z$10)*ISNUMBER(H94:Z94)*H94:Z94) /
         SUMPRODUCT(($H$9:$Z$9="CO3")*ISNUMBER($H$10:$Z$10)*ISNUMBER(H94:Z94)*$H$10:$Z$10) * 0.85
       )
     ) * 100,
     ""
   )
)</f>
        <v/>
      </c>
      <c r="AD94" s="1" t="str" cm="1">
        <f t="array" ref="AD94">IF(
   SUMPRODUCT(($C$9:$G$9="CO4")*ISNUMBER($C$10:$G$10)*ISNUMBER(C94:G94)) +
   SUMPRODUCT(($H$9:$Z$9="CO4")*ISNUMBER($H$10:$Z$10)*ISNUMBER(H94:Z94)) = 0,
   "",
   IFERROR(
     (
       IF(
         SUMPRODUCT(($C$9:$G$9="CO4")*ISNUMBER($C$10:$G$10)*ISNUMBER(C94:G94)) = 0,
         0,
         SUMPRODUCT(($C$9:$G$9="CO4")*ISNUMBER($C$10:$G$10)*ISNUMBER(C94:G94)*C94:G94) /
         SUMPRODUCT(($C$9:$G$9="CO4")*ISNUMBER($C$10:$G$10)*ISNUMBER(C94:G94)*$C$10:$G$10) * 0.15
       ) +
       IF(
         SUMPRODUCT(($H$9:$Z$9="CO4")*ISNUMBER($H$10:$Z$10)*ISNUMBER(H94:Z94)) = 0,
         0,
         SUMPRODUCT(($H$9:$Z$9="CO4")*ISNUMBER($H$10:$Z$10)*ISNUMBER(H94:Z94)*H94:Z94) /
         SUMPRODUCT(($H$9:$Z$9="CO4")*ISNUMBER($H$10:$Z$10)*ISNUMBER(H94:Z94)*$H$10:$Z$10) * 0.85
       )
     ) * 100,
     ""
   )
)</f>
        <v/>
      </c>
      <c r="AE94" s="1" t="str" cm="1">
        <f t="array" ref="AE94">IF(
   SUMPRODUCT(($C$9:$G$9="CO5")*ISNUMBER($C$10:$G$10)*ISNUMBER(C94:G94)) +
   SUMPRODUCT(($H$9:$Z$9="CO5")*ISNUMBER($H$10:$Z$10)*ISNUMBER(H94:Z94)) = 0,
   "",
   IFERROR(
     (
       IF(
         SUMPRODUCT(($C$9:$G$9="CO5")*ISNUMBER($C$10:$G$10)*ISNUMBER(C94:G94)) = 0,
         0,
         SUMPRODUCT(($C$9:$G$9="CO5")*ISNUMBER($C$10:$G$10)*ISNUMBER(C94:G94)*C94:G94) /
         SUMPRODUCT(($C$9:$G$9="CO5")*ISNUMBER($C$10:$G$10)*ISNUMBER(C94:G94)*$C$10:$G$10) * 0.15
       ) +
       IF(
         SUMPRODUCT(($H$9:$Z$9="CO5")*ISNUMBER($H$10:$Z$10)*ISNUMBER(H94:Z94)) = 0,
         0,
         SUMPRODUCT(($H$9:$Z$9="CO5")*ISNUMBER($H$10:$Z$10)*ISNUMBER(H94:Z94)*H94:Z94) /
         SUMPRODUCT(($H$9:$Z$9="CO5")*ISNUMBER($H$10:$Z$10)*ISNUMBER(H94:Z94)*$H$10:$Z$10) * 0.85
       )
     ) * 100,
     ""
   )
)</f>
        <v/>
      </c>
      <c r="AF94" s="1" t="str" cm="1">
        <f t="array" ref="AF94">IF(
   SUMPRODUCT(($C$9:$G$9="CO6")*ISNUMBER($C$10:$G$10)*ISNUMBER(C94:G94)) +
   SUMPRODUCT(($H$9:$Z$9="CO6")*ISNUMBER($H$10:$Z$10)*ISNUMBER(H94:Z94)) = 0,
   "",
   IFERROR(
     (
       IF(
         SUMPRODUCT(($C$9:$G$9="CO6")*ISNUMBER($C$10:$G$10)*ISNUMBER(C94:G94)) = 0,
         0,
         SUMPRODUCT(($C$9:$G$9="CO6")*ISNUMBER($C$10:$G$10)*ISNUMBER(C94:G94)*C94:G94) /
         SUMPRODUCT(($C$9:$G$9="CO6")*ISNUMBER($C$10:$G$10)*ISNUMBER(C94:G94)*$C$10:$G$10) * 0.15
       ) +
       IF(
         SUMPRODUCT(($H$9:$Z$9="CO6")*ISNUMBER($H$10:$Z$10)*ISNUMBER(H94:Z94)) = 0,
         0,
         SUMPRODUCT(($H$9:$Z$9="CO6")*ISNUMBER($H$10:$Z$10)*ISNUMBER(H94:Z94)*H94:Z94) /
         SUMPRODUCT(($H$9:$Z$9="CO6")*ISNUMBER($H$10:$Z$10)*ISNUMBER(H94:Z94)*$H$10:$Z$10) * 0.85
       )
     ) * 100,
     ""
   )
)</f>
        <v/>
      </c>
      <c r="AG94" s="1" t="str" cm="1">
        <f t="array" ref="AG94">IF(
   SUMPRODUCT(($C$9:$G$9="CO7")*ISNUMBER($C$10:$G$10)*ISNUMBER(C94:G94)) +
   SUMPRODUCT(($H$9:$Z$9="CO7")*ISNUMBER($H$10:$Z$10)*ISNUMBER(H94:Z94)) = 0,
   "",
   IFERROR(
     (
       IF(
         SUMPRODUCT(($C$9:$G$9="CO7")*ISNUMBER($C$10:$G$10)*ISNUMBER(C94:G94)) = 0,
         0,
         SUMPRODUCT(($C$9:$G$9="CO7")*ISNUMBER($C$10:$G$10)*ISNUMBER(C94:G94)*C94:G94) /
         SUMPRODUCT(($C$9:$G$9="CO7")*ISNUMBER($C$10:$G$10)*ISNUMBER(C94:G94)*$C$10:$G$10) * 0.15
       ) +
       IF(
         SUMPRODUCT(($H$9:$Z$9="CO7")*ISNUMBER($H$10:$Z$10)*ISNUMBER(H94:Z94)) = 0,
         0,
         SUMPRODUCT(($H$9:$Z$9="CO7")*ISNUMBER($H$10:$Z$10)*ISNUMBER(H94:Z94)*H94:Z94) /
         SUMPRODUCT(($H$9:$Z$9="CO7")*ISNUMBER($H$10:$Z$10)*ISNUMBER(H94:Z94)*$H$10:$Z$10) * 0.85
       )
     ) * 100,
     ""
   )
)</f>
        <v/>
      </c>
      <c r="AH94" s="3" t="str" cm="1">
        <f t="array" ref="AH94">IF(
   SUMPRODUCT(($C$9:$G$9="CO8")*ISNUMBER($C$10:$G$10)*ISNUMBER(C94:G94)) +
   SUMPRODUCT(($H$9:$Z$9="CO8")*ISNUMBER($H$10:$Z$10)*ISNUMBER(H94:Z94)) = 0,
   "",
   IFERROR(
     (
       IF(
         SUMPRODUCT(($C$9:$G$9="CO8")*ISNUMBER($C$10:$G$10)*ISNUMBER(C94:G94)) = 0,
         0,
         SUMPRODUCT(($C$9:$G$9="CO8")*ISNUMBER($C$10:$G$10)*ISNUMBER(C94:G94)*C94:G94) /
         SUMPRODUCT(($C$9:$G$9="CO8")*ISNUMBER($C$10:$G$10)*ISNUMBER(C94:G94)*$C$10:$G$10) * 0.15
       ) +
       IF(
         SUMPRODUCT(($H$9:$Z$9="CO8")*ISNUMBER($H$10:$Z$10)*ISNUMBER(H94:Z94)) = 0,
         0,
         SUMPRODUCT(($H$9:$Z$9="CO8")*ISNUMBER($H$10:$Z$10)*ISNUMBER(H94:Z94)*H94:Z94) /
         SUMPRODUCT(($H$9:$Z$9="CO8")*ISNUMBER($H$10:$Z$10)*ISNUMBER(H94:Z94)*$H$10:$Z$10) * 0.85
       )
     ) * 100,
     ""
   )
)</f>
        <v/>
      </c>
      <c r="AI94" s="1" t="str">
        <f t="shared" si="14"/>
        <v/>
      </c>
      <c r="AJ94" s="1" t="str">
        <f t="shared" si="15"/>
        <v/>
      </c>
      <c r="AK94" s="1" t="str">
        <f t="shared" si="16"/>
        <v/>
      </c>
      <c r="AL94" s="1" t="str">
        <f t="shared" si="13"/>
        <v/>
      </c>
      <c r="AM94" s="1" t="str">
        <f t="shared" si="13"/>
        <v/>
      </c>
      <c r="AN94" s="1" t="str">
        <f t="shared" si="13"/>
        <v/>
      </c>
      <c r="AO94" s="1" t="str">
        <f t="shared" si="13"/>
        <v/>
      </c>
      <c r="AP94" s="1" t="str">
        <f t="shared" si="13"/>
        <v/>
      </c>
    </row>
    <row r="95" spans="1:42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" t="str" cm="1">
        <f t="array" ref="AA95">IF(
   SUMPRODUCT(($C$9:$G$9="CO1")*ISNUMBER($C$10:$G$10)*ISNUMBER(C95:G95)) +
   SUMPRODUCT(($H$9:$Z$9="CO1")*ISNUMBER($H$10:$Z$10)*ISNUMBER(H95:Z95)) = 0,
   "",
   IFERROR(
     (
       IF(
         SUMPRODUCT(($C$9:$G$9="CO1")*ISNUMBER($C$10:$G$10)*ISNUMBER(C95:G95)) = 0,
         0,
         SUMPRODUCT(($C$9:$G$9="CO1")*ISNUMBER($C$10:$G$10)*ISNUMBER(C95:G95)*C95:G95) /
         SUMPRODUCT(($C$9:$G$9="CO1")*ISNUMBER($C$10:$G$10)*ISNUMBER(C95:G95)*$C$10:$G$10) * 0.15
       ) +
       IF(
         SUMPRODUCT(($H$9:$Z$9="CO1")*ISNUMBER($H$10:$Z$10)*ISNUMBER(H95:Z95)) = 0,
         0,
         SUMPRODUCT(($H$9:$Z$9="CO1")*ISNUMBER($H$10:$Z$10)*ISNUMBER(H95:Z95)*H95:Z95) /
         SUMPRODUCT(($H$9:$Z$9="CO1")*ISNUMBER($H$10:$Z$10)*ISNUMBER(H95:Z95)*$H$10:$Z$10) * 0.85
       )
     ) * 100,
     ""
   )
)</f>
        <v/>
      </c>
      <c r="AB95" s="1" t="str" cm="1">
        <f t="array" ref="AB95">IF(
   SUMPRODUCT(($C$9:$G$9="CO2")*ISNUMBER($C$10:$G$10)*ISNUMBER(C95:G95)) +
   SUMPRODUCT(($H$9:$Z$9="CO2")*ISNUMBER($H$10:$Z$10)*ISNUMBER(H95:Z95)) = 0,
   "",
   IFERROR(
     (
       IF(
         SUMPRODUCT(($C$9:$G$9="CO2")*ISNUMBER($C$10:$G$10)*ISNUMBER(C95:G95)) = 0,
         0,
         SUMPRODUCT(($C$9:$G$9="CO2")*ISNUMBER($C$10:$G$10)*ISNUMBER(C95:G95)*C95:G95) /
         SUMPRODUCT(($C$9:$G$9="CO2")*ISNUMBER($C$10:$G$10)*ISNUMBER(C95:G95)*$C$10:$G$10) * 0.15
       ) +
       IF(
         SUMPRODUCT(($H$9:$Z$9="CO2")*ISNUMBER($H$10:$Z$10)*ISNUMBER(H95:Z95)) = 0,
         0,
         SUMPRODUCT(($H$9:$Z$9="CO2")*ISNUMBER($H$10:$Z$10)*ISNUMBER(H95:Z95)*H95:Z95) /
         SUMPRODUCT(($H$9:$Z$9="CO2")*ISNUMBER($H$10:$Z$10)*ISNUMBER(H95:Z95)*$H$10:$Z$10) * 0.85
       )
     ) * 100,
     ""
   )
)</f>
        <v/>
      </c>
      <c r="AC95" s="1" t="str" cm="1">
        <f t="array" ref="AC95">IF(
   SUMPRODUCT(($C$9:$G$9="CO3")*ISNUMBER($C$10:$G$10)*ISNUMBER(C95:G95)) +
   SUMPRODUCT(($H$9:$Z$9="CO3")*ISNUMBER($H$10:$Z$10)*ISNUMBER(H95:Z95)) = 0,
   "",
   IFERROR(
     (
       IF(
         SUMPRODUCT(($C$9:$G$9="CO3")*ISNUMBER($C$10:$G$10)*ISNUMBER(C95:G95)) = 0,
         0,
         SUMPRODUCT(($C$9:$G$9="CO3")*ISNUMBER($C$10:$G$10)*ISNUMBER(C95:G95)*C95:G95) /
         SUMPRODUCT(($C$9:$G$9="CO3")*ISNUMBER($C$10:$G$10)*ISNUMBER(C95:G95)*$C$10:$G$10) * 0.15
       ) +
       IF(
         SUMPRODUCT(($H$9:$Z$9="CO3")*ISNUMBER($H$10:$Z$10)*ISNUMBER(H95:Z95)) = 0,
         0,
         SUMPRODUCT(($H$9:$Z$9="CO3")*ISNUMBER($H$10:$Z$10)*ISNUMBER(H95:Z95)*H95:Z95) /
         SUMPRODUCT(($H$9:$Z$9="CO3")*ISNUMBER($H$10:$Z$10)*ISNUMBER(H95:Z95)*$H$10:$Z$10) * 0.85
       )
     ) * 100,
     ""
   )
)</f>
        <v/>
      </c>
      <c r="AD95" s="1" t="str" cm="1">
        <f t="array" ref="AD95">IF(
   SUMPRODUCT(($C$9:$G$9="CO4")*ISNUMBER($C$10:$G$10)*ISNUMBER(C95:G95)) +
   SUMPRODUCT(($H$9:$Z$9="CO4")*ISNUMBER($H$10:$Z$10)*ISNUMBER(H95:Z95)) = 0,
   "",
   IFERROR(
     (
       IF(
         SUMPRODUCT(($C$9:$G$9="CO4")*ISNUMBER($C$10:$G$10)*ISNUMBER(C95:G95)) = 0,
         0,
         SUMPRODUCT(($C$9:$G$9="CO4")*ISNUMBER($C$10:$G$10)*ISNUMBER(C95:G95)*C95:G95) /
         SUMPRODUCT(($C$9:$G$9="CO4")*ISNUMBER($C$10:$G$10)*ISNUMBER(C95:G95)*$C$10:$G$10) * 0.15
       ) +
       IF(
         SUMPRODUCT(($H$9:$Z$9="CO4")*ISNUMBER($H$10:$Z$10)*ISNUMBER(H95:Z95)) = 0,
         0,
         SUMPRODUCT(($H$9:$Z$9="CO4")*ISNUMBER($H$10:$Z$10)*ISNUMBER(H95:Z95)*H95:Z95) /
         SUMPRODUCT(($H$9:$Z$9="CO4")*ISNUMBER($H$10:$Z$10)*ISNUMBER(H95:Z95)*$H$10:$Z$10) * 0.85
       )
     ) * 100,
     ""
   )
)</f>
        <v/>
      </c>
      <c r="AE95" s="1" t="str" cm="1">
        <f t="array" ref="AE95">IF(
   SUMPRODUCT(($C$9:$G$9="CO5")*ISNUMBER($C$10:$G$10)*ISNUMBER(C95:G95)) +
   SUMPRODUCT(($H$9:$Z$9="CO5")*ISNUMBER($H$10:$Z$10)*ISNUMBER(H95:Z95)) = 0,
   "",
   IFERROR(
     (
       IF(
         SUMPRODUCT(($C$9:$G$9="CO5")*ISNUMBER($C$10:$G$10)*ISNUMBER(C95:G95)) = 0,
         0,
         SUMPRODUCT(($C$9:$G$9="CO5")*ISNUMBER($C$10:$G$10)*ISNUMBER(C95:G95)*C95:G95) /
         SUMPRODUCT(($C$9:$G$9="CO5")*ISNUMBER($C$10:$G$10)*ISNUMBER(C95:G95)*$C$10:$G$10) * 0.15
       ) +
       IF(
         SUMPRODUCT(($H$9:$Z$9="CO5")*ISNUMBER($H$10:$Z$10)*ISNUMBER(H95:Z95)) = 0,
         0,
         SUMPRODUCT(($H$9:$Z$9="CO5")*ISNUMBER($H$10:$Z$10)*ISNUMBER(H95:Z95)*H95:Z95) /
         SUMPRODUCT(($H$9:$Z$9="CO5")*ISNUMBER($H$10:$Z$10)*ISNUMBER(H95:Z95)*$H$10:$Z$10) * 0.85
       )
     ) * 100,
     ""
   )
)</f>
        <v/>
      </c>
      <c r="AF95" s="1" t="str" cm="1">
        <f t="array" ref="AF95">IF(
   SUMPRODUCT(($C$9:$G$9="CO6")*ISNUMBER($C$10:$G$10)*ISNUMBER(C95:G95)) +
   SUMPRODUCT(($H$9:$Z$9="CO6")*ISNUMBER($H$10:$Z$10)*ISNUMBER(H95:Z95)) = 0,
   "",
   IFERROR(
     (
       IF(
         SUMPRODUCT(($C$9:$G$9="CO6")*ISNUMBER($C$10:$G$10)*ISNUMBER(C95:G95)) = 0,
         0,
         SUMPRODUCT(($C$9:$G$9="CO6")*ISNUMBER($C$10:$G$10)*ISNUMBER(C95:G95)*C95:G95) /
         SUMPRODUCT(($C$9:$G$9="CO6")*ISNUMBER($C$10:$G$10)*ISNUMBER(C95:G95)*$C$10:$G$10) * 0.15
       ) +
       IF(
         SUMPRODUCT(($H$9:$Z$9="CO6")*ISNUMBER($H$10:$Z$10)*ISNUMBER(H95:Z95)) = 0,
         0,
         SUMPRODUCT(($H$9:$Z$9="CO6")*ISNUMBER($H$10:$Z$10)*ISNUMBER(H95:Z95)*H95:Z95) /
         SUMPRODUCT(($H$9:$Z$9="CO6")*ISNUMBER($H$10:$Z$10)*ISNUMBER(H95:Z95)*$H$10:$Z$10) * 0.85
       )
     ) * 100,
     ""
   )
)</f>
        <v/>
      </c>
      <c r="AG95" s="1" t="str" cm="1">
        <f t="array" ref="AG95">IF(
   SUMPRODUCT(($C$9:$G$9="CO7")*ISNUMBER($C$10:$G$10)*ISNUMBER(C95:G95)) +
   SUMPRODUCT(($H$9:$Z$9="CO7")*ISNUMBER($H$10:$Z$10)*ISNUMBER(H95:Z95)) = 0,
   "",
   IFERROR(
     (
       IF(
         SUMPRODUCT(($C$9:$G$9="CO7")*ISNUMBER($C$10:$G$10)*ISNUMBER(C95:G95)) = 0,
         0,
         SUMPRODUCT(($C$9:$G$9="CO7")*ISNUMBER($C$10:$G$10)*ISNUMBER(C95:G95)*C95:G95) /
         SUMPRODUCT(($C$9:$G$9="CO7")*ISNUMBER($C$10:$G$10)*ISNUMBER(C95:G95)*$C$10:$G$10) * 0.15
       ) +
       IF(
         SUMPRODUCT(($H$9:$Z$9="CO7")*ISNUMBER($H$10:$Z$10)*ISNUMBER(H95:Z95)) = 0,
         0,
         SUMPRODUCT(($H$9:$Z$9="CO7")*ISNUMBER($H$10:$Z$10)*ISNUMBER(H95:Z95)*H95:Z95) /
         SUMPRODUCT(($H$9:$Z$9="CO7")*ISNUMBER($H$10:$Z$10)*ISNUMBER(H95:Z95)*$H$10:$Z$10) * 0.85
       )
     ) * 100,
     ""
   )
)</f>
        <v/>
      </c>
      <c r="AH95" s="3" t="str" cm="1">
        <f t="array" ref="AH95">IF(
   SUMPRODUCT(($C$9:$G$9="CO8")*ISNUMBER($C$10:$G$10)*ISNUMBER(C95:G95)) +
   SUMPRODUCT(($H$9:$Z$9="CO8")*ISNUMBER($H$10:$Z$10)*ISNUMBER(H95:Z95)) = 0,
   "",
   IFERROR(
     (
       IF(
         SUMPRODUCT(($C$9:$G$9="CO8")*ISNUMBER($C$10:$G$10)*ISNUMBER(C95:G95)) = 0,
         0,
         SUMPRODUCT(($C$9:$G$9="CO8")*ISNUMBER($C$10:$G$10)*ISNUMBER(C95:G95)*C95:G95) /
         SUMPRODUCT(($C$9:$G$9="CO8")*ISNUMBER($C$10:$G$10)*ISNUMBER(C95:G95)*$C$10:$G$10) * 0.15
       ) +
       IF(
         SUMPRODUCT(($H$9:$Z$9="CO8")*ISNUMBER($H$10:$Z$10)*ISNUMBER(H95:Z95)) = 0,
         0,
         SUMPRODUCT(($H$9:$Z$9="CO8")*ISNUMBER($H$10:$Z$10)*ISNUMBER(H95:Z95)*H95:Z95) /
         SUMPRODUCT(($H$9:$Z$9="CO8")*ISNUMBER($H$10:$Z$10)*ISNUMBER(H95:Z95)*$H$10:$Z$10) * 0.85
       )
     ) * 100,
     ""
   )
)</f>
        <v/>
      </c>
      <c r="AI95" s="1" t="str">
        <f t="shared" si="14"/>
        <v/>
      </c>
      <c r="AJ95" s="1" t="str">
        <f t="shared" si="15"/>
        <v/>
      </c>
      <c r="AK95" s="1" t="str">
        <f t="shared" si="16"/>
        <v/>
      </c>
      <c r="AL95" s="1" t="str">
        <f t="shared" si="13"/>
        <v/>
      </c>
      <c r="AM95" s="1" t="str">
        <f t="shared" si="13"/>
        <v/>
      </c>
      <c r="AN95" s="1" t="str">
        <f t="shared" si="13"/>
        <v/>
      </c>
      <c r="AO95" s="1" t="str">
        <f t="shared" si="13"/>
        <v/>
      </c>
      <c r="AP95" s="1" t="str">
        <f t="shared" si="13"/>
        <v/>
      </c>
    </row>
    <row r="96" spans="1:42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" t="str" cm="1">
        <f t="array" ref="AA96">IF(
   SUMPRODUCT(($C$9:$G$9="CO1")*ISNUMBER($C$10:$G$10)*ISNUMBER(C96:G96)) +
   SUMPRODUCT(($H$9:$Z$9="CO1")*ISNUMBER($H$10:$Z$10)*ISNUMBER(H96:Z96)) = 0,
   "",
   IFERROR(
     (
       IF(
         SUMPRODUCT(($C$9:$G$9="CO1")*ISNUMBER($C$10:$G$10)*ISNUMBER(C96:G96)) = 0,
         0,
         SUMPRODUCT(($C$9:$G$9="CO1")*ISNUMBER($C$10:$G$10)*ISNUMBER(C96:G96)*C96:G96) /
         SUMPRODUCT(($C$9:$G$9="CO1")*ISNUMBER($C$10:$G$10)*ISNUMBER(C96:G96)*$C$10:$G$10) * 0.15
       ) +
       IF(
         SUMPRODUCT(($H$9:$Z$9="CO1")*ISNUMBER($H$10:$Z$10)*ISNUMBER(H96:Z96)) = 0,
         0,
         SUMPRODUCT(($H$9:$Z$9="CO1")*ISNUMBER($H$10:$Z$10)*ISNUMBER(H96:Z96)*H96:Z96) /
         SUMPRODUCT(($H$9:$Z$9="CO1")*ISNUMBER($H$10:$Z$10)*ISNUMBER(H96:Z96)*$H$10:$Z$10) * 0.85
       )
     ) * 100,
     ""
   )
)</f>
        <v/>
      </c>
      <c r="AB96" s="1" t="str" cm="1">
        <f t="array" ref="AB96">IF(
   SUMPRODUCT(($C$9:$G$9="CO2")*ISNUMBER($C$10:$G$10)*ISNUMBER(C96:G96)) +
   SUMPRODUCT(($H$9:$Z$9="CO2")*ISNUMBER($H$10:$Z$10)*ISNUMBER(H96:Z96)) = 0,
   "",
   IFERROR(
     (
       IF(
         SUMPRODUCT(($C$9:$G$9="CO2")*ISNUMBER($C$10:$G$10)*ISNUMBER(C96:G96)) = 0,
         0,
         SUMPRODUCT(($C$9:$G$9="CO2")*ISNUMBER($C$10:$G$10)*ISNUMBER(C96:G96)*C96:G96) /
         SUMPRODUCT(($C$9:$G$9="CO2")*ISNUMBER($C$10:$G$10)*ISNUMBER(C96:G96)*$C$10:$G$10) * 0.15
       ) +
       IF(
         SUMPRODUCT(($H$9:$Z$9="CO2")*ISNUMBER($H$10:$Z$10)*ISNUMBER(H96:Z96)) = 0,
         0,
         SUMPRODUCT(($H$9:$Z$9="CO2")*ISNUMBER($H$10:$Z$10)*ISNUMBER(H96:Z96)*H96:Z96) /
         SUMPRODUCT(($H$9:$Z$9="CO2")*ISNUMBER($H$10:$Z$10)*ISNUMBER(H96:Z96)*$H$10:$Z$10) * 0.85
       )
     ) * 100,
     ""
   )
)</f>
        <v/>
      </c>
      <c r="AC96" s="1" t="str" cm="1">
        <f t="array" ref="AC96">IF(
   SUMPRODUCT(($C$9:$G$9="CO3")*ISNUMBER($C$10:$G$10)*ISNUMBER(C96:G96)) +
   SUMPRODUCT(($H$9:$Z$9="CO3")*ISNUMBER($H$10:$Z$10)*ISNUMBER(H96:Z96)) = 0,
   "",
   IFERROR(
     (
       IF(
         SUMPRODUCT(($C$9:$G$9="CO3")*ISNUMBER($C$10:$G$10)*ISNUMBER(C96:G96)) = 0,
         0,
         SUMPRODUCT(($C$9:$G$9="CO3")*ISNUMBER($C$10:$G$10)*ISNUMBER(C96:G96)*C96:G96) /
         SUMPRODUCT(($C$9:$G$9="CO3")*ISNUMBER($C$10:$G$10)*ISNUMBER(C96:G96)*$C$10:$G$10) * 0.15
       ) +
       IF(
         SUMPRODUCT(($H$9:$Z$9="CO3")*ISNUMBER($H$10:$Z$10)*ISNUMBER(H96:Z96)) = 0,
         0,
         SUMPRODUCT(($H$9:$Z$9="CO3")*ISNUMBER($H$10:$Z$10)*ISNUMBER(H96:Z96)*H96:Z96) /
         SUMPRODUCT(($H$9:$Z$9="CO3")*ISNUMBER($H$10:$Z$10)*ISNUMBER(H96:Z96)*$H$10:$Z$10) * 0.85
       )
     ) * 100,
     ""
   )
)</f>
        <v/>
      </c>
      <c r="AD96" s="1" t="str" cm="1">
        <f t="array" ref="AD96">IF(
   SUMPRODUCT(($C$9:$G$9="CO4")*ISNUMBER($C$10:$G$10)*ISNUMBER(C96:G96)) +
   SUMPRODUCT(($H$9:$Z$9="CO4")*ISNUMBER($H$10:$Z$10)*ISNUMBER(H96:Z96)) = 0,
   "",
   IFERROR(
     (
       IF(
         SUMPRODUCT(($C$9:$G$9="CO4")*ISNUMBER($C$10:$G$10)*ISNUMBER(C96:G96)) = 0,
         0,
         SUMPRODUCT(($C$9:$G$9="CO4")*ISNUMBER($C$10:$G$10)*ISNUMBER(C96:G96)*C96:G96) /
         SUMPRODUCT(($C$9:$G$9="CO4")*ISNUMBER($C$10:$G$10)*ISNUMBER(C96:G96)*$C$10:$G$10) * 0.15
       ) +
       IF(
         SUMPRODUCT(($H$9:$Z$9="CO4")*ISNUMBER($H$10:$Z$10)*ISNUMBER(H96:Z96)) = 0,
         0,
         SUMPRODUCT(($H$9:$Z$9="CO4")*ISNUMBER($H$10:$Z$10)*ISNUMBER(H96:Z96)*H96:Z96) /
         SUMPRODUCT(($H$9:$Z$9="CO4")*ISNUMBER($H$10:$Z$10)*ISNUMBER(H96:Z96)*$H$10:$Z$10) * 0.85
       )
     ) * 100,
     ""
   )
)</f>
        <v/>
      </c>
      <c r="AE96" s="1" t="str" cm="1">
        <f t="array" ref="AE96">IF(
   SUMPRODUCT(($C$9:$G$9="CO5")*ISNUMBER($C$10:$G$10)*ISNUMBER(C96:G96)) +
   SUMPRODUCT(($H$9:$Z$9="CO5")*ISNUMBER($H$10:$Z$10)*ISNUMBER(H96:Z96)) = 0,
   "",
   IFERROR(
     (
       IF(
         SUMPRODUCT(($C$9:$G$9="CO5")*ISNUMBER($C$10:$G$10)*ISNUMBER(C96:G96)) = 0,
         0,
         SUMPRODUCT(($C$9:$G$9="CO5")*ISNUMBER($C$10:$G$10)*ISNUMBER(C96:G96)*C96:G96) /
         SUMPRODUCT(($C$9:$G$9="CO5")*ISNUMBER($C$10:$G$10)*ISNUMBER(C96:G96)*$C$10:$G$10) * 0.15
       ) +
       IF(
         SUMPRODUCT(($H$9:$Z$9="CO5")*ISNUMBER($H$10:$Z$10)*ISNUMBER(H96:Z96)) = 0,
         0,
         SUMPRODUCT(($H$9:$Z$9="CO5")*ISNUMBER($H$10:$Z$10)*ISNUMBER(H96:Z96)*H96:Z96) /
         SUMPRODUCT(($H$9:$Z$9="CO5")*ISNUMBER($H$10:$Z$10)*ISNUMBER(H96:Z96)*$H$10:$Z$10) * 0.85
       )
     ) * 100,
     ""
   )
)</f>
        <v/>
      </c>
      <c r="AF96" s="1" t="str" cm="1">
        <f t="array" ref="AF96">IF(
   SUMPRODUCT(($C$9:$G$9="CO6")*ISNUMBER($C$10:$G$10)*ISNUMBER(C96:G96)) +
   SUMPRODUCT(($H$9:$Z$9="CO6")*ISNUMBER($H$10:$Z$10)*ISNUMBER(H96:Z96)) = 0,
   "",
   IFERROR(
     (
       IF(
         SUMPRODUCT(($C$9:$G$9="CO6")*ISNUMBER($C$10:$G$10)*ISNUMBER(C96:G96)) = 0,
         0,
         SUMPRODUCT(($C$9:$G$9="CO6")*ISNUMBER($C$10:$G$10)*ISNUMBER(C96:G96)*C96:G96) /
         SUMPRODUCT(($C$9:$G$9="CO6")*ISNUMBER($C$10:$G$10)*ISNUMBER(C96:G96)*$C$10:$G$10) * 0.15
       ) +
       IF(
         SUMPRODUCT(($H$9:$Z$9="CO6")*ISNUMBER($H$10:$Z$10)*ISNUMBER(H96:Z96)) = 0,
         0,
         SUMPRODUCT(($H$9:$Z$9="CO6")*ISNUMBER($H$10:$Z$10)*ISNUMBER(H96:Z96)*H96:Z96) /
         SUMPRODUCT(($H$9:$Z$9="CO6")*ISNUMBER($H$10:$Z$10)*ISNUMBER(H96:Z96)*$H$10:$Z$10) * 0.85
       )
     ) * 100,
     ""
   )
)</f>
        <v/>
      </c>
      <c r="AG96" s="1" t="str" cm="1">
        <f t="array" ref="AG96">IF(
   SUMPRODUCT(($C$9:$G$9="CO7")*ISNUMBER($C$10:$G$10)*ISNUMBER(C96:G96)) +
   SUMPRODUCT(($H$9:$Z$9="CO7")*ISNUMBER($H$10:$Z$10)*ISNUMBER(H96:Z96)) = 0,
   "",
   IFERROR(
     (
       IF(
         SUMPRODUCT(($C$9:$G$9="CO7")*ISNUMBER($C$10:$G$10)*ISNUMBER(C96:G96)) = 0,
         0,
         SUMPRODUCT(($C$9:$G$9="CO7")*ISNUMBER($C$10:$G$10)*ISNUMBER(C96:G96)*C96:G96) /
         SUMPRODUCT(($C$9:$G$9="CO7")*ISNUMBER($C$10:$G$10)*ISNUMBER(C96:G96)*$C$10:$G$10) * 0.15
       ) +
       IF(
         SUMPRODUCT(($H$9:$Z$9="CO7")*ISNUMBER($H$10:$Z$10)*ISNUMBER(H96:Z96)) = 0,
         0,
         SUMPRODUCT(($H$9:$Z$9="CO7")*ISNUMBER($H$10:$Z$10)*ISNUMBER(H96:Z96)*H96:Z96) /
         SUMPRODUCT(($H$9:$Z$9="CO7")*ISNUMBER($H$10:$Z$10)*ISNUMBER(H96:Z96)*$H$10:$Z$10) * 0.85
       )
     ) * 100,
     ""
   )
)</f>
        <v/>
      </c>
      <c r="AH96" s="3" t="str" cm="1">
        <f t="array" ref="AH96">IF(
   SUMPRODUCT(($C$9:$G$9="CO8")*ISNUMBER($C$10:$G$10)*ISNUMBER(C96:G96)) +
   SUMPRODUCT(($H$9:$Z$9="CO8")*ISNUMBER($H$10:$Z$10)*ISNUMBER(H96:Z96)) = 0,
   "",
   IFERROR(
     (
       IF(
         SUMPRODUCT(($C$9:$G$9="CO8")*ISNUMBER($C$10:$G$10)*ISNUMBER(C96:G96)) = 0,
         0,
         SUMPRODUCT(($C$9:$G$9="CO8")*ISNUMBER($C$10:$G$10)*ISNUMBER(C96:G96)*C96:G96) /
         SUMPRODUCT(($C$9:$G$9="CO8")*ISNUMBER($C$10:$G$10)*ISNUMBER(C96:G96)*$C$10:$G$10) * 0.15
       ) +
       IF(
         SUMPRODUCT(($H$9:$Z$9="CO8")*ISNUMBER($H$10:$Z$10)*ISNUMBER(H96:Z96)) = 0,
         0,
         SUMPRODUCT(($H$9:$Z$9="CO8")*ISNUMBER($H$10:$Z$10)*ISNUMBER(H96:Z96)*H96:Z96) /
         SUMPRODUCT(($H$9:$Z$9="CO8")*ISNUMBER($H$10:$Z$10)*ISNUMBER(H96:Z96)*$H$10:$Z$10) * 0.85
       )
     ) * 100,
     ""
   )
)</f>
        <v/>
      </c>
      <c r="AI96" s="1" t="str">
        <f t="shared" si="14"/>
        <v/>
      </c>
      <c r="AJ96" s="1" t="str">
        <f t="shared" si="15"/>
        <v/>
      </c>
      <c r="AK96" s="1" t="str">
        <f t="shared" si="16"/>
        <v/>
      </c>
      <c r="AL96" s="1" t="str">
        <f t="shared" si="13"/>
        <v/>
      </c>
      <c r="AM96" s="1" t="str">
        <f t="shared" si="13"/>
        <v/>
      </c>
      <c r="AN96" s="1" t="str">
        <f t="shared" si="13"/>
        <v/>
      </c>
      <c r="AO96" s="1" t="str">
        <f t="shared" si="13"/>
        <v/>
      </c>
      <c r="AP96" s="1" t="str">
        <f t="shared" si="13"/>
        <v/>
      </c>
    </row>
    <row r="97" spans="1:42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" t="str" cm="1">
        <f t="array" ref="AA97">IF(
   SUMPRODUCT(($C$9:$G$9="CO1")*ISNUMBER($C$10:$G$10)*ISNUMBER(C97:G97)) +
   SUMPRODUCT(($H$9:$Z$9="CO1")*ISNUMBER($H$10:$Z$10)*ISNUMBER(H97:Z97)) = 0,
   "",
   IFERROR(
     (
       IF(
         SUMPRODUCT(($C$9:$G$9="CO1")*ISNUMBER($C$10:$G$10)*ISNUMBER(C97:G97)) = 0,
         0,
         SUMPRODUCT(($C$9:$G$9="CO1")*ISNUMBER($C$10:$G$10)*ISNUMBER(C97:G97)*C97:G97) /
         SUMPRODUCT(($C$9:$G$9="CO1")*ISNUMBER($C$10:$G$10)*ISNUMBER(C97:G97)*$C$10:$G$10) * 0.15
       ) +
       IF(
         SUMPRODUCT(($H$9:$Z$9="CO1")*ISNUMBER($H$10:$Z$10)*ISNUMBER(H97:Z97)) = 0,
         0,
         SUMPRODUCT(($H$9:$Z$9="CO1")*ISNUMBER($H$10:$Z$10)*ISNUMBER(H97:Z97)*H97:Z97) /
         SUMPRODUCT(($H$9:$Z$9="CO1")*ISNUMBER($H$10:$Z$10)*ISNUMBER(H97:Z97)*$H$10:$Z$10) * 0.85
       )
     ) * 100,
     ""
   )
)</f>
        <v/>
      </c>
      <c r="AB97" s="1" t="str" cm="1">
        <f t="array" ref="AB97">IF(
   SUMPRODUCT(($C$9:$G$9="CO2")*ISNUMBER($C$10:$G$10)*ISNUMBER(C97:G97)) +
   SUMPRODUCT(($H$9:$Z$9="CO2")*ISNUMBER($H$10:$Z$10)*ISNUMBER(H97:Z97)) = 0,
   "",
   IFERROR(
     (
       IF(
         SUMPRODUCT(($C$9:$G$9="CO2")*ISNUMBER($C$10:$G$10)*ISNUMBER(C97:G97)) = 0,
         0,
         SUMPRODUCT(($C$9:$G$9="CO2")*ISNUMBER($C$10:$G$10)*ISNUMBER(C97:G97)*C97:G97) /
         SUMPRODUCT(($C$9:$G$9="CO2")*ISNUMBER($C$10:$G$10)*ISNUMBER(C97:G97)*$C$10:$G$10) * 0.15
       ) +
       IF(
         SUMPRODUCT(($H$9:$Z$9="CO2")*ISNUMBER($H$10:$Z$10)*ISNUMBER(H97:Z97)) = 0,
         0,
         SUMPRODUCT(($H$9:$Z$9="CO2")*ISNUMBER($H$10:$Z$10)*ISNUMBER(H97:Z97)*H97:Z97) /
         SUMPRODUCT(($H$9:$Z$9="CO2")*ISNUMBER($H$10:$Z$10)*ISNUMBER(H97:Z97)*$H$10:$Z$10) * 0.85
       )
     ) * 100,
     ""
   )
)</f>
        <v/>
      </c>
      <c r="AC97" s="1" t="str" cm="1">
        <f t="array" ref="AC97">IF(
   SUMPRODUCT(($C$9:$G$9="CO3")*ISNUMBER($C$10:$G$10)*ISNUMBER(C97:G97)) +
   SUMPRODUCT(($H$9:$Z$9="CO3")*ISNUMBER($H$10:$Z$10)*ISNUMBER(H97:Z97)) = 0,
   "",
   IFERROR(
     (
       IF(
         SUMPRODUCT(($C$9:$G$9="CO3")*ISNUMBER($C$10:$G$10)*ISNUMBER(C97:G97)) = 0,
         0,
         SUMPRODUCT(($C$9:$G$9="CO3")*ISNUMBER($C$10:$G$10)*ISNUMBER(C97:G97)*C97:G97) /
         SUMPRODUCT(($C$9:$G$9="CO3")*ISNUMBER($C$10:$G$10)*ISNUMBER(C97:G97)*$C$10:$G$10) * 0.15
       ) +
       IF(
         SUMPRODUCT(($H$9:$Z$9="CO3")*ISNUMBER($H$10:$Z$10)*ISNUMBER(H97:Z97)) = 0,
         0,
         SUMPRODUCT(($H$9:$Z$9="CO3")*ISNUMBER($H$10:$Z$10)*ISNUMBER(H97:Z97)*H97:Z97) /
         SUMPRODUCT(($H$9:$Z$9="CO3")*ISNUMBER($H$10:$Z$10)*ISNUMBER(H97:Z97)*$H$10:$Z$10) * 0.85
       )
     ) * 100,
     ""
   )
)</f>
        <v/>
      </c>
      <c r="AD97" s="1" t="str" cm="1">
        <f t="array" ref="AD97">IF(
   SUMPRODUCT(($C$9:$G$9="CO4")*ISNUMBER($C$10:$G$10)*ISNUMBER(C97:G97)) +
   SUMPRODUCT(($H$9:$Z$9="CO4")*ISNUMBER($H$10:$Z$10)*ISNUMBER(H97:Z97)) = 0,
   "",
   IFERROR(
     (
       IF(
         SUMPRODUCT(($C$9:$G$9="CO4")*ISNUMBER($C$10:$G$10)*ISNUMBER(C97:G97)) = 0,
         0,
         SUMPRODUCT(($C$9:$G$9="CO4")*ISNUMBER($C$10:$G$10)*ISNUMBER(C97:G97)*C97:G97) /
         SUMPRODUCT(($C$9:$G$9="CO4")*ISNUMBER($C$10:$G$10)*ISNUMBER(C97:G97)*$C$10:$G$10) * 0.15
       ) +
       IF(
         SUMPRODUCT(($H$9:$Z$9="CO4")*ISNUMBER($H$10:$Z$10)*ISNUMBER(H97:Z97)) = 0,
         0,
         SUMPRODUCT(($H$9:$Z$9="CO4")*ISNUMBER($H$10:$Z$10)*ISNUMBER(H97:Z97)*H97:Z97) /
         SUMPRODUCT(($H$9:$Z$9="CO4")*ISNUMBER($H$10:$Z$10)*ISNUMBER(H97:Z97)*$H$10:$Z$10) * 0.85
       )
     ) * 100,
     ""
   )
)</f>
        <v/>
      </c>
      <c r="AE97" s="1" t="str" cm="1">
        <f t="array" ref="AE97">IF(
   SUMPRODUCT(($C$9:$G$9="CO5")*ISNUMBER($C$10:$G$10)*ISNUMBER(C97:G97)) +
   SUMPRODUCT(($H$9:$Z$9="CO5")*ISNUMBER($H$10:$Z$10)*ISNUMBER(H97:Z97)) = 0,
   "",
   IFERROR(
     (
       IF(
         SUMPRODUCT(($C$9:$G$9="CO5")*ISNUMBER($C$10:$G$10)*ISNUMBER(C97:G97)) = 0,
         0,
         SUMPRODUCT(($C$9:$G$9="CO5")*ISNUMBER($C$10:$G$10)*ISNUMBER(C97:G97)*C97:G97) /
         SUMPRODUCT(($C$9:$G$9="CO5")*ISNUMBER($C$10:$G$10)*ISNUMBER(C97:G97)*$C$10:$G$10) * 0.15
       ) +
       IF(
         SUMPRODUCT(($H$9:$Z$9="CO5")*ISNUMBER($H$10:$Z$10)*ISNUMBER(H97:Z97)) = 0,
         0,
         SUMPRODUCT(($H$9:$Z$9="CO5")*ISNUMBER($H$10:$Z$10)*ISNUMBER(H97:Z97)*H97:Z97) /
         SUMPRODUCT(($H$9:$Z$9="CO5")*ISNUMBER($H$10:$Z$10)*ISNUMBER(H97:Z97)*$H$10:$Z$10) * 0.85
       )
     ) * 100,
     ""
   )
)</f>
        <v/>
      </c>
      <c r="AF97" s="1" t="str" cm="1">
        <f t="array" ref="AF97">IF(
   SUMPRODUCT(($C$9:$G$9="CO6")*ISNUMBER($C$10:$G$10)*ISNUMBER(C97:G97)) +
   SUMPRODUCT(($H$9:$Z$9="CO6")*ISNUMBER($H$10:$Z$10)*ISNUMBER(H97:Z97)) = 0,
   "",
   IFERROR(
     (
       IF(
         SUMPRODUCT(($C$9:$G$9="CO6")*ISNUMBER($C$10:$G$10)*ISNUMBER(C97:G97)) = 0,
         0,
         SUMPRODUCT(($C$9:$G$9="CO6")*ISNUMBER($C$10:$G$10)*ISNUMBER(C97:G97)*C97:G97) /
         SUMPRODUCT(($C$9:$G$9="CO6")*ISNUMBER($C$10:$G$10)*ISNUMBER(C97:G97)*$C$10:$G$10) * 0.15
       ) +
       IF(
         SUMPRODUCT(($H$9:$Z$9="CO6")*ISNUMBER($H$10:$Z$10)*ISNUMBER(H97:Z97)) = 0,
         0,
         SUMPRODUCT(($H$9:$Z$9="CO6")*ISNUMBER($H$10:$Z$10)*ISNUMBER(H97:Z97)*H97:Z97) /
         SUMPRODUCT(($H$9:$Z$9="CO6")*ISNUMBER($H$10:$Z$10)*ISNUMBER(H97:Z97)*$H$10:$Z$10) * 0.85
       )
     ) * 100,
     ""
   )
)</f>
        <v/>
      </c>
      <c r="AG97" s="1" t="str" cm="1">
        <f t="array" ref="AG97">IF(
   SUMPRODUCT(($C$9:$G$9="CO7")*ISNUMBER($C$10:$G$10)*ISNUMBER(C97:G97)) +
   SUMPRODUCT(($H$9:$Z$9="CO7")*ISNUMBER($H$10:$Z$10)*ISNUMBER(H97:Z97)) = 0,
   "",
   IFERROR(
     (
       IF(
         SUMPRODUCT(($C$9:$G$9="CO7")*ISNUMBER($C$10:$G$10)*ISNUMBER(C97:G97)) = 0,
         0,
         SUMPRODUCT(($C$9:$G$9="CO7")*ISNUMBER($C$10:$G$10)*ISNUMBER(C97:G97)*C97:G97) /
         SUMPRODUCT(($C$9:$G$9="CO7")*ISNUMBER($C$10:$G$10)*ISNUMBER(C97:G97)*$C$10:$G$10) * 0.15
       ) +
       IF(
         SUMPRODUCT(($H$9:$Z$9="CO7")*ISNUMBER($H$10:$Z$10)*ISNUMBER(H97:Z97)) = 0,
         0,
         SUMPRODUCT(($H$9:$Z$9="CO7")*ISNUMBER($H$10:$Z$10)*ISNUMBER(H97:Z97)*H97:Z97) /
         SUMPRODUCT(($H$9:$Z$9="CO7")*ISNUMBER($H$10:$Z$10)*ISNUMBER(H97:Z97)*$H$10:$Z$10) * 0.85
       )
     ) * 100,
     ""
   )
)</f>
        <v/>
      </c>
      <c r="AH97" s="3" t="str" cm="1">
        <f t="array" ref="AH97">IF(
   SUMPRODUCT(($C$9:$G$9="CO8")*ISNUMBER($C$10:$G$10)*ISNUMBER(C97:G97)) +
   SUMPRODUCT(($H$9:$Z$9="CO8")*ISNUMBER($H$10:$Z$10)*ISNUMBER(H97:Z97)) = 0,
   "",
   IFERROR(
     (
       IF(
         SUMPRODUCT(($C$9:$G$9="CO8")*ISNUMBER($C$10:$G$10)*ISNUMBER(C97:G97)) = 0,
         0,
         SUMPRODUCT(($C$9:$G$9="CO8")*ISNUMBER($C$10:$G$10)*ISNUMBER(C97:G97)*C97:G97) /
         SUMPRODUCT(($C$9:$G$9="CO8")*ISNUMBER($C$10:$G$10)*ISNUMBER(C97:G97)*$C$10:$G$10) * 0.15
       ) +
       IF(
         SUMPRODUCT(($H$9:$Z$9="CO8")*ISNUMBER($H$10:$Z$10)*ISNUMBER(H97:Z97)) = 0,
         0,
         SUMPRODUCT(($H$9:$Z$9="CO8")*ISNUMBER($H$10:$Z$10)*ISNUMBER(H97:Z97)*H97:Z97) /
         SUMPRODUCT(($H$9:$Z$9="CO8")*ISNUMBER($H$10:$Z$10)*ISNUMBER(H97:Z97)*$H$10:$Z$10) * 0.85
       )
     ) * 100,
     ""
   )
)</f>
        <v/>
      </c>
      <c r="AI97" s="1" t="str">
        <f t="shared" si="14"/>
        <v/>
      </c>
      <c r="AJ97" s="1" t="str">
        <f t="shared" si="15"/>
        <v/>
      </c>
      <c r="AK97" s="1" t="str">
        <f t="shared" si="16"/>
        <v/>
      </c>
      <c r="AL97" s="1" t="str">
        <f t="shared" si="13"/>
        <v/>
      </c>
      <c r="AM97" s="1" t="str">
        <f t="shared" si="13"/>
        <v/>
      </c>
      <c r="AN97" s="1" t="str">
        <f t="shared" si="13"/>
        <v/>
      </c>
      <c r="AO97" s="1" t="str">
        <f t="shared" si="13"/>
        <v/>
      </c>
      <c r="AP97" s="1" t="str">
        <f t="shared" si="13"/>
        <v/>
      </c>
    </row>
    <row r="98" spans="1:42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" t="str" cm="1">
        <f t="array" ref="AA98">IF(
   SUMPRODUCT(($C$9:$G$9="CO1")*ISNUMBER($C$10:$G$10)*ISNUMBER(C98:G98)) +
   SUMPRODUCT(($H$9:$Z$9="CO1")*ISNUMBER($H$10:$Z$10)*ISNUMBER(H98:Z98)) = 0,
   "",
   IFERROR(
     (
       IF(
         SUMPRODUCT(($C$9:$G$9="CO1")*ISNUMBER($C$10:$G$10)*ISNUMBER(C98:G98)) = 0,
         0,
         SUMPRODUCT(($C$9:$G$9="CO1")*ISNUMBER($C$10:$G$10)*ISNUMBER(C98:G98)*C98:G98) /
         SUMPRODUCT(($C$9:$G$9="CO1")*ISNUMBER($C$10:$G$10)*ISNUMBER(C98:G98)*$C$10:$G$10) * 0.15
       ) +
       IF(
         SUMPRODUCT(($H$9:$Z$9="CO1")*ISNUMBER($H$10:$Z$10)*ISNUMBER(H98:Z98)) = 0,
         0,
         SUMPRODUCT(($H$9:$Z$9="CO1")*ISNUMBER($H$10:$Z$10)*ISNUMBER(H98:Z98)*H98:Z98) /
         SUMPRODUCT(($H$9:$Z$9="CO1")*ISNUMBER($H$10:$Z$10)*ISNUMBER(H98:Z98)*$H$10:$Z$10) * 0.85
       )
     ) * 100,
     ""
   )
)</f>
        <v/>
      </c>
      <c r="AB98" s="1" t="str" cm="1">
        <f t="array" ref="AB98">IF(
   SUMPRODUCT(($C$9:$G$9="CO2")*ISNUMBER($C$10:$G$10)*ISNUMBER(C98:G98)) +
   SUMPRODUCT(($H$9:$Z$9="CO2")*ISNUMBER($H$10:$Z$10)*ISNUMBER(H98:Z98)) = 0,
   "",
   IFERROR(
     (
       IF(
         SUMPRODUCT(($C$9:$G$9="CO2")*ISNUMBER($C$10:$G$10)*ISNUMBER(C98:G98)) = 0,
         0,
         SUMPRODUCT(($C$9:$G$9="CO2")*ISNUMBER($C$10:$G$10)*ISNUMBER(C98:G98)*C98:G98) /
         SUMPRODUCT(($C$9:$G$9="CO2")*ISNUMBER($C$10:$G$10)*ISNUMBER(C98:G98)*$C$10:$G$10) * 0.15
       ) +
       IF(
         SUMPRODUCT(($H$9:$Z$9="CO2")*ISNUMBER($H$10:$Z$10)*ISNUMBER(H98:Z98)) = 0,
         0,
         SUMPRODUCT(($H$9:$Z$9="CO2")*ISNUMBER($H$10:$Z$10)*ISNUMBER(H98:Z98)*H98:Z98) /
         SUMPRODUCT(($H$9:$Z$9="CO2")*ISNUMBER($H$10:$Z$10)*ISNUMBER(H98:Z98)*$H$10:$Z$10) * 0.85
       )
     ) * 100,
     ""
   )
)</f>
        <v/>
      </c>
      <c r="AC98" s="1" t="str" cm="1">
        <f t="array" ref="AC98">IF(
   SUMPRODUCT(($C$9:$G$9="CO3")*ISNUMBER($C$10:$G$10)*ISNUMBER(C98:G98)) +
   SUMPRODUCT(($H$9:$Z$9="CO3")*ISNUMBER($H$10:$Z$10)*ISNUMBER(H98:Z98)) = 0,
   "",
   IFERROR(
     (
       IF(
         SUMPRODUCT(($C$9:$G$9="CO3")*ISNUMBER($C$10:$G$10)*ISNUMBER(C98:G98)) = 0,
         0,
         SUMPRODUCT(($C$9:$G$9="CO3")*ISNUMBER($C$10:$G$10)*ISNUMBER(C98:G98)*C98:G98) /
         SUMPRODUCT(($C$9:$G$9="CO3")*ISNUMBER($C$10:$G$10)*ISNUMBER(C98:G98)*$C$10:$G$10) * 0.15
       ) +
       IF(
         SUMPRODUCT(($H$9:$Z$9="CO3")*ISNUMBER($H$10:$Z$10)*ISNUMBER(H98:Z98)) = 0,
         0,
         SUMPRODUCT(($H$9:$Z$9="CO3")*ISNUMBER($H$10:$Z$10)*ISNUMBER(H98:Z98)*H98:Z98) /
         SUMPRODUCT(($H$9:$Z$9="CO3")*ISNUMBER($H$10:$Z$10)*ISNUMBER(H98:Z98)*$H$10:$Z$10) * 0.85
       )
     ) * 100,
     ""
   )
)</f>
        <v/>
      </c>
      <c r="AD98" s="1" t="str" cm="1">
        <f t="array" ref="AD98">IF(
   SUMPRODUCT(($C$9:$G$9="CO4")*ISNUMBER($C$10:$G$10)*ISNUMBER(C98:G98)) +
   SUMPRODUCT(($H$9:$Z$9="CO4")*ISNUMBER($H$10:$Z$10)*ISNUMBER(H98:Z98)) = 0,
   "",
   IFERROR(
     (
       IF(
         SUMPRODUCT(($C$9:$G$9="CO4")*ISNUMBER($C$10:$G$10)*ISNUMBER(C98:G98)) = 0,
         0,
         SUMPRODUCT(($C$9:$G$9="CO4")*ISNUMBER($C$10:$G$10)*ISNUMBER(C98:G98)*C98:G98) /
         SUMPRODUCT(($C$9:$G$9="CO4")*ISNUMBER($C$10:$G$10)*ISNUMBER(C98:G98)*$C$10:$G$10) * 0.15
       ) +
       IF(
         SUMPRODUCT(($H$9:$Z$9="CO4")*ISNUMBER($H$10:$Z$10)*ISNUMBER(H98:Z98)) = 0,
         0,
         SUMPRODUCT(($H$9:$Z$9="CO4")*ISNUMBER($H$10:$Z$10)*ISNUMBER(H98:Z98)*H98:Z98) /
         SUMPRODUCT(($H$9:$Z$9="CO4")*ISNUMBER($H$10:$Z$10)*ISNUMBER(H98:Z98)*$H$10:$Z$10) * 0.85
       )
     ) * 100,
     ""
   )
)</f>
        <v/>
      </c>
      <c r="AE98" s="1" t="str" cm="1">
        <f t="array" ref="AE98">IF(
   SUMPRODUCT(($C$9:$G$9="CO5")*ISNUMBER($C$10:$G$10)*ISNUMBER(C98:G98)) +
   SUMPRODUCT(($H$9:$Z$9="CO5")*ISNUMBER($H$10:$Z$10)*ISNUMBER(H98:Z98)) = 0,
   "",
   IFERROR(
     (
       IF(
         SUMPRODUCT(($C$9:$G$9="CO5")*ISNUMBER($C$10:$G$10)*ISNUMBER(C98:G98)) = 0,
         0,
         SUMPRODUCT(($C$9:$G$9="CO5")*ISNUMBER($C$10:$G$10)*ISNUMBER(C98:G98)*C98:G98) /
         SUMPRODUCT(($C$9:$G$9="CO5")*ISNUMBER($C$10:$G$10)*ISNUMBER(C98:G98)*$C$10:$G$10) * 0.15
       ) +
       IF(
         SUMPRODUCT(($H$9:$Z$9="CO5")*ISNUMBER($H$10:$Z$10)*ISNUMBER(H98:Z98)) = 0,
         0,
         SUMPRODUCT(($H$9:$Z$9="CO5")*ISNUMBER($H$10:$Z$10)*ISNUMBER(H98:Z98)*H98:Z98) /
         SUMPRODUCT(($H$9:$Z$9="CO5")*ISNUMBER($H$10:$Z$10)*ISNUMBER(H98:Z98)*$H$10:$Z$10) * 0.85
       )
     ) * 100,
     ""
   )
)</f>
        <v/>
      </c>
      <c r="AF98" s="1" t="str" cm="1">
        <f t="array" ref="AF98">IF(
   SUMPRODUCT(($C$9:$G$9="CO6")*ISNUMBER($C$10:$G$10)*ISNUMBER(C98:G98)) +
   SUMPRODUCT(($H$9:$Z$9="CO6")*ISNUMBER($H$10:$Z$10)*ISNUMBER(H98:Z98)) = 0,
   "",
   IFERROR(
     (
       IF(
         SUMPRODUCT(($C$9:$G$9="CO6")*ISNUMBER($C$10:$G$10)*ISNUMBER(C98:G98)) = 0,
         0,
         SUMPRODUCT(($C$9:$G$9="CO6")*ISNUMBER($C$10:$G$10)*ISNUMBER(C98:G98)*C98:G98) /
         SUMPRODUCT(($C$9:$G$9="CO6")*ISNUMBER($C$10:$G$10)*ISNUMBER(C98:G98)*$C$10:$G$10) * 0.15
       ) +
       IF(
         SUMPRODUCT(($H$9:$Z$9="CO6")*ISNUMBER($H$10:$Z$10)*ISNUMBER(H98:Z98)) = 0,
         0,
         SUMPRODUCT(($H$9:$Z$9="CO6")*ISNUMBER($H$10:$Z$10)*ISNUMBER(H98:Z98)*H98:Z98) /
         SUMPRODUCT(($H$9:$Z$9="CO6")*ISNUMBER($H$10:$Z$10)*ISNUMBER(H98:Z98)*$H$10:$Z$10) * 0.85
       )
     ) * 100,
     ""
   )
)</f>
        <v/>
      </c>
      <c r="AG98" s="1" t="str" cm="1">
        <f t="array" ref="AG98">IF(
   SUMPRODUCT(($C$9:$G$9="CO7")*ISNUMBER($C$10:$G$10)*ISNUMBER(C98:G98)) +
   SUMPRODUCT(($H$9:$Z$9="CO7")*ISNUMBER($H$10:$Z$10)*ISNUMBER(H98:Z98)) = 0,
   "",
   IFERROR(
     (
       IF(
         SUMPRODUCT(($C$9:$G$9="CO7")*ISNUMBER($C$10:$G$10)*ISNUMBER(C98:G98)) = 0,
         0,
         SUMPRODUCT(($C$9:$G$9="CO7")*ISNUMBER($C$10:$G$10)*ISNUMBER(C98:G98)*C98:G98) /
         SUMPRODUCT(($C$9:$G$9="CO7")*ISNUMBER($C$10:$G$10)*ISNUMBER(C98:G98)*$C$10:$G$10) * 0.15
       ) +
       IF(
         SUMPRODUCT(($H$9:$Z$9="CO7")*ISNUMBER($H$10:$Z$10)*ISNUMBER(H98:Z98)) = 0,
         0,
         SUMPRODUCT(($H$9:$Z$9="CO7")*ISNUMBER($H$10:$Z$10)*ISNUMBER(H98:Z98)*H98:Z98) /
         SUMPRODUCT(($H$9:$Z$9="CO7")*ISNUMBER($H$10:$Z$10)*ISNUMBER(H98:Z98)*$H$10:$Z$10) * 0.85
       )
     ) * 100,
     ""
   )
)</f>
        <v/>
      </c>
      <c r="AH98" s="3" t="str" cm="1">
        <f t="array" ref="AH98">IF(
   SUMPRODUCT(($C$9:$G$9="CO8")*ISNUMBER($C$10:$G$10)*ISNUMBER(C98:G98)) +
   SUMPRODUCT(($H$9:$Z$9="CO8")*ISNUMBER($H$10:$Z$10)*ISNUMBER(H98:Z98)) = 0,
   "",
   IFERROR(
     (
       IF(
         SUMPRODUCT(($C$9:$G$9="CO8")*ISNUMBER($C$10:$G$10)*ISNUMBER(C98:G98)) = 0,
         0,
         SUMPRODUCT(($C$9:$G$9="CO8")*ISNUMBER($C$10:$G$10)*ISNUMBER(C98:G98)*C98:G98) /
         SUMPRODUCT(($C$9:$G$9="CO8")*ISNUMBER($C$10:$G$10)*ISNUMBER(C98:G98)*$C$10:$G$10) * 0.15
       ) +
       IF(
         SUMPRODUCT(($H$9:$Z$9="CO8")*ISNUMBER($H$10:$Z$10)*ISNUMBER(H98:Z98)) = 0,
         0,
         SUMPRODUCT(($H$9:$Z$9="CO8")*ISNUMBER($H$10:$Z$10)*ISNUMBER(H98:Z98)*H98:Z98) /
         SUMPRODUCT(($H$9:$Z$9="CO8")*ISNUMBER($H$10:$Z$10)*ISNUMBER(H98:Z98)*$H$10:$Z$10) * 0.85
       )
     ) * 100,
     ""
   )
)</f>
        <v/>
      </c>
      <c r="AI98" s="1" t="str">
        <f t="shared" si="14"/>
        <v/>
      </c>
      <c r="AJ98" s="1" t="str">
        <f t="shared" si="15"/>
        <v/>
      </c>
      <c r="AK98" s="1" t="str">
        <f t="shared" si="16"/>
        <v/>
      </c>
      <c r="AL98" s="1" t="str">
        <f t="shared" si="13"/>
        <v/>
      </c>
      <c r="AM98" s="1" t="str">
        <f t="shared" si="13"/>
        <v/>
      </c>
      <c r="AN98" s="1" t="str">
        <f t="shared" si="13"/>
        <v/>
      </c>
      <c r="AO98" s="1" t="str">
        <f t="shared" si="13"/>
        <v/>
      </c>
      <c r="AP98" s="1" t="str">
        <f t="shared" si="13"/>
        <v/>
      </c>
    </row>
    <row r="99" spans="1:42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" t="str" cm="1">
        <f t="array" ref="AA99">IF(
   SUMPRODUCT(($C$9:$G$9="CO1")*ISNUMBER($C$10:$G$10)*ISNUMBER(C99:G99)) +
   SUMPRODUCT(($H$9:$Z$9="CO1")*ISNUMBER($H$10:$Z$10)*ISNUMBER(H99:Z99)) = 0,
   "",
   IFERROR(
     (
       IF(
         SUMPRODUCT(($C$9:$G$9="CO1")*ISNUMBER($C$10:$G$10)*ISNUMBER(C99:G99)) = 0,
         0,
         SUMPRODUCT(($C$9:$G$9="CO1")*ISNUMBER($C$10:$G$10)*ISNUMBER(C99:G99)*C99:G99) /
         SUMPRODUCT(($C$9:$G$9="CO1")*ISNUMBER($C$10:$G$10)*ISNUMBER(C99:G99)*$C$10:$G$10) * 0.15
       ) +
       IF(
         SUMPRODUCT(($H$9:$Z$9="CO1")*ISNUMBER($H$10:$Z$10)*ISNUMBER(H99:Z99)) = 0,
         0,
         SUMPRODUCT(($H$9:$Z$9="CO1")*ISNUMBER($H$10:$Z$10)*ISNUMBER(H99:Z99)*H99:Z99) /
         SUMPRODUCT(($H$9:$Z$9="CO1")*ISNUMBER($H$10:$Z$10)*ISNUMBER(H99:Z99)*$H$10:$Z$10) * 0.85
       )
     ) * 100,
     ""
   )
)</f>
        <v/>
      </c>
      <c r="AB99" s="1" t="str" cm="1">
        <f t="array" ref="AB99">IF(
   SUMPRODUCT(($C$9:$G$9="CO2")*ISNUMBER($C$10:$G$10)*ISNUMBER(C99:G99)) +
   SUMPRODUCT(($H$9:$Z$9="CO2")*ISNUMBER($H$10:$Z$10)*ISNUMBER(H99:Z99)) = 0,
   "",
   IFERROR(
     (
       IF(
         SUMPRODUCT(($C$9:$G$9="CO2")*ISNUMBER($C$10:$G$10)*ISNUMBER(C99:G99)) = 0,
         0,
         SUMPRODUCT(($C$9:$G$9="CO2")*ISNUMBER($C$10:$G$10)*ISNUMBER(C99:G99)*C99:G99) /
         SUMPRODUCT(($C$9:$G$9="CO2")*ISNUMBER($C$10:$G$10)*ISNUMBER(C99:G99)*$C$10:$G$10) * 0.15
       ) +
       IF(
         SUMPRODUCT(($H$9:$Z$9="CO2")*ISNUMBER($H$10:$Z$10)*ISNUMBER(H99:Z99)) = 0,
         0,
         SUMPRODUCT(($H$9:$Z$9="CO2")*ISNUMBER($H$10:$Z$10)*ISNUMBER(H99:Z99)*H99:Z99) /
         SUMPRODUCT(($H$9:$Z$9="CO2")*ISNUMBER($H$10:$Z$10)*ISNUMBER(H99:Z99)*$H$10:$Z$10) * 0.85
       )
     ) * 100,
     ""
   )
)</f>
        <v/>
      </c>
      <c r="AC99" s="1" t="str" cm="1">
        <f t="array" ref="AC99">IF(
   SUMPRODUCT(($C$9:$G$9="CO3")*ISNUMBER($C$10:$G$10)*ISNUMBER(C99:G99)) +
   SUMPRODUCT(($H$9:$Z$9="CO3")*ISNUMBER($H$10:$Z$10)*ISNUMBER(H99:Z99)) = 0,
   "",
   IFERROR(
     (
       IF(
         SUMPRODUCT(($C$9:$G$9="CO3")*ISNUMBER($C$10:$G$10)*ISNUMBER(C99:G99)) = 0,
         0,
         SUMPRODUCT(($C$9:$G$9="CO3")*ISNUMBER($C$10:$G$10)*ISNUMBER(C99:G99)*C99:G99) /
         SUMPRODUCT(($C$9:$G$9="CO3")*ISNUMBER($C$10:$G$10)*ISNUMBER(C99:G99)*$C$10:$G$10) * 0.15
       ) +
       IF(
         SUMPRODUCT(($H$9:$Z$9="CO3")*ISNUMBER($H$10:$Z$10)*ISNUMBER(H99:Z99)) = 0,
         0,
         SUMPRODUCT(($H$9:$Z$9="CO3")*ISNUMBER($H$10:$Z$10)*ISNUMBER(H99:Z99)*H99:Z99) /
         SUMPRODUCT(($H$9:$Z$9="CO3")*ISNUMBER($H$10:$Z$10)*ISNUMBER(H99:Z99)*$H$10:$Z$10) * 0.85
       )
     ) * 100,
     ""
   )
)</f>
        <v/>
      </c>
      <c r="AD99" s="1" t="str" cm="1">
        <f t="array" ref="AD99">IF(
   SUMPRODUCT(($C$9:$G$9="CO4")*ISNUMBER($C$10:$G$10)*ISNUMBER(C99:G99)) +
   SUMPRODUCT(($H$9:$Z$9="CO4")*ISNUMBER($H$10:$Z$10)*ISNUMBER(H99:Z99)) = 0,
   "",
   IFERROR(
     (
       IF(
         SUMPRODUCT(($C$9:$G$9="CO4")*ISNUMBER($C$10:$G$10)*ISNUMBER(C99:G99)) = 0,
         0,
         SUMPRODUCT(($C$9:$G$9="CO4")*ISNUMBER($C$10:$G$10)*ISNUMBER(C99:G99)*C99:G99) /
         SUMPRODUCT(($C$9:$G$9="CO4")*ISNUMBER($C$10:$G$10)*ISNUMBER(C99:G99)*$C$10:$G$10) * 0.15
       ) +
       IF(
         SUMPRODUCT(($H$9:$Z$9="CO4")*ISNUMBER($H$10:$Z$10)*ISNUMBER(H99:Z99)) = 0,
         0,
         SUMPRODUCT(($H$9:$Z$9="CO4")*ISNUMBER($H$10:$Z$10)*ISNUMBER(H99:Z99)*H99:Z99) /
         SUMPRODUCT(($H$9:$Z$9="CO4")*ISNUMBER($H$10:$Z$10)*ISNUMBER(H99:Z99)*$H$10:$Z$10) * 0.85
       )
     ) * 100,
     ""
   )
)</f>
        <v/>
      </c>
      <c r="AE99" s="1" t="str" cm="1">
        <f t="array" ref="AE99">IF(
   SUMPRODUCT(($C$9:$G$9="CO5")*ISNUMBER($C$10:$G$10)*ISNUMBER(C99:G99)) +
   SUMPRODUCT(($H$9:$Z$9="CO5")*ISNUMBER($H$10:$Z$10)*ISNUMBER(H99:Z99)) = 0,
   "",
   IFERROR(
     (
       IF(
         SUMPRODUCT(($C$9:$G$9="CO5")*ISNUMBER($C$10:$G$10)*ISNUMBER(C99:G99)) = 0,
         0,
         SUMPRODUCT(($C$9:$G$9="CO5")*ISNUMBER($C$10:$G$10)*ISNUMBER(C99:G99)*C99:G99) /
         SUMPRODUCT(($C$9:$G$9="CO5")*ISNUMBER($C$10:$G$10)*ISNUMBER(C99:G99)*$C$10:$G$10) * 0.15
       ) +
       IF(
         SUMPRODUCT(($H$9:$Z$9="CO5")*ISNUMBER($H$10:$Z$10)*ISNUMBER(H99:Z99)) = 0,
         0,
         SUMPRODUCT(($H$9:$Z$9="CO5")*ISNUMBER($H$10:$Z$10)*ISNUMBER(H99:Z99)*H99:Z99) /
         SUMPRODUCT(($H$9:$Z$9="CO5")*ISNUMBER($H$10:$Z$10)*ISNUMBER(H99:Z99)*$H$10:$Z$10) * 0.85
       )
     ) * 100,
     ""
   )
)</f>
        <v/>
      </c>
      <c r="AF99" s="1" t="str" cm="1">
        <f t="array" ref="AF99">IF(
   SUMPRODUCT(($C$9:$G$9="CO6")*ISNUMBER($C$10:$G$10)*ISNUMBER(C99:G99)) +
   SUMPRODUCT(($H$9:$Z$9="CO6")*ISNUMBER($H$10:$Z$10)*ISNUMBER(H99:Z99)) = 0,
   "",
   IFERROR(
     (
       IF(
         SUMPRODUCT(($C$9:$G$9="CO6")*ISNUMBER($C$10:$G$10)*ISNUMBER(C99:G99)) = 0,
         0,
         SUMPRODUCT(($C$9:$G$9="CO6")*ISNUMBER($C$10:$G$10)*ISNUMBER(C99:G99)*C99:G99) /
         SUMPRODUCT(($C$9:$G$9="CO6")*ISNUMBER($C$10:$G$10)*ISNUMBER(C99:G99)*$C$10:$G$10) * 0.15
       ) +
       IF(
         SUMPRODUCT(($H$9:$Z$9="CO6")*ISNUMBER($H$10:$Z$10)*ISNUMBER(H99:Z99)) = 0,
         0,
         SUMPRODUCT(($H$9:$Z$9="CO6")*ISNUMBER($H$10:$Z$10)*ISNUMBER(H99:Z99)*H99:Z99) /
         SUMPRODUCT(($H$9:$Z$9="CO6")*ISNUMBER($H$10:$Z$10)*ISNUMBER(H99:Z99)*$H$10:$Z$10) * 0.85
       )
     ) * 100,
     ""
   )
)</f>
        <v/>
      </c>
      <c r="AG99" s="1" t="str" cm="1">
        <f t="array" ref="AG99">IF(
   SUMPRODUCT(($C$9:$G$9="CO7")*ISNUMBER($C$10:$G$10)*ISNUMBER(C99:G99)) +
   SUMPRODUCT(($H$9:$Z$9="CO7")*ISNUMBER($H$10:$Z$10)*ISNUMBER(H99:Z99)) = 0,
   "",
   IFERROR(
     (
       IF(
         SUMPRODUCT(($C$9:$G$9="CO7")*ISNUMBER($C$10:$G$10)*ISNUMBER(C99:G99)) = 0,
         0,
         SUMPRODUCT(($C$9:$G$9="CO7")*ISNUMBER($C$10:$G$10)*ISNUMBER(C99:G99)*C99:G99) /
         SUMPRODUCT(($C$9:$G$9="CO7")*ISNUMBER($C$10:$G$10)*ISNUMBER(C99:G99)*$C$10:$G$10) * 0.15
       ) +
       IF(
         SUMPRODUCT(($H$9:$Z$9="CO7")*ISNUMBER($H$10:$Z$10)*ISNUMBER(H99:Z99)) = 0,
         0,
         SUMPRODUCT(($H$9:$Z$9="CO7")*ISNUMBER($H$10:$Z$10)*ISNUMBER(H99:Z99)*H99:Z99) /
         SUMPRODUCT(($H$9:$Z$9="CO7")*ISNUMBER($H$10:$Z$10)*ISNUMBER(H99:Z99)*$H$10:$Z$10) * 0.85
       )
     ) * 100,
     ""
   )
)</f>
        <v/>
      </c>
      <c r="AH99" s="3" t="str" cm="1">
        <f t="array" ref="AH99">IF(
   SUMPRODUCT(($C$9:$G$9="CO8")*ISNUMBER($C$10:$G$10)*ISNUMBER(C99:G99)) +
   SUMPRODUCT(($H$9:$Z$9="CO8")*ISNUMBER($H$10:$Z$10)*ISNUMBER(H99:Z99)) = 0,
   "",
   IFERROR(
     (
       IF(
         SUMPRODUCT(($C$9:$G$9="CO8")*ISNUMBER($C$10:$G$10)*ISNUMBER(C99:G99)) = 0,
         0,
         SUMPRODUCT(($C$9:$G$9="CO8")*ISNUMBER($C$10:$G$10)*ISNUMBER(C99:G99)*C99:G99) /
         SUMPRODUCT(($C$9:$G$9="CO8")*ISNUMBER($C$10:$G$10)*ISNUMBER(C99:G99)*$C$10:$G$10) * 0.15
       ) +
       IF(
         SUMPRODUCT(($H$9:$Z$9="CO8")*ISNUMBER($H$10:$Z$10)*ISNUMBER(H99:Z99)) = 0,
         0,
         SUMPRODUCT(($H$9:$Z$9="CO8")*ISNUMBER($H$10:$Z$10)*ISNUMBER(H99:Z99)*H99:Z99) /
         SUMPRODUCT(($H$9:$Z$9="CO8")*ISNUMBER($H$10:$Z$10)*ISNUMBER(H99:Z99)*$H$10:$Z$10) * 0.85
       )
     ) * 100,
     ""
   )
)</f>
        <v/>
      </c>
      <c r="AI99" s="1" t="str">
        <f t="shared" si="14"/>
        <v/>
      </c>
      <c r="AJ99" s="1" t="str">
        <f t="shared" si="15"/>
        <v/>
      </c>
      <c r="AK99" s="1" t="str">
        <f t="shared" si="16"/>
        <v/>
      </c>
      <c r="AL99" s="1" t="str">
        <f t="shared" si="13"/>
        <v/>
      </c>
      <c r="AM99" s="1" t="str">
        <f t="shared" si="13"/>
        <v/>
      </c>
      <c r="AN99" s="1" t="str">
        <f t="shared" si="13"/>
        <v/>
      </c>
      <c r="AO99" s="1" t="str">
        <f t="shared" si="13"/>
        <v/>
      </c>
      <c r="AP99" s="1" t="str">
        <f t="shared" si="13"/>
        <v/>
      </c>
    </row>
    <row r="100" spans="1:42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" t="str" cm="1">
        <f t="array" ref="AA100">IF(
   SUMPRODUCT(($C$9:$G$9="CO1")*ISNUMBER($C$10:$G$10)*ISNUMBER(C100:G100)) +
   SUMPRODUCT(($H$9:$Z$9="CO1")*ISNUMBER($H$10:$Z$10)*ISNUMBER(H100:Z100)) = 0,
   "",
   IFERROR(
     (
       IF(
         SUMPRODUCT(($C$9:$G$9="CO1")*ISNUMBER($C$10:$G$10)*ISNUMBER(C100:G100)) = 0,
         0,
         SUMPRODUCT(($C$9:$G$9="CO1")*ISNUMBER($C$10:$G$10)*ISNUMBER(C100:G100)*C100:G100) /
         SUMPRODUCT(($C$9:$G$9="CO1")*ISNUMBER($C$10:$G$10)*ISNUMBER(C100:G100)*$C$10:$G$10) * 0.15
       ) +
       IF(
         SUMPRODUCT(($H$9:$Z$9="CO1")*ISNUMBER($H$10:$Z$10)*ISNUMBER(H100:Z100)) = 0,
         0,
         SUMPRODUCT(($H$9:$Z$9="CO1")*ISNUMBER($H$10:$Z$10)*ISNUMBER(H100:Z100)*H100:Z100) /
         SUMPRODUCT(($H$9:$Z$9="CO1")*ISNUMBER($H$10:$Z$10)*ISNUMBER(H100:Z100)*$H$10:$Z$10) * 0.85
       )
     ) * 100,
     ""
   )
)</f>
        <v/>
      </c>
      <c r="AB100" s="1" t="str" cm="1">
        <f t="array" ref="AB100">IF(
   SUMPRODUCT(($C$9:$G$9="CO2")*ISNUMBER($C$10:$G$10)*ISNUMBER(C100:G100)) +
   SUMPRODUCT(($H$9:$Z$9="CO2")*ISNUMBER($H$10:$Z$10)*ISNUMBER(H100:Z100)) = 0,
   "",
   IFERROR(
     (
       IF(
         SUMPRODUCT(($C$9:$G$9="CO2")*ISNUMBER($C$10:$G$10)*ISNUMBER(C100:G100)) = 0,
         0,
         SUMPRODUCT(($C$9:$G$9="CO2")*ISNUMBER($C$10:$G$10)*ISNUMBER(C100:G100)*C100:G100) /
         SUMPRODUCT(($C$9:$G$9="CO2")*ISNUMBER($C$10:$G$10)*ISNUMBER(C100:G100)*$C$10:$G$10) * 0.15
       ) +
       IF(
         SUMPRODUCT(($H$9:$Z$9="CO2")*ISNUMBER($H$10:$Z$10)*ISNUMBER(H100:Z100)) = 0,
         0,
         SUMPRODUCT(($H$9:$Z$9="CO2")*ISNUMBER($H$10:$Z$10)*ISNUMBER(H100:Z100)*H100:Z100) /
         SUMPRODUCT(($H$9:$Z$9="CO2")*ISNUMBER($H$10:$Z$10)*ISNUMBER(H100:Z100)*$H$10:$Z$10) * 0.85
       )
     ) * 100,
     ""
   )
)</f>
        <v/>
      </c>
      <c r="AC100" s="1" t="str" cm="1">
        <f t="array" ref="AC100">IF(
   SUMPRODUCT(($C$9:$G$9="CO3")*ISNUMBER($C$10:$G$10)*ISNUMBER(C100:G100)) +
   SUMPRODUCT(($H$9:$Z$9="CO3")*ISNUMBER($H$10:$Z$10)*ISNUMBER(H100:Z100)) = 0,
   "",
   IFERROR(
     (
       IF(
         SUMPRODUCT(($C$9:$G$9="CO3")*ISNUMBER($C$10:$G$10)*ISNUMBER(C100:G100)) = 0,
         0,
         SUMPRODUCT(($C$9:$G$9="CO3")*ISNUMBER($C$10:$G$10)*ISNUMBER(C100:G100)*C100:G100) /
         SUMPRODUCT(($C$9:$G$9="CO3")*ISNUMBER($C$10:$G$10)*ISNUMBER(C100:G100)*$C$10:$G$10) * 0.15
       ) +
       IF(
         SUMPRODUCT(($H$9:$Z$9="CO3")*ISNUMBER($H$10:$Z$10)*ISNUMBER(H100:Z100)) = 0,
         0,
         SUMPRODUCT(($H$9:$Z$9="CO3")*ISNUMBER($H$10:$Z$10)*ISNUMBER(H100:Z100)*H100:Z100) /
         SUMPRODUCT(($H$9:$Z$9="CO3")*ISNUMBER($H$10:$Z$10)*ISNUMBER(H100:Z100)*$H$10:$Z$10) * 0.85
       )
     ) * 100,
     ""
   )
)</f>
        <v/>
      </c>
      <c r="AD100" s="1" t="str" cm="1">
        <f t="array" ref="AD100">IF(
   SUMPRODUCT(($C$9:$G$9="CO4")*ISNUMBER($C$10:$G$10)*ISNUMBER(C100:G100)) +
   SUMPRODUCT(($H$9:$Z$9="CO4")*ISNUMBER($H$10:$Z$10)*ISNUMBER(H100:Z100)) = 0,
   "",
   IFERROR(
     (
       IF(
         SUMPRODUCT(($C$9:$G$9="CO4")*ISNUMBER($C$10:$G$10)*ISNUMBER(C100:G100)) = 0,
         0,
         SUMPRODUCT(($C$9:$G$9="CO4")*ISNUMBER($C$10:$G$10)*ISNUMBER(C100:G100)*C100:G100) /
         SUMPRODUCT(($C$9:$G$9="CO4")*ISNUMBER($C$10:$G$10)*ISNUMBER(C100:G100)*$C$10:$G$10) * 0.15
       ) +
       IF(
         SUMPRODUCT(($H$9:$Z$9="CO4")*ISNUMBER($H$10:$Z$10)*ISNUMBER(H100:Z100)) = 0,
         0,
         SUMPRODUCT(($H$9:$Z$9="CO4")*ISNUMBER($H$10:$Z$10)*ISNUMBER(H100:Z100)*H100:Z100) /
         SUMPRODUCT(($H$9:$Z$9="CO4")*ISNUMBER($H$10:$Z$10)*ISNUMBER(H100:Z100)*$H$10:$Z$10) * 0.85
       )
     ) * 100,
     ""
   )
)</f>
        <v/>
      </c>
      <c r="AE100" s="1" t="str" cm="1">
        <f t="array" ref="AE100">IF(
   SUMPRODUCT(($C$9:$G$9="CO5")*ISNUMBER($C$10:$G$10)*ISNUMBER(C100:G100)) +
   SUMPRODUCT(($H$9:$Z$9="CO5")*ISNUMBER($H$10:$Z$10)*ISNUMBER(H100:Z100)) = 0,
   "",
   IFERROR(
     (
       IF(
         SUMPRODUCT(($C$9:$G$9="CO5")*ISNUMBER($C$10:$G$10)*ISNUMBER(C100:G100)) = 0,
         0,
         SUMPRODUCT(($C$9:$G$9="CO5")*ISNUMBER($C$10:$G$10)*ISNUMBER(C100:G100)*C100:G100) /
         SUMPRODUCT(($C$9:$G$9="CO5")*ISNUMBER($C$10:$G$10)*ISNUMBER(C100:G100)*$C$10:$G$10) * 0.15
       ) +
       IF(
         SUMPRODUCT(($H$9:$Z$9="CO5")*ISNUMBER($H$10:$Z$10)*ISNUMBER(H100:Z100)) = 0,
         0,
         SUMPRODUCT(($H$9:$Z$9="CO5")*ISNUMBER($H$10:$Z$10)*ISNUMBER(H100:Z100)*H100:Z100) /
         SUMPRODUCT(($H$9:$Z$9="CO5")*ISNUMBER($H$10:$Z$10)*ISNUMBER(H100:Z100)*$H$10:$Z$10) * 0.85
       )
     ) * 100,
     ""
   )
)</f>
        <v/>
      </c>
      <c r="AF100" s="1" t="str" cm="1">
        <f t="array" ref="AF100">IF(
   SUMPRODUCT(($C$9:$G$9="CO6")*ISNUMBER($C$10:$G$10)*ISNUMBER(C100:G100)) +
   SUMPRODUCT(($H$9:$Z$9="CO6")*ISNUMBER($H$10:$Z$10)*ISNUMBER(H100:Z100)) = 0,
   "",
   IFERROR(
     (
       IF(
         SUMPRODUCT(($C$9:$G$9="CO6")*ISNUMBER($C$10:$G$10)*ISNUMBER(C100:G100)) = 0,
         0,
         SUMPRODUCT(($C$9:$G$9="CO6")*ISNUMBER($C$10:$G$10)*ISNUMBER(C100:G100)*C100:G100) /
         SUMPRODUCT(($C$9:$G$9="CO6")*ISNUMBER($C$10:$G$10)*ISNUMBER(C100:G100)*$C$10:$G$10) * 0.15
       ) +
       IF(
         SUMPRODUCT(($H$9:$Z$9="CO6")*ISNUMBER($H$10:$Z$10)*ISNUMBER(H100:Z100)) = 0,
         0,
         SUMPRODUCT(($H$9:$Z$9="CO6")*ISNUMBER($H$10:$Z$10)*ISNUMBER(H100:Z100)*H100:Z100) /
         SUMPRODUCT(($H$9:$Z$9="CO6")*ISNUMBER($H$10:$Z$10)*ISNUMBER(H100:Z100)*$H$10:$Z$10) * 0.85
       )
     ) * 100,
     ""
   )
)</f>
        <v/>
      </c>
      <c r="AG100" s="1" t="str" cm="1">
        <f t="array" ref="AG100">IF(
   SUMPRODUCT(($C$9:$G$9="CO7")*ISNUMBER($C$10:$G$10)*ISNUMBER(C100:G100)) +
   SUMPRODUCT(($H$9:$Z$9="CO7")*ISNUMBER($H$10:$Z$10)*ISNUMBER(H100:Z100)) = 0,
   "",
   IFERROR(
     (
       IF(
         SUMPRODUCT(($C$9:$G$9="CO7")*ISNUMBER($C$10:$G$10)*ISNUMBER(C100:G100)) = 0,
         0,
         SUMPRODUCT(($C$9:$G$9="CO7")*ISNUMBER($C$10:$G$10)*ISNUMBER(C100:G100)*C100:G100) /
         SUMPRODUCT(($C$9:$G$9="CO7")*ISNUMBER($C$10:$G$10)*ISNUMBER(C100:G100)*$C$10:$G$10) * 0.15
       ) +
       IF(
         SUMPRODUCT(($H$9:$Z$9="CO7")*ISNUMBER($H$10:$Z$10)*ISNUMBER(H100:Z100)) = 0,
         0,
         SUMPRODUCT(($H$9:$Z$9="CO7")*ISNUMBER($H$10:$Z$10)*ISNUMBER(H100:Z100)*H100:Z100) /
         SUMPRODUCT(($H$9:$Z$9="CO7")*ISNUMBER($H$10:$Z$10)*ISNUMBER(H100:Z100)*$H$10:$Z$10) * 0.85
       )
     ) * 100,
     ""
   )
)</f>
        <v/>
      </c>
      <c r="AH100" s="3" t="str" cm="1">
        <f t="array" ref="AH100">IF(
   SUMPRODUCT(($C$9:$G$9="CO8")*ISNUMBER($C$10:$G$10)*ISNUMBER(C100:G100)) +
   SUMPRODUCT(($H$9:$Z$9="CO8")*ISNUMBER($H$10:$Z$10)*ISNUMBER(H100:Z100)) = 0,
   "",
   IFERROR(
     (
       IF(
         SUMPRODUCT(($C$9:$G$9="CO8")*ISNUMBER($C$10:$G$10)*ISNUMBER(C100:G100)) = 0,
         0,
         SUMPRODUCT(($C$9:$G$9="CO8")*ISNUMBER($C$10:$G$10)*ISNUMBER(C100:G100)*C100:G100) /
         SUMPRODUCT(($C$9:$G$9="CO8")*ISNUMBER($C$10:$G$10)*ISNUMBER(C100:G100)*$C$10:$G$10) * 0.15
       ) +
       IF(
         SUMPRODUCT(($H$9:$Z$9="CO8")*ISNUMBER($H$10:$Z$10)*ISNUMBER(H100:Z100)) = 0,
         0,
         SUMPRODUCT(($H$9:$Z$9="CO8")*ISNUMBER($H$10:$Z$10)*ISNUMBER(H100:Z100)*H100:Z100) /
         SUMPRODUCT(($H$9:$Z$9="CO8")*ISNUMBER($H$10:$Z$10)*ISNUMBER(H100:Z100)*$H$10:$Z$10) * 0.85
       )
     ) * 100,
     ""
   )
)</f>
        <v/>
      </c>
      <c r="AI100" s="1" t="str">
        <f t="shared" si="14"/>
        <v/>
      </c>
      <c r="AJ100" s="1" t="str">
        <f t="shared" si="15"/>
        <v/>
      </c>
      <c r="AK100" s="1" t="str">
        <f t="shared" si="16"/>
        <v/>
      </c>
      <c r="AL100" s="1" t="str">
        <f t="shared" si="13"/>
        <v/>
      </c>
      <c r="AM100" s="1" t="str">
        <f t="shared" si="13"/>
        <v/>
      </c>
      <c r="AN100" s="1" t="str">
        <f t="shared" si="13"/>
        <v/>
      </c>
      <c r="AO100" s="1" t="str">
        <f t="shared" si="13"/>
        <v/>
      </c>
      <c r="AP100" s="1" t="str">
        <f t="shared" si="13"/>
        <v/>
      </c>
    </row>
    <row r="101" spans="1:42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" t="str" cm="1">
        <f t="array" ref="AA101">IF(
   SUMPRODUCT(($C$9:$G$9="CO1")*ISNUMBER($C$10:$G$10)*ISNUMBER(C101:G101)) +
   SUMPRODUCT(($H$9:$Z$9="CO1")*ISNUMBER($H$10:$Z$10)*ISNUMBER(H101:Z101)) = 0,
   "",
   IFERROR(
     (
       IF(
         SUMPRODUCT(($C$9:$G$9="CO1")*ISNUMBER($C$10:$G$10)*ISNUMBER(C101:G101)) = 0,
         0,
         SUMPRODUCT(($C$9:$G$9="CO1")*ISNUMBER($C$10:$G$10)*ISNUMBER(C101:G101)*C101:G101) /
         SUMPRODUCT(($C$9:$G$9="CO1")*ISNUMBER($C$10:$G$10)*ISNUMBER(C101:G101)*$C$10:$G$10) * 0.15
       ) +
       IF(
         SUMPRODUCT(($H$9:$Z$9="CO1")*ISNUMBER($H$10:$Z$10)*ISNUMBER(H101:Z101)) = 0,
         0,
         SUMPRODUCT(($H$9:$Z$9="CO1")*ISNUMBER($H$10:$Z$10)*ISNUMBER(H101:Z101)*H101:Z101) /
         SUMPRODUCT(($H$9:$Z$9="CO1")*ISNUMBER($H$10:$Z$10)*ISNUMBER(H101:Z101)*$H$10:$Z$10) * 0.85
       )
     ) * 100,
     ""
   )
)</f>
        <v/>
      </c>
      <c r="AB101" s="1" t="str" cm="1">
        <f t="array" ref="AB101">IF(
   SUMPRODUCT(($C$9:$G$9="CO2")*ISNUMBER($C$10:$G$10)*ISNUMBER(C101:G101)) +
   SUMPRODUCT(($H$9:$Z$9="CO2")*ISNUMBER($H$10:$Z$10)*ISNUMBER(H101:Z101)) = 0,
   "",
   IFERROR(
     (
       IF(
         SUMPRODUCT(($C$9:$G$9="CO2")*ISNUMBER($C$10:$G$10)*ISNUMBER(C101:G101)) = 0,
         0,
         SUMPRODUCT(($C$9:$G$9="CO2")*ISNUMBER($C$10:$G$10)*ISNUMBER(C101:G101)*C101:G101) /
         SUMPRODUCT(($C$9:$G$9="CO2")*ISNUMBER($C$10:$G$10)*ISNUMBER(C101:G101)*$C$10:$G$10) * 0.15
       ) +
       IF(
         SUMPRODUCT(($H$9:$Z$9="CO2")*ISNUMBER($H$10:$Z$10)*ISNUMBER(H101:Z101)) = 0,
         0,
         SUMPRODUCT(($H$9:$Z$9="CO2")*ISNUMBER($H$10:$Z$10)*ISNUMBER(H101:Z101)*H101:Z101) /
         SUMPRODUCT(($H$9:$Z$9="CO2")*ISNUMBER($H$10:$Z$10)*ISNUMBER(H101:Z101)*$H$10:$Z$10) * 0.85
       )
     ) * 100,
     ""
   )
)</f>
        <v/>
      </c>
      <c r="AC101" s="1" t="str" cm="1">
        <f t="array" ref="AC101">IF(
   SUMPRODUCT(($C$9:$G$9="CO3")*ISNUMBER($C$10:$G$10)*ISNUMBER(C101:G101)) +
   SUMPRODUCT(($H$9:$Z$9="CO3")*ISNUMBER($H$10:$Z$10)*ISNUMBER(H101:Z101)) = 0,
   "",
   IFERROR(
     (
       IF(
         SUMPRODUCT(($C$9:$G$9="CO3")*ISNUMBER($C$10:$G$10)*ISNUMBER(C101:G101)) = 0,
         0,
         SUMPRODUCT(($C$9:$G$9="CO3")*ISNUMBER($C$10:$G$10)*ISNUMBER(C101:G101)*C101:G101) /
         SUMPRODUCT(($C$9:$G$9="CO3")*ISNUMBER($C$10:$G$10)*ISNUMBER(C101:G101)*$C$10:$G$10) * 0.15
       ) +
       IF(
         SUMPRODUCT(($H$9:$Z$9="CO3")*ISNUMBER($H$10:$Z$10)*ISNUMBER(H101:Z101)) = 0,
         0,
         SUMPRODUCT(($H$9:$Z$9="CO3")*ISNUMBER($H$10:$Z$10)*ISNUMBER(H101:Z101)*H101:Z101) /
         SUMPRODUCT(($H$9:$Z$9="CO3")*ISNUMBER($H$10:$Z$10)*ISNUMBER(H101:Z101)*$H$10:$Z$10) * 0.85
       )
     ) * 100,
     ""
   )
)</f>
        <v/>
      </c>
      <c r="AD101" s="1" t="str" cm="1">
        <f t="array" ref="AD101">IF(
   SUMPRODUCT(($C$9:$G$9="CO4")*ISNUMBER($C$10:$G$10)*ISNUMBER(C101:G101)) +
   SUMPRODUCT(($H$9:$Z$9="CO4")*ISNUMBER($H$10:$Z$10)*ISNUMBER(H101:Z101)) = 0,
   "",
   IFERROR(
     (
       IF(
         SUMPRODUCT(($C$9:$G$9="CO4")*ISNUMBER($C$10:$G$10)*ISNUMBER(C101:G101)) = 0,
         0,
         SUMPRODUCT(($C$9:$G$9="CO4")*ISNUMBER($C$10:$G$10)*ISNUMBER(C101:G101)*C101:G101) /
         SUMPRODUCT(($C$9:$G$9="CO4")*ISNUMBER($C$10:$G$10)*ISNUMBER(C101:G101)*$C$10:$G$10) * 0.15
       ) +
       IF(
         SUMPRODUCT(($H$9:$Z$9="CO4")*ISNUMBER($H$10:$Z$10)*ISNUMBER(H101:Z101)) = 0,
         0,
         SUMPRODUCT(($H$9:$Z$9="CO4")*ISNUMBER($H$10:$Z$10)*ISNUMBER(H101:Z101)*H101:Z101) /
         SUMPRODUCT(($H$9:$Z$9="CO4")*ISNUMBER($H$10:$Z$10)*ISNUMBER(H101:Z101)*$H$10:$Z$10) * 0.85
       )
     ) * 100,
     ""
   )
)</f>
        <v/>
      </c>
      <c r="AE101" s="1" t="str" cm="1">
        <f t="array" ref="AE101">IF(
   SUMPRODUCT(($C$9:$G$9="CO5")*ISNUMBER($C$10:$G$10)*ISNUMBER(C101:G101)) +
   SUMPRODUCT(($H$9:$Z$9="CO5")*ISNUMBER($H$10:$Z$10)*ISNUMBER(H101:Z101)) = 0,
   "",
   IFERROR(
     (
       IF(
         SUMPRODUCT(($C$9:$G$9="CO5")*ISNUMBER($C$10:$G$10)*ISNUMBER(C101:G101)) = 0,
         0,
         SUMPRODUCT(($C$9:$G$9="CO5")*ISNUMBER($C$10:$G$10)*ISNUMBER(C101:G101)*C101:G101) /
         SUMPRODUCT(($C$9:$G$9="CO5")*ISNUMBER($C$10:$G$10)*ISNUMBER(C101:G101)*$C$10:$G$10) * 0.15
       ) +
       IF(
         SUMPRODUCT(($H$9:$Z$9="CO5")*ISNUMBER($H$10:$Z$10)*ISNUMBER(H101:Z101)) = 0,
         0,
         SUMPRODUCT(($H$9:$Z$9="CO5")*ISNUMBER($H$10:$Z$10)*ISNUMBER(H101:Z101)*H101:Z101) /
         SUMPRODUCT(($H$9:$Z$9="CO5")*ISNUMBER($H$10:$Z$10)*ISNUMBER(H101:Z101)*$H$10:$Z$10) * 0.85
       )
     ) * 100,
     ""
   )
)</f>
        <v/>
      </c>
      <c r="AF101" s="1" t="str" cm="1">
        <f t="array" ref="AF101">IF(
   SUMPRODUCT(($C$9:$G$9="CO6")*ISNUMBER($C$10:$G$10)*ISNUMBER(C101:G101)) +
   SUMPRODUCT(($H$9:$Z$9="CO6")*ISNUMBER($H$10:$Z$10)*ISNUMBER(H101:Z101)) = 0,
   "",
   IFERROR(
     (
       IF(
         SUMPRODUCT(($C$9:$G$9="CO6")*ISNUMBER($C$10:$G$10)*ISNUMBER(C101:G101)) = 0,
         0,
         SUMPRODUCT(($C$9:$G$9="CO6")*ISNUMBER($C$10:$G$10)*ISNUMBER(C101:G101)*C101:G101) /
         SUMPRODUCT(($C$9:$G$9="CO6")*ISNUMBER($C$10:$G$10)*ISNUMBER(C101:G101)*$C$10:$G$10) * 0.15
       ) +
       IF(
         SUMPRODUCT(($H$9:$Z$9="CO6")*ISNUMBER($H$10:$Z$10)*ISNUMBER(H101:Z101)) = 0,
         0,
         SUMPRODUCT(($H$9:$Z$9="CO6")*ISNUMBER($H$10:$Z$10)*ISNUMBER(H101:Z101)*H101:Z101) /
         SUMPRODUCT(($H$9:$Z$9="CO6")*ISNUMBER($H$10:$Z$10)*ISNUMBER(H101:Z101)*$H$10:$Z$10) * 0.85
       )
     ) * 100,
     ""
   )
)</f>
        <v/>
      </c>
      <c r="AG101" s="1" t="str" cm="1">
        <f t="array" ref="AG101">IF(
   SUMPRODUCT(($C$9:$G$9="CO7")*ISNUMBER($C$10:$G$10)*ISNUMBER(C101:G101)) +
   SUMPRODUCT(($H$9:$Z$9="CO7")*ISNUMBER($H$10:$Z$10)*ISNUMBER(H101:Z101)) = 0,
   "",
   IFERROR(
     (
       IF(
         SUMPRODUCT(($C$9:$G$9="CO7")*ISNUMBER($C$10:$G$10)*ISNUMBER(C101:G101)) = 0,
         0,
         SUMPRODUCT(($C$9:$G$9="CO7")*ISNUMBER($C$10:$G$10)*ISNUMBER(C101:G101)*C101:G101) /
         SUMPRODUCT(($C$9:$G$9="CO7")*ISNUMBER($C$10:$G$10)*ISNUMBER(C101:G101)*$C$10:$G$10) * 0.15
       ) +
       IF(
         SUMPRODUCT(($H$9:$Z$9="CO7")*ISNUMBER($H$10:$Z$10)*ISNUMBER(H101:Z101)) = 0,
         0,
         SUMPRODUCT(($H$9:$Z$9="CO7")*ISNUMBER($H$10:$Z$10)*ISNUMBER(H101:Z101)*H101:Z101) /
         SUMPRODUCT(($H$9:$Z$9="CO7")*ISNUMBER($H$10:$Z$10)*ISNUMBER(H101:Z101)*$H$10:$Z$10) * 0.85
       )
     ) * 100,
     ""
   )
)</f>
        <v/>
      </c>
      <c r="AH101" s="3" t="str" cm="1">
        <f t="array" ref="AH101">IF(
   SUMPRODUCT(($C$9:$G$9="CO8")*ISNUMBER($C$10:$G$10)*ISNUMBER(C101:G101)) +
   SUMPRODUCT(($H$9:$Z$9="CO8")*ISNUMBER($H$10:$Z$10)*ISNUMBER(H101:Z101)) = 0,
   "",
   IFERROR(
     (
       IF(
         SUMPRODUCT(($C$9:$G$9="CO8")*ISNUMBER($C$10:$G$10)*ISNUMBER(C101:G101)) = 0,
         0,
         SUMPRODUCT(($C$9:$G$9="CO8")*ISNUMBER($C$10:$G$10)*ISNUMBER(C101:G101)*C101:G101) /
         SUMPRODUCT(($C$9:$G$9="CO8")*ISNUMBER($C$10:$G$10)*ISNUMBER(C101:G101)*$C$10:$G$10) * 0.15
       ) +
       IF(
         SUMPRODUCT(($H$9:$Z$9="CO8")*ISNUMBER($H$10:$Z$10)*ISNUMBER(H101:Z101)) = 0,
         0,
         SUMPRODUCT(($H$9:$Z$9="CO8")*ISNUMBER($H$10:$Z$10)*ISNUMBER(H101:Z101)*H101:Z101) /
         SUMPRODUCT(($H$9:$Z$9="CO8")*ISNUMBER($H$10:$Z$10)*ISNUMBER(H101:Z101)*$H$10:$Z$10) * 0.85
       )
     ) * 100,
     ""
   )
)</f>
        <v/>
      </c>
      <c r="AI101" s="1" t="str">
        <f t="shared" si="14"/>
        <v/>
      </c>
      <c r="AJ101" s="1" t="str">
        <f t="shared" si="15"/>
        <v/>
      </c>
      <c r="AK101" s="1" t="str">
        <f t="shared" si="16"/>
        <v/>
      </c>
      <c r="AL101" s="1" t="str">
        <f t="shared" si="13"/>
        <v/>
      </c>
      <c r="AM101" s="1" t="str">
        <f t="shared" si="13"/>
        <v/>
      </c>
      <c r="AN101" s="1" t="str">
        <f t="shared" si="13"/>
        <v/>
      </c>
      <c r="AO101" s="1" t="str">
        <f t="shared" si="13"/>
        <v/>
      </c>
      <c r="AP101" s="1" t="str">
        <f t="shared" si="13"/>
        <v/>
      </c>
    </row>
    <row r="102" spans="1:42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" t="str" cm="1">
        <f t="array" ref="AA102">IF(
   SUMPRODUCT(($C$9:$G$9="CO1")*ISNUMBER($C$10:$G$10)*ISNUMBER(C102:G102)) +
   SUMPRODUCT(($H$9:$Z$9="CO1")*ISNUMBER($H$10:$Z$10)*ISNUMBER(H102:Z102)) = 0,
   "",
   IFERROR(
     (
       IF(
         SUMPRODUCT(($C$9:$G$9="CO1")*ISNUMBER($C$10:$G$10)*ISNUMBER(C102:G102)) = 0,
         0,
         SUMPRODUCT(($C$9:$G$9="CO1")*ISNUMBER($C$10:$G$10)*ISNUMBER(C102:G102)*C102:G102) /
         SUMPRODUCT(($C$9:$G$9="CO1")*ISNUMBER($C$10:$G$10)*ISNUMBER(C102:G102)*$C$10:$G$10) * 0.15
       ) +
       IF(
         SUMPRODUCT(($H$9:$Z$9="CO1")*ISNUMBER($H$10:$Z$10)*ISNUMBER(H102:Z102)) = 0,
         0,
         SUMPRODUCT(($H$9:$Z$9="CO1")*ISNUMBER($H$10:$Z$10)*ISNUMBER(H102:Z102)*H102:Z102) /
         SUMPRODUCT(($H$9:$Z$9="CO1")*ISNUMBER($H$10:$Z$10)*ISNUMBER(H102:Z102)*$H$10:$Z$10) * 0.85
       )
     ) * 100,
     ""
   )
)</f>
        <v/>
      </c>
      <c r="AB102" s="1" t="str" cm="1">
        <f t="array" ref="AB102">IF(
   SUMPRODUCT(($C$9:$G$9="CO2")*ISNUMBER($C$10:$G$10)*ISNUMBER(C102:G102)) +
   SUMPRODUCT(($H$9:$Z$9="CO2")*ISNUMBER($H$10:$Z$10)*ISNUMBER(H102:Z102)) = 0,
   "",
   IFERROR(
     (
       IF(
         SUMPRODUCT(($C$9:$G$9="CO2")*ISNUMBER($C$10:$G$10)*ISNUMBER(C102:G102)) = 0,
         0,
         SUMPRODUCT(($C$9:$G$9="CO2")*ISNUMBER($C$10:$G$10)*ISNUMBER(C102:G102)*C102:G102) /
         SUMPRODUCT(($C$9:$G$9="CO2")*ISNUMBER($C$10:$G$10)*ISNUMBER(C102:G102)*$C$10:$G$10) * 0.15
       ) +
       IF(
         SUMPRODUCT(($H$9:$Z$9="CO2")*ISNUMBER($H$10:$Z$10)*ISNUMBER(H102:Z102)) = 0,
         0,
         SUMPRODUCT(($H$9:$Z$9="CO2")*ISNUMBER($H$10:$Z$10)*ISNUMBER(H102:Z102)*H102:Z102) /
         SUMPRODUCT(($H$9:$Z$9="CO2")*ISNUMBER($H$10:$Z$10)*ISNUMBER(H102:Z102)*$H$10:$Z$10) * 0.85
       )
     ) * 100,
     ""
   )
)</f>
        <v/>
      </c>
      <c r="AC102" s="1" t="str" cm="1">
        <f t="array" ref="AC102">IF(
   SUMPRODUCT(($C$9:$G$9="CO3")*ISNUMBER($C$10:$G$10)*ISNUMBER(C102:G102)) +
   SUMPRODUCT(($H$9:$Z$9="CO3")*ISNUMBER($H$10:$Z$10)*ISNUMBER(H102:Z102)) = 0,
   "",
   IFERROR(
     (
       IF(
         SUMPRODUCT(($C$9:$G$9="CO3")*ISNUMBER($C$10:$G$10)*ISNUMBER(C102:G102)) = 0,
         0,
         SUMPRODUCT(($C$9:$G$9="CO3")*ISNUMBER($C$10:$G$10)*ISNUMBER(C102:G102)*C102:G102) /
         SUMPRODUCT(($C$9:$G$9="CO3")*ISNUMBER($C$10:$G$10)*ISNUMBER(C102:G102)*$C$10:$G$10) * 0.15
       ) +
       IF(
         SUMPRODUCT(($H$9:$Z$9="CO3")*ISNUMBER($H$10:$Z$10)*ISNUMBER(H102:Z102)) = 0,
         0,
         SUMPRODUCT(($H$9:$Z$9="CO3")*ISNUMBER($H$10:$Z$10)*ISNUMBER(H102:Z102)*H102:Z102) /
         SUMPRODUCT(($H$9:$Z$9="CO3")*ISNUMBER($H$10:$Z$10)*ISNUMBER(H102:Z102)*$H$10:$Z$10) * 0.85
       )
     ) * 100,
     ""
   )
)</f>
        <v/>
      </c>
      <c r="AD102" s="1" t="str" cm="1">
        <f t="array" ref="AD102">IF(
   SUMPRODUCT(($C$9:$G$9="CO4")*ISNUMBER($C$10:$G$10)*ISNUMBER(C102:G102)) +
   SUMPRODUCT(($H$9:$Z$9="CO4")*ISNUMBER($H$10:$Z$10)*ISNUMBER(H102:Z102)) = 0,
   "",
   IFERROR(
     (
       IF(
         SUMPRODUCT(($C$9:$G$9="CO4")*ISNUMBER($C$10:$G$10)*ISNUMBER(C102:G102)) = 0,
         0,
         SUMPRODUCT(($C$9:$G$9="CO4")*ISNUMBER($C$10:$G$10)*ISNUMBER(C102:G102)*C102:G102) /
         SUMPRODUCT(($C$9:$G$9="CO4")*ISNUMBER($C$10:$G$10)*ISNUMBER(C102:G102)*$C$10:$G$10) * 0.15
       ) +
       IF(
         SUMPRODUCT(($H$9:$Z$9="CO4")*ISNUMBER($H$10:$Z$10)*ISNUMBER(H102:Z102)) = 0,
         0,
         SUMPRODUCT(($H$9:$Z$9="CO4")*ISNUMBER($H$10:$Z$10)*ISNUMBER(H102:Z102)*H102:Z102) /
         SUMPRODUCT(($H$9:$Z$9="CO4")*ISNUMBER($H$10:$Z$10)*ISNUMBER(H102:Z102)*$H$10:$Z$10) * 0.85
       )
     ) * 100,
     ""
   )
)</f>
        <v/>
      </c>
      <c r="AE102" s="1" t="str" cm="1">
        <f t="array" ref="AE102">IF(
   SUMPRODUCT(($C$9:$G$9="CO5")*ISNUMBER($C$10:$G$10)*ISNUMBER(C102:G102)) +
   SUMPRODUCT(($H$9:$Z$9="CO5")*ISNUMBER($H$10:$Z$10)*ISNUMBER(H102:Z102)) = 0,
   "",
   IFERROR(
     (
       IF(
         SUMPRODUCT(($C$9:$G$9="CO5")*ISNUMBER($C$10:$G$10)*ISNUMBER(C102:G102)) = 0,
         0,
         SUMPRODUCT(($C$9:$G$9="CO5")*ISNUMBER($C$10:$G$10)*ISNUMBER(C102:G102)*C102:G102) /
         SUMPRODUCT(($C$9:$G$9="CO5")*ISNUMBER($C$10:$G$10)*ISNUMBER(C102:G102)*$C$10:$G$10) * 0.15
       ) +
       IF(
         SUMPRODUCT(($H$9:$Z$9="CO5")*ISNUMBER($H$10:$Z$10)*ISNUMBER(H102:Z102)) = 0,
         0,
         SUMPRODUCT(($H$9:$Z$9="CO5")*ISNUMBER($H$10:$Z$10)*ISNUMBER(H102:Z102)*H102:Z102) /
         SUMPRODUCT(($H$9:$Z$9="CO5")*ISNUMBER($H$10:$Z$10)*ISNUMBER(H102:Z102)*$H$10:$Z$10) * 0.85
       )
     ) * 100,
     ""
   )
)</f>
        <v/>
      </c>
      <c r="AF102" s="1" t="str" cm="1">
        <f t="array" ref="AF102">IF(
   SUMPRODUCT(($C$9:$G$9="CO6")*ISNUMBER($C$10:$G$10)*ISNUMBER(C102:G102)) +
   SUMPRODUCT(($H$9:$Z$9="CO6")*ISNUMBER($H$10:$Z$10)*ISNUMBER(H102:Z102)) = 0,
   "",
   IFERROR(
     (
       IF(
         SUMPRODUCT(($C$9:$G$9="CO6")*ISNUMBER($C$10:$G$10)*ISNUMBER(C102:G102)) = 0,
         0,
         SUMPRODUCT(($C$9:$G$9="CO6")*ISNUMBER($C$10:$G$10)*ISNUMBER(C102:G102)*C102:G102) /
         SUMPRODUCT(($C$9:$G$9="CO6")*ISNUMBER($C$10:$G$10)*ISNUMBER(C102:G102)*$C$10:$G$10) * 0.15
       ) +
       IF(
         SUMPRODUCT(($H$9:$Z$9="CO6")*ISNUMBER($H$10:$Z$10)*ISNUMBER(H102:Z102)) = 0,
         0,
         SUMPRODUCT(($H$9:$Z$9="CO6")*ISNUMBER($H$10:$Z$10)*ISNUMBER(H102:Z102)*H102:Z102) /
         SUMPRODUCT(($H$9:$Z$9="CO6")*ISNUMBER($H$10:$Z$10)*ISNUMBER(H102:Z102)*$H$10:$Z$10) * 0.85
       )
     ) * 100,
     ""
   )
)</f>
        <v/>
      </c>
      <c r="AG102" s="1" t="str" cm="1">
        <f t="array" ref="AG102">IF(
   SUMPRODUCT(($C$9:$G$9="CO7")*ISNUMBER($C$10:$G$10)*ISNUMBER(C102:G102)) +
   SUMPRODUCT(($H$9:$Z$9="CO7")*ISNUMBER($H$10:$Z$10)*ISNUMBER(H102:Z102)) = 0,
   "",
   IFERROR(
     (
       IF(
         SUMPRODUCT(($C$9:$G$9="CO7")*ISNUMBER($C$10:$G$10)*ISNUMBER(C102:G102)) = 0,
         0,
         SUMPRODUCT(($C$9:$G$9="CO7")*ISNUMBER($C$10:$G$10)*ISNUMBER(C102:G102)*C102:G102) /
         SUMPRODUCT(($C$9:$G$9="CO7")*ISNUMBER($C$10:$G$10)*ISNUMBER(C102:G102)*$C$10:$G$10) * 0.15
       ) +
       IF(
         SUMPRODUCT(($H$9:$Z$9="CO7")*ISNUMBER($H$10:$Z$10)*ISNUMBER(H102:Z102)) = 0,
         0,
         SUMPRODUCT(($H$9:$Z$9="CO7")*ISNUMBER($H$10:$Z$10)*ISNUMBER(H102:Z102)*H102:Z102) /
         SUMPRODUCT(($H$9:$Z$9="CO7")*ISNUMBER($H$10:$Z$10)*ISNUMBER(H102:Z102)*$H$10:$Z$10) * 0.85
       )
     ) * 100,
     ""
   )
)</f>
        <v/>
      </c>
      <c r="AH102" s="3" t="str" cm="1">
        <f t="array" ref="AH102">IF(
   SUMPRODUCT(($C$9:$G$9="CO8")*ISNUMBER($C$10:$G$10)*ISNUMBER(C102:G102)) +
   SUMPRODUCT(($H$9:$Z$9="CO8")*ISNUMBER($H$10:$Z$10)*ISNUMBER(H102:Z102)) = 0,
   "",
   IFERROR(
     (
       IF(
         SUMPRODUCT(($C$9:$G$9="CO8")*ISNUMBER($C$10:$G$10)*ISNUMBER(C102:G102)) = 0,
         0,
         SUMPRODUCT(($C$9:$G$9="CO8")*ISNUMBER($C$10:$G$10)*ISNUMBER(C102:G102)*C102:G102) /
         SUMPRODUCT(($C$9:$G$9="CO8")*ISNUMBER($C$10:$G$10)*ISNUMBER(C102:G102)*$C$10:$G$10) * 0.15
       ) +
       IF(
         SUMPRODUCT(($H$9:$Z$9="CO8")*ISNUMBER($H$10:$Z$10)*ISNUMBER(H102:Z102)) = 0,
         0,
         SUMPRODUCT(($H$9:$Z$9="CO8")*ISNUMBER($H$10:$Z$10)*ISNUMBER(H102:Z102)*H102:Z102) /
         SUMPRODUCT(($H$9:$Z$9="CO8")*ISNUMBER($H$10:$Z$10)*ISNUMBER(H102:Z102)*$H$10:$Z$10) * 0.85
       )
     ) * 100,
     ""
   )
)</f>
        <v/>
      </c>
      <c r="AI102" s="1" t="str">
        <f t="shared" si="14"/>
        <v/>
      </c>
      <c r="AJ102" s="1" t="str">
        <f t="shared" si="15"/>
        <v/>
      </c>
      <c r="AK102" s="1" t="str">
        <f t="shared" si="16"/>
        <v/>
      </c>
      <c r="AL102" s="1" t="str">
        <f t="shared" si="13"/>
        <v/>
      </c>
      <c r="AM102" s="1" t="str">
        <f t="shared" si="13"/>
        <v/>
      </c>
      <c r="AN102" s="1" t="str">
        <f t="shared" si="13"/>
        <v/>
      </c>
      <c r="AO102" s="1" t="str">
        <f t="shared" si="13"/>
        <v/>
      </c>
      <c r="AP102" s="1" t="str">
        <f t="shared" si="13"/>
        <v/>
      </c>
    </row>
    <row r="103" spans="1:42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" t="str" cm="1">
        <f t="array" ref="AA103">IF(
   SUMPRODUCT(($C$9:$G$9="CO1")*ISNUMBER($C$10:$G$10)*ISNUMBER(C103:G103)) +
   SUMPRODUCT(($H$9:$Z$9="CO1")*ISNUMBER($H$10:$Z$10)*ISNUMBER(H103:Z103)) = 0,
   "",
   IFERROR(
     (
       IF(
         SUMPRODUCT(($C$9:$G$9="CO1")*ISNUMBER($C$10:$G$10)*ISNUMBER(C103:G103)) = 0,
         0,
         SUMPRODUCT(($C$9:$G$9="CO1")*ISNUMBER($C$10:$G$10)*ISNUMBER(C103:G103)*C103:G103) /
         SUMPRODUCT(($C$9:$G$9="CO1")*ISNUMBER($C$10:$G$10)*ISNUMBER(C103:G103)*$C$10:$G$10) * 0.15
       ) +
       IF(
         SUMPRODUCT(($H$9:$Z$9="CO1")*ISNUMBER($H$10:$Z$10)*ISNUMBER(H103:Z103)) = 0,
         0,
         SUMPRODUCT(($H$9:$Z$9="CO1")*ISNUMBER($H$10:$Z$10)*ISNUMBER(H103:Z103)*H103:Z103) /
         SUMPRODUCT(($H$9:$Z$9="CO1")*ISNUMBER($H$10:$Z$10)*ISNUMBER(H103:Z103)*$H$10:$Z$10) * 0.85
       )
     ) * 100,
     ""
   )
)</f>
        <v/>
      </c>
      <c r="AB103" s="1" t="str" cm="1">
        <f t="array" ref="AB103">IF(
   SUMPRODUCT(($C$9:$G$9="CO2")*ISNUMBER($C$10:$G$10)*ISNUMBER(C103:G103)) +
   SUMPRODUCT(($H$9:$Z$9="CO2")*ISNUMBER($H$10:$Z$10)*ISNUMBER(H103:Z103)) = 0,
   "",
   IFERROR(
     (
       IF(
         SUMPRODUCT(($C$9:$G$9="CO2")*ISNUMBER($C$10:$G$10)*ISNUMBER(C103:G103)) = 0,
         0,
         SUMPRODUCT(($C$9:$G$9="CO2")*ISNUMBER($C$10:$G$10)*ISNUMBER(C103:G103)*C103:G103) /
         SUMPRODUCT(($C$9:$G$9="CO2")*ISNUMBER($C$10:$G$10)*ISNUMBER(C103:G103)*$C$10:$G$10) * 0.15
       ) +
       IF(
         SUMPRODUCT(($H$9:$Z$9="CO2")*ISNUMBER($H$10:$Z$10)*ISNUMBER(H103:Z103)) = 0,
         0,
         SUMPRODUCT(($H$9:$Z$9="CO2")*ISNUMBER($H$10:$Z$10)*ISNUMBER(H103:Z103)*H103:Z103) /
         SUMPRODUCT(($H$9:$Z$9="CO2")*ISNUMBER($H$10:$Z$10)*ISNUMBER(H103:Z103)*$H$10:$Z$10) * 0.85
       )
     ) * 100,
     ""
   )
)</f>
        <v/>
      </c>
      <c r="AC103" s="1" t="str" cm="1">
        <f t="array" ref="AC103">IF(
   SUMPRODUCT(($C$9:$G$9="CO3")*ISNUMBER($C$10:$G$10)*ISNUMBER(C103:G103)) +
   SUMPRODUCT(($H$9:$Z$9="CO3")*ISNUMBER($H$10:$Z$10)*ISNUMBER(H103:Z103)) = 0,
   "",
   IFERROR(
     (
       IF(
         SUMPRODUCT(($C$9:$G$9="CO3")*ISNUMBER($C$10:$G$10)*ISNUMBER(C103:G103)) = 0,
         0,
         SUMPRODUCT(($C$9:$G$9="CO3")*ISNUMBER($C$10:$G$10)*ISNUMBER(C103:G103)*C103:G103) /
         SUMPRODUCT(($C$9:$G$9="CO3")*ISNUMBER($C$10:$G$10)*ISNUMBER(C103:G103)*$C$10:$G$10) * 0.15
       ) +
       IF(
         SUMPRODUCT(($H$9:$Z$9="CO3")*ISNUMBER($H$10:$Z$10)*ISNUMBER(H103:Z103)) = 0,
         0,
         SUMPRODUCT(($H$9:$Z$9="CO3")*ISNUMBER($H$10:$Z$10)*ISNUMBER(H103:Z103)*H103:Z103) /
         SUMPRODUCT(($H$9:$Z$9="CO3")*ISNUMBER($H$10:$Z$10)*ISNUMBER(H103:Z103)*$H$10:$Z$10) * 0.85
       )
     ) * 100,
     ""
   )
)</f>
        <v/>
      </c>
      <c r="AD103" s="1" t="str" cm="1">
        <f t="array" ref="AD103">IF(
   SUMPRODUCT(($C$9:$G$9="CO4")*ISNUMBER($C$10:$G$10)*ISNUMBER(C103:G103)) +
   SUMPRODUCT(($H$9:$Z$9="CO4")*ISNUMBER($H$10:$Z$10)*ISNUMBER(H103:Z103)) = 0,
   "",
   IFERROR(
     (
       IF(
         SUMPRODUCT(($C$9:$G$9="CO4")*ISNUMBER($C$10:$G$10)*ISNUMBER(C103:G103)) = 0,
         0,
         SUMPRODUCT(($C$9:$G$9="CO4")*ISNUMBER($C$10:$G$10)*ISNUMBER(C103:G103)*C103:G103) /
         SUMPRODUCT(($C$9:$G$9="CO4")*ISNUMBER($C$10:$G$10)*ISNUMBER(C103:G103)*$C$10:$G$10) * 0.15
       ) +
       IF(
         SUMPRODUCT(($H$9:$Z$9="CO4")*ISNUMBER($H$10:$Z$10)*ISNUMBER(H103:Z103)) = 0,
         0,
         SUMPRODUCT(($H$9:$Z$9="CO4")*ISNUMBER($H$10:$Z$10)*ISNUMBER(H103:Z103)*H103:Z103) /
         SUMPRODUCT(($H$9:$Z$9="CO4")*ISNUMBER($H$10:$Z$10)*ISNUMBER(H103:Z103)*$H$10:$Z$10) * 0.85
       )
     ) * 100,
     ""
   )
)</f>
        <v/>
      </c>
      <c r="AE103" s="1" t="str" cm="1">
        <f t="array" ref="AE103">IF(
   SUMPRODUCT(($C$9:$G$9="CO5")*ISNUMBER($C$10:$G$10)*ISNUMBER(C103:G103)) +
   SUMPRODUCT(($H$9:$Z$9="CO5")*ISNUMBER($H$10:$Z$10)*ISNUMBER(H103:Z103)) = 0,
   "",
   IFERROR(
     (
       IF(
         SUMPRODUCT(($C$9:$G$9="CO5")*ISNUMBER($C$10:$G$10)*ISNUMBER(C103:G103)) = 0,
         0,
         SUMPRODUCT(($C$9:$G$9="CO5")*ISNUMBER($C$10:$G$10)*ISNUMBER(C103:G103)*C103:G103) /
         SUMPRODUCT(($C$9:$G$9="CO5")*ISNUMBER($C$10:$G$10)*ISNUMBER(C103:G103)*$C$10:$G$10) * 0.15
       ) +
       IF(
         SUMPRODUCT(($H$9:$Z$9="CO5")*ISNUMBER($H$10:$Z$10)*ISNUMBER(H103:Z103)) = 0,
         0,
         SUMPRODUCT(($H$9:$Z$9="CO5")*ISNUMBER($H$10:$Z$10)*ISNUMBER(H103:Z103)*H103:Z103) /
         SUMPRODUCT(($H$9:$Z$9="CO5")*ISNUMBER($H$10:$Z$10)*ISNUMBER(H103:Z103)*$H$10:$Z$10) * 0.85
       )
     ) * 100,
     ""
   )
)</f>
        <v/>
      </c>
      <c r="AF103" s="1" t="str" cm="1">
        <f t="array" ref="AF103">IF(
   SUMPRODUCT(($C$9:$G$9="CO6")*ISNUMBER($C$10:$G$10)*ISNUMBER(C103:G103)) +
   SUMPRODUCT(($H$9:$Z$9="CO6")*ISNUMBER($H$10:$Z$10)*ISNUMBER(H103:Z103)) = 0,
   "",
   IFERROR(
     (
       IF(
         SUMPRODUCT(($C$9:$G$9="CO6")*ISNUMBER($C$10:$G$10)*ISNUMBER(C103:G103)) = 0,
         0,
         SUMPRODUCT(($C$9:$G$9="CO6")*ISNUMBER($C$10:$G$10)*ISNUMBER(C103:G103)*C103:G103) /
         SUMPRODUCT(($C$9:$G$9="CO6")*ISNUMBER($C$10:$G$10)*ISNUMBER(C103:G103)*$C$10:$G$10) * 0.15
       ) +
       IF(
         SUMPRODUCT(($H$9:$Z$9="CO6")*ISNUMBER($H$10:$Z$10)*ISNUMBER(H103:Z103)) = 0,
         0,
         SUMPRODUCT(($H$9:$Z$9="CO6")*ISNUMBER($H$10:$Z$10)*ISNUMBER(H103:Z103)*H103:Z103) /
         SUMPRODUCT(($H$9:$Z$9="CO6")*ISNUMBER($H$10:$Z$10)*ISNUMBER(H103:Z103)*$H$10:$Z$10) * 0.85
       )
     ) * 100,
     ""
   )
)</f>
        <v/>
      </c>
      <c r="AG103" s="1" t="str" cm="1">
        <f t="array" ref="AG103">IF(
   SUMPRODUCT(($C$9:$G$9="CO7")*ISNUMBER($C$10:$G$10)*ISNUMBER(C103:G103)) +
   SUMPRODUCT(($H$9:$Z$9="CO7")*ISNUMBER($H$10:$Z$10)*ISNUMBER(H103:Z103)) = 0,
   "",
   IFERROR(
     (
       IF(
         SUMPRODUCT(($C$9:$G$9="CO7")*ISNUMBER($C$10:$G$10)*ISNUMBER(C103:G103)) = 0,
         0,
         SUMPRODUCT(($C$9:$G$9="CO7")*ISNUMBER($C$10:$G$10)*ISNUMBER(C103:G103)*C103:G103) /
         SUMPRODUCT(($C$9:$G$9="CO7")*ISNUMBER($C$10:$G$10)*ISNUMBER(C103:G103)*$C$10:$G$10) * 0.15
       ) +
       IF(
         SUMPRODUCT(($H$9:$Z$9="CO7")*ISNUMBER($H$10:$Z$10)*ISNUMBER(H103:Z103)) = 0,
         0,
         SUMPRODUCT(($H$9:$Z$9="CO7")*ISNUMBER($H$10:$Z$10)*ISNUMBER(H103:Z103)*H103:Z103) /
         SUMPRODUCT(($H$9:$Z$9="CO7")*ISNUMBER($H$10:$Z$10)*ISNUMBER(H103:Z103)*$H$10:$Z$10) * 0.85
       )
     ) * 100,
     ""
   )
)</f>
        <v/>
      </c>
      <c r="AH103" s="3" t="str" cm="1">
        <f t="array" ref="AH103">IF(
   SUMPRODUCT(($C$9:$G$9="CO8")*ISNUMBER($C$10:$G$10)*ISNUMBER(C103:G103)) +
   SUMPRODUCT(($H$9:$Z$9="CO8")*ISNUMBER($H$10:$Z$10)*ISNUMBER(H103:Z103)) = 0,
   "",
   IFERROR(
     (
       IF(
         SUMPRODUCT(($C$9:$G$9="CO8")*ISNUMBER($C$10:$G$10)*ISNUMBER(C103:G103)) = 0,
         0,
         SUMPRODUCT(($C$9:$G$9="CO8")*ISNUMBER($C$10:$G$10)*ISNUMBER(C103:G103)*C103:G103) /
         SUMPRODUCT(($C$9:$G$9="CO8")*ISNUMBER($C$10:$G$10)*ISNUMBER(C103:G103)*$C$10:$G$10) * 0.15
       ) +
       IF(
         SUMPRODUCT(($H$9:$Z$9="CO8")*ISNUMBER($H$10:$Z$10)*ISNUMBER(H103:Z103)) = 0,
         0,
         SUMPRODUCT(($H$9:$Z$9="CO8")*ISNUMBER($H$10:$Z$10)*ISNUMBER(H103:Z103)*H103:Z103) /
         SUMPRODUCT(($H$9:$Z$9="CO8")*ISNUMBER($H$10:$Z$10)*ISNUMBER(H103:Z103)*$H$10:$Z$10) * 0.85
       )
     ) * 100,
     ""
   )
)</f>
        <v/>
      </c>
      <c r="AI103" s="1" t="str">
        <f t="shared" si="14"/>
        <v/>
      </c>
      <c r="AJ103" s="1" t="str">
        <f t="shared" si="15"/>
        <v/>
      </c>
      <c r="AK103" s="1" t="str">
        <f t="shared" si="16"/>
        <v/>
      </c>
      <c r="AL103" s="1" t="str">
        <f t="shared" si="13"/>
        <v/>
      </c>
      <c r="AM103" s="1" t="str">
        <f t="shared" si="13"/>
        <v/>
      </c>
      <c r="AN103" s="1" t="str">
        <f t="shared" si="13"/>
        <v/>
      </c>
      <c r="AO103" s="1" t="str">
        <f t="shared" si="13"/>
        <v/>
      </c>
      <c r="AP103" s="1" t="str">
        <f t="shared" si="13"/>
        <v/>
      </c>
    </row>
    <row r="104" spans="1:42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" t="str" cm="1">
        <f t="array" ref="AA104">IF(
   SUMPRODUCT(($C$9:$G$9="CO1")*ISNUMBER($C$10:$G$10)*ISNUMBER(C104:G104)) +
   SUMPRODUCT(($H$9:$Z$9="CO1")*ISNUMBER($H$10:$Z$10)*ISNUMBER(H104:Z104)) = 0,
   "",
   IFERROR(
     (
       IF(
         SUMPRODUCT(($C$9:$G$9="CO1")*ISNUMBER($C$10:$G$10)*ISNUMBER(C104:G104)) = 0,
         0,
         SUMPRODUCT(($C$9:$G$9="CO1")*ISNUMBER($C$10:$G$10)*ISNUMBER(C104:G104)*C104:G104) /
         SUMPRODUCT(($C$9:$G$9="CO1")*ISNUMBER($C$10:$G$10)*ISNUMBER(C104:G104)*$C$10:$G$10) * 0.15
       ) +
       IF(
         SUMPRODUCT(($H$9:$Z$9="CO1")*ISNUMBER($H$10:$Z$10)*ISNUMBER(H104:Z104)) = 0,
         0,
         SUMPRODUCT(($H$9:$Z$9="CO1")*ISNUMBER($H$10:$Z$10)*ISNUMBER(H104:Z104)*H104:Z104) /
         SUMPRODUCT(($H$9:$Z$9="CO1")*ISNUMBER($H$10:$Z$10)*ISNUMBER(H104:Z104)*$H$10:$Z$10) * 0.85
       )
     ) * 100,
     ""
   )
)</f>
        <v/>
      </c>
      <c r="AB104" s="1" t="str" cm="1">
        <f t="array" ref="AB104">IF(
   SUMPRODUCT(($C$9:$G$9="CO2")*ISNUMBER($C$10:$G$10)*ISNUMBER(C104:G104)) +
   SUMPRODUCT(($H$9:$Z$9="CO2")*ISNUMBER($H$10:$Z$10)*ISNUMBER(H104:Z104)) = 0,
   "",
   IFERROR(
     (
       IF(
         SUMPRODUCT(($C$9:$G$9="CO2")*ISNUMBER($C$10:$G$10)*ISNUMBER(C104:G104)) = 0,
         0,
         SUMPRODUCT(($C$9:$G$9="CO2")*ISNUMBER($C$10:$G$10)*ISNUMBER(C104:G104)*C104:G104) /
         SUMPRODUCT(($C$9:$G$9="CO2")*ISNUMBER($C$10:$G$10)*ISNUMBER(C104:G104)*$C$10:$G$10) * 0.15
       ) +
       IF(
         SUMPRODUCT(($H$9:$Z$9="CO2")*ISNUMBER($H$10:$Z$10)*ISNUMBER(H104:Z104)) = 0,
         0,
         SUMPRODUCT(($H$9:$Z$9="CO2")*ISNUMBER($H$10:$Z$10)*ISNUMBER(H104:Z104)*H104:Z104) /
         SUMPRODUCT(($H$9:$Z$9="CO2")*ISNUMBER($H$10:$Z$10)*ISNUMBER(H104:Z104)*$H$10:$Z$10) * 0.85
       )
     ) * 100,
     ""
   )
)</f>
        <v/>
      </c>
      <c r="AC104" s="1" t="str" cm="1">
        <f t="array" ref="AC104">IF(
   SUMPRODUCT(($C$9:$G$9="CO3")*ISNUMBER($C$10:$G$10)*ISNUMBER(C104:G104)) +
   SUMPRODUCT(($H$9:$Z$9="CO3")*ISNUMBER($H$10:$Z$10)*ISNUMBER(H104:Z104)) = 0,
   "",
   IFERROR(
     (
       IF(
         SUMPRODUCT(($C$9:$G$9="CO3")*ISNUMBER($C$10:$G$10)*ISNUMBER(C104:G104)) = 0,
         0,
         SUMPRODUCT(($C$9:$G$9="CO3")*ISNUMBER($C$10:$G$10)*ISNUMBER(C104:G104)*C104:G104) /
         SUMPRODUCT(($C$9:$G$9="CO3")*ISNUMBER($C$10:$G$10)*ISNUMBER(C104:G104)*$C$10:$G$10) * 0.15
       ) +
       IF(
         SUMPRODUCT(($H$9:$Z$9="CO3")*ISNUMBER($H$10:$Z$10)*ISNUMBER(H104:Z104)) = 0,
         0,
         SUMPRODUCT(($H$9:$Z$9="CO3")*ISNUMBER($H$10:$Z$10)*ISNUMBER(H104:Z104)*H104:Z104) /
         SUMPRODUCT(($H$9:$Z$9="CO3")*ISNUMBER($H$10:$Z$10)*ISNUMBER(H104:Z104)*$H$10:$Z$10) * 0.85
       )
     ) * 100,
     ""
   )
)</f>
        <v/>
      </c>
      <c r="AD104" s="1" t="str" cm="1">
        <f t="array" ref="AD104">IF(
   SUMPRODUCT(($C$9:$G$9="CO4")*ISNUMBER($C$10:$G$10)*ISNUMBER(C104:G104)) +
   SUMPRODUCT(($H$9:$Z$9="CO4")*ISNUMBER($H$10:$Z$10)*ISNUMBER(H104:Z104)) = 0,
   "",
   IFERROR(
     (
       IF(
         SUMPRODUCT(($C$9:$G$9="CO4")*ISNUMBER($C$10:$G$10)*ISNUMBER(C104:G104)) = 0,
         0,
         SUMPRODUCT(($C$9:$G$9="CO4")*ISNUMBER($C$10:$G$10)*ISNUMBER(C104:G104)*C104:G104) /
         SUMPRODUCT(($C$9:$G$9="CO4")*ISNUMBER($C$10:$G$10)*ISNUMBER(C104:G104)*$C$10:$G$10) * 0.15
       ) +
       IF(
         SUMPRODUCT(($H$9:$Z$9="CO4")*ISNUMBER($H$10:$Z$10)*ISNUMBER(H104:Z104)) = 0,
         0,
         SUMPRODUCT(($H$9:$Z$9="CO4")*ISNUMBER($H$10:$Z$10)*ISNUMBER(H104:Z104)*H104:Z104) /
         SUMPRODUCT(($H$9:$Z$9="CO4")*ISNUMBER($H$10:$Z$10)*ISNUMBER(H104:Z104)*$H$10:$Z$10) * 0.85
       )
     ) * 100,
     ""
   )
)</f>
        <v/>
      </c>
      <c r="AE104" s="1" t="str" cm="1">
        <f t="array" ref="AE104">IF(
   SUMPRODUCT(($C$9:$G$9="CO5")*ISNUMBER($C$10:$G$10)*ISNUMBER(C104:G104)) +
   SUMPRODUCT(($H$9:$Z$9="CO5")*ISNUMBER($H$10:$Z$10)*ISNUMBER(H104:Z104)) = 0,
   "",
   IFERROR(
     (
       IF(
         SUMPRODUCT(($C$9:$G$9="CO5")*ISNUMBER($C$10:$G$10)*ISNUMBER(C104:G104)) = 0,
         0,
         SUMPRODUCT(($C$9:$G$9="CO5")*ISNUMBER($C$10:$G$10)*ISNUMBER(C104:G104)*C104:G104) /
         SUMPRODUCT(($C$9:$G$9="CO5")*ISNUMBER($C$10:$G$10)*ISNUMBER(C104:G104)*$C$10:$G$10) * 0.15
       ) +
       IF(
         SUMPRODUCT(($H$9:$Z$9="CO5")*ISNUMBER($H$10:$Z$10)*ISNUMBER(H104:Z104)) = 0,
         0,
         SUMPRODUCT(($H$9:$Z$9="CO5")*ISNUMBER($H$10:$Z$10)*ISNUMBER(H104:Z104)*H104:Z104) /
         SUMPRODUCT(($H$9:$Z$9="CO5")*ISNUMBER($H$10:$Z$10)*ISNUMBER(H104:Z104)*$H$10:$Z$10) * 0.85
       )
     ) * 100,
     ""
   )
)</f>
        <v/>
      </c>
      <c r="AF104" s="1" t="str" cm="1">
        <f t="array" ref="AF104">IF(
   SUMPRODUCT(($C$9:$G$9="CO6")*ISNUMBER($C$10:$G$10)*ISNUMBER(C104:G104)) +
   SUMPRODUCT(($H$9:$Z$9="CO6")*ISNUMBER($H$10:$Z$10)*ISNUMBER(H104:Z104)) = 0,
   "",
   IFERROR(
     (
       IF(
         SUMPRODUCT(($C$9:$G$9="CO6")*ISNUMBER($C$10:$G$10)*ISNUMBER(C104:G104)) = 0,
         0,
         SUMPRODUCT(($C$9:$G$9="CO6")*ISNUMBER($C$10:$G$10)*ISNUMBER(C104:G104)*C104:G104) /
         SUMPRODUCT(($C$9:$G$9="CO6")*ISNUMBER($C$10:$G$10)*ISNUMBER(C104:G104)*$C$10:$G$10) * 0.15
       ) +
       IF(
         SUMPRODUCT(($H$9:$Z$9="CO6")*ISNUMBER($H$10:$Z$10)*ISNUMBER(H104:Z104)) = 0,
         0,
         SUMPRODUCT(($H$9:$Z$9="CO6")*ISNUMBER($H$10:$Z$10)*ISNUMBER(H104:Z104)*H104:Z104) /
         SUMPRODUCT(($H$9:$Z$9="CO6")*ISNUMBER($H$10:$Z$10)*ISNUMBER(H104:Z104)*$H$10:$Z$10) * 0.85
       )
     ) * 100,
     ""
   )
)</f>
        <v/>
      </c>
      <c r="AG104" s="1" t="str" cm="1">
        <f t="array" ref="AG104">IF(
   SUMPRODUCT(($C$9:$G$9="CO7")*ISNUMBER($C$10:$G$10)*ISNUMBER(C104:G104)) +
   SUMPRODUCT(($H$9:$Z$9="CO7")*ISNUMBER($H$10:$Z$10)*ISNUMBER(H104:Z104)) = 0,
   "",
   IFERROR(
     (
       IF(
         SUMPRODUCT(($C$9:$G$9="CO7")*ISNUMBER($C$10:$G$10)*ISNUMBER(C104:G104)) = 0,
         0,
         SUMPRODUCT(($C$9:$G$9="CO7")*ISNUMBER($C$10:$G$10)*ISNUMBER(C104:G104)*C104:G104) /
         SUMPRODUCT(($C$9:$G$9="CO7")*ISNUMBER($C$10:$G$10)*ISNUMBER(C104:G104)*$C$10:$G$10) * 0.15
       ) +
       IF(
         SUMPRODUCT(($H$9:$Z$9="CO7")*ISNUMBER($H$10:$Z$10)*ISNUMBER(H104:Z104)) = 0,
         0,
         SUMPRODUCT(($H$9:$Z$9="CO7")*ISNUMBER($H$10:$Z$10)*ISNUMBER(H104:Z104)*H104:Z104) /
         SUMPRODUCT(($H$9:$Z$9="CO7")*ISNUMBER($H$10:$Z$10)*ISNUMBER(H104:Z104)*$H$10:$Z$10) * 0.85
       )
     ) * 100,
     ""
   )
)</f>
        <v/>
      </c>
      <c r="AH104" s="3" t="str" cm="1">
        <f t="array" ref="AH104">IF(
   SUMPRODUCT(($C$9:$G$9="CO8")*ISNUMBER($C$10:$G$10)*ISNUMBER(C104:G104)) +
   SUMPRODUCT(($H$9:$Z$9="CO8")*ISNUMBER($H$10:$Z$10)*ISNUMBER(H104:Z104)) = 0,
   "",
   IFERROR(
     (
       IF(
         SUMPRODUCT(($C$9:$G$9="CO8")*ISNUMBER($C$10:$G$10)*ISNUMBER(C104:G104)) = 0,
         0,
         SUMPRODUCT(($C$9:$G$9="CO8")*ISNUMBER($C$10:$G$10)*ISNUMBER(C104:G104)*C104:G104) /
         SUMPRODUCT(($C$9:$G$9="CO8")*ISNUMBER($C$10:$G$10)*ISNUMBER(C104:G104)*$C$10:$G$10) * 0.15
       ) +
       IF(
         SUMPRODUCT(($H$9:$Z$9="CO8")*ISNUMBER($H$10:$Z$10)*ISNUMBER(H104:Z104)) = 0,
         0,
         SUMPRODUCT(($H$9:$Z$9="CO8")*ISNUMBER($H$10:$Z$10)*ISNUMBER(H104:Z104)*H104:Z104) /
         SUMPRODUCT(($H$9:$Z$9="CO8")*ISNUMBER($H$10:$Z$10)*ISNUMBER(H104:Z104)*$H$10:$Z$10) * 0.85
       )
     ) * 100,
     ""
   )
)</f>
        <v/>
      </c>
      <c r="AI104" s="1" t="str">
        <f t="shared" si="14"/>
        <v/>
      </c>
      <c r="AJ104" s="1" t="str">
        <f t="shared" si="15"/>
        <v/>
      </c>
      <c r="AK104" s="1" t="str">
        <f t="shared" si="16"/>
        <v/>
      </c>
      <c r="AL104" s="1" t="str">
        <f t="shared" si="13"/>
        <v/>
      </c>
      <c r="AM104" s="1" t="str">
        <f t="shared" si="13"/>
        <v/>
      </c>
      <c r="AN104" s="1" t="str">
        <f t="shared" si="13"/>
        <v/>
      </c>
      <c r="AO104" s="1" t="str">
        <f t="shared" si="13"/>
        <v/>
      </c>
      <c r="AP104" s="1" t="str">
        <f t="shared" si="13"/>
        <v/>
      </c>
    </row>
    <row r="105" spans="1:42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" t="str" cm="1">
        <f t="array" ref="AA105">IF(
   SUMPRODUCT(($C$9:$G$9="CO1")*ISNUMBER($C$10:$G$10)*ISNUMBER(C105:G105)) +
   SUMPRODUCT(($H$9:$Z$9="CO1")*ISNUMBER($H$10:$Z$10)*ISNUMBER(H105:Z105)) = 0,
   "",
   IFERROR(
     (
       IF(
         SUMPRODUCT(($C$9:$G$9="CO1")*ISNUMBER($C$10:$G$10)*ISNUMBER(C105:G105)) = 0,
         0,
         SUMPRODUCT(($C$9:$G$9="CO1")*ISNUMBER($C$10:$G$10)*ISNUMBER(C105:G105)*C105:G105) /
         SUMPRODUCT(($C$9:$G$9="CO1")*ISNUMBER($C$10:$G$10)*ISNUMBER(C105:G105)*$C$10:$G$10) * 0.15
       ) +
       IF(
         SUMPRODUCT(($H$9:$Z$9="CO1")*ISNUMBER($H$10:$Z$10)*ISNUMBER(H105:Z105)) = 0,
         0,
         SUMPRODUCT(($H$9:$Z$9="CO1")*ISNUMBER($H$10:$Z$10)*ISNUMBER(H105:Z105)*H105:Z105) /
         SUMPRODUCT(($H$9:$Z$9="CO1")*ISNUMBER($H$10:$Z$10)*ISNUMBER(H105:Z105)*$H$10:$Z$10) * 0.85
       )
     ) * 100,
     ""
   )
)</f>
        <v/>
      </c>
      <c r="AB105" s="1" t="str" cm="1">
        <f t="array" ref="AB105">IF(
   SUMPRODUCT(($C$9:$G$9="CO2")*ISNUMBER($C$10:$G$10)*ISNUMBER(C105:G105)) +
   SUMPRODUCT(($H$9:$Z$9="CO2")*ISNUMBER($H$10:$Z$10)*ISNUMBER(H105:Z105)) = 0,
   "",
   IFERROR(
     (
       IF(
         SUMPRODUCT(($C$9:$G$9="CO2")*ISNUMBER($C$10:$G$10)*ISNUMBER(C105:G105)) = 0,
         0,
         SUMPRODUCT(($C$9:$G$9="CO2")*ISNUMBER($C$10:$G$10)*ISNUMBER(C105:G105)*C105:G105) /
         SUMPRODUCT(($C$9:$G$9="CO2")*ISNUMBER($C$10:$G$10)*ISNUMBER(C105:G105)*$C$10:$G$10) * 0.15
       ) +
       IF(
         SUMPRODUCT(($H$9:$Z$9="CO2")*ISNUMBER($H$10:$Z$10)*ISNUMBER(H105:Z105)) = 0,
         0,
         SUMPRODUCT(($H$9:$Z$9="CO2")*ISNUMBER($H$10:$Z$10)*ISNUMBER(H105:Z105)*H105:Z105) /
         SUMPRODUCT(($H$9:$Z$9="CO2")*ISNUMBER($H$10:$Z$10)*ISNUMBER(H105:Z105)*$H$10:$Z$10) * 0.85
       )
     ) * 100,
     ""
   )
)</f>
        <v/>
      </c>
      <c r="AC105" s="1" t="str" cm="1">
        <f t="array" ref="AC105">IF(
   SUMPRODUCT(($C$9:$G$9="CO3")*ISNUMBER($C$10:$G$10)*ISNUMBER(C105:G105)) +
   SUMPRODUCT(($H$9:$Z$9="CO3")*ISNUMBER($H$10:$Z$10)*ISNUMBER(H105:Z105)) = 0,
   "",
   IFERROR(
     (
       IF(
         SUMPRODUCT(($C$9:$G$9="CO3")*ISNUMBER($C$10:$G$10)*ISNUMBER(C105:G105)) = 0,
         0,
         SUMPRODUCT(($C$9:$G$9="CO3")*ISNUMBER($C$10:$G$10)*ISNUMBER(C105:G105)*C105:G105) /
         SUMPRODUCT(($C$9:$G$9="CO3")*ISNUMBER($C$10:$G$10)*ISNUMBER(C105:G105)*$C$10:$G$10) * 0.15
       ) +
       IF(
         SUMPRODUCT(($H$9:$Z$9="CO3")*ISNUMBER($H$10:$Z$10)*ISNUMBER(H105:Z105)) = 0,
         0,
         SUMPRODUCT(($H$9:$Z$9="CO3")*ISNUMBER($H$10:$Z$10)*ISNUMBER(H105:Z105)*H105:Z105) /
         SUMPRODUCT(($H$9:$Z$9="CO3")*ISNUMBER($H$10:$Z$10)*ISNUMBER(H105:Z105)*$H$10:$Z$10) * 0.85
       )
     ) * 100,
     ""
   )
)</f>
        <v/>
      </c>
      <c r="AD105" s="1" t="str" cm="1">
        <f t="array" ref="AD105">IF(
   SUMPRODUCT(($C$9:$G$9="CO4")*ISNUMBER($C$10:$G$10)*ISNUMBER(C105:G105)) +
   SUMPRODUCT(($H$9:$Z$9="CO4")*ISNUMBER($H$10:$Z$10)*ISNUMBER(H105:Z105)) = 0,
   "",
   IFERROR(
     (
       IF(
         SUMPRODUCT(($C$9:$G$9="CO4")*ISNUMBER($C$10:$G$10)*ISNUMBER(C105:G105)) = 0,
         0,
         SUMPRODUCT(($C$9:$G$9="CO4")*ISNUMBER($C$10:$G$10)*ISNUMBER(C105:G105)*C105:G105) /
         SUMPRODUCT(($C$9:$G$9="CO4")*ISNUMBER($C$10:$G$10)*ISNUMBER(C105:G105)*$C$10:$G$10) * 0.15
       ) +
       IF(
         SUMPRODUCT(($H$9:$Z$9="CO4")*ISNUMBER($H$10:$Z$10)*ISNUMBER(H105:Z105)) = 0,
         0,
         SUMPRODUCT(($H$9:$Z$9="CO4")*ISNUMBER($H$10:$Z$10)*ISNUMBER(H105:Z105)*H105:Z105) /
         SUMPRODUCT(($H$9:$Z$9="CO4")*ISNUMBER($H$10:$Z$10)*ISNUMBER(H105:Z105)*$H$10:$Z$10) * 0.85
       )
     ) * 100,
     ""
   )
)</f>
        <v/>
      </c>
      <c r="AE105" s="1" t="str" cm="1">
        <f t="array" ref="AE105">IF(
   SUMPRODUCT(($C$9:$G$9="CO5")*ISNUMBER($C$10:$G$10)*ISNUMBER(C105:G105)) +
   SUMPRODUCT(($H$9:$Z$9="CO5")*ISNUMBER($H$10:$Z$10)*ISNUMBER(H105:Z105)) = 0,
   "",
   IFERROR(
     (
       IF(
         SUMPRODUCT(($C$9:$G$9="CO5")*ISNUMBER($C$10:$G$10)*ISNUMBER(C105:G105)) = 0,
         0,
         SUMPRODUCT(($C$9:$G$9="CO5")*ISNUMBER($C$10:$G$10)*ISNUMBER(C105:G105)*C105:G105) /
         SUMPRODUCT(($C$9:$G$9="CO5")*ISNUMBER($C$10:$G$10)*ISNUMBER(C105:G105)*$C$10:$G$10) * 0.15
       ) +
       IF(
         SUMPRODUCT(($H$9:$Z$9="CO5")*ISNUMBER($H$10:$Z$10)*ISNUMBER(H105:Z105)) = 0,
         0,
         SUMPRODUCT(($H$9:$Z$9="CO5")*ISNUMBER($H$10:$Z$10)*ISNUMBER(H105:Z105)*H105:Z105) /
         SUMPRODUCT(($H$9:$Z$9="CO5")*ISNUMBER($H$10:$Z$10)*ISNUMBER(H105:Z105)*$H$10:$Z$10) * 0.85
       )
     ) * 100,
     ""
   )
)</f>
        <v/>
      </c>
      <c r="AF105" s="1" t="str" cm="1">
        <f t="array" ref="AF105">IF(
   SUMPRODUCT(($C$9:$G$9="CO6")*ISNUMBER($C$10:$G$10)*ISNUMBER(C105:G105)) +
   SUMPRODUCT(($H$9:$Z$9="CO6")*ISNUMBER($H$10:$Z$10)*ISNUMBER(H105:Z105)) = 0,
   "",
   IFERROR(
     (
       IF(
         SUMPRODUCT(($C$9:$G$9="CO6")*ISNUMBER($C$10:$G$10)*ISNUMBER(C105:G105)) = 0,
         0,
         SUMPRODUCT(($C$9:$G$9="CO6")*ISNUMBER($C$10:$G$10)*ISNUMBER(C105:G105)*C105:G105) /
         SUMPRODUCT(($C$9:$G$9="CO6")*ISNUMBER($C$10:$G$10)*ISNUMBER(C105:G105)*$C$10:$G$10) * 0.15
       ) +
       IF(
         SUMPRODUCT(($H$9:$Z$9="CO6")*ISNUMBER($H$10:$Z$10)*ISNUMBER(H105:Z105)) = 0,
         0,
         SUMPRODUCT(($H$9:$Z$9="CO6")*ISNUMBER($H$10:$Z$10)*ISNUMBER(H105:Z105)*H105:Z105) /
         SUMPRODUCT(($H$9:$Z$9="CO6")*ISNUMBER($H$10:$Z$10)*ISNUMBER(H105:Z105)*$H$10:$Z$10) * 0.85
       )
     ) * 100,
     ""
   )
)</f>
        <v/>
      </c>
      <c r="AG105" s="1" t="str" cm="1">
        <f t="array" ref="AG105">IF(
   SUMPRODUCT(($C$9:$G$9="CO7")*ISNUMBER($C$10:$G$10)*ISNUMBER(C105:G105)) +
   SUMPRODUCT(($H$9:$Z$9="CO7")*ISNUMBER($H$10:$Z$10)*ISNUMBER(H105:Z105)) = 0,
   "",
   IFERROR(
     (
       IF(
         SUMPRODUCT(($C$9:$G$9="CO7")*ISNUMBER($C$10:$G$10)*ISNUMBER(C105:G105)) = 0,
         0,
         SUMPRODUCT(($C$9:$G$9="CO7")*ISNUMBER($C$10:$G$10)*ISNUMBER(C105:G105)*C105:G105) /
         SUMPRODUCT(($C$9:$G$9="CO7")*ISNUMBER($C$10:$G$10)*ISNUMBER(C105:G105)*$C$10:$G$10) * 0.15
       ) +
       IF(
         SUMPRODUCT(($H$9:$Z$9="CO7")*ISNUMBER($H$10:$Z$10)*ISNUMBER(H105:Z105)) = 0,
         0,
         SUMPRODUCT(($H$9:$Z$9="CO7")*ISNUMBER($H$10:$Z$10)*ISNUMBER(H105:Z105)*H105:Z105) /
         SUMPRODUCT(($H$9:$Z$9="CO7")*ISNUMBER($H$10:$Z$10)*ISNUMBER(H105:Z105)*$H$10:$Z$10) * 0.85
       )
     ) * 100,
     ""
   )
)</f>
        <v/>
      </c>
      <c r="AH105" s="3" t="str" cm="1">
        <f t="array" ref="AH105">IF(
   SUMPRODUCT(($C$9:$G$9="CO8")*ISNUMBER($C$10:$G$10)*ISNUMBER(C105:G105)) +
   SUMPRODUCT(($H$9:$Z$9="CO8")*ISNUMBER($H$10:$Z$10)*ISNUMBER(H105:Z105)) = 0,
   "",
   IFERROR(
     (
       IF(
         SUMPRODUCT(($C$9:$G$9="CO8")*ISNUMBER($C$10:$G$10)*ISNUMBER(C105:G105)) = 0,
         0,
         SUMPRODUCT(($C$9:$G$9="CO8")*ISNUMBER($C$10:$G$10)*ISNUMBER(C105:G105)*C105:G105) /
         SUMPRODUCT(($C$9:$G$9="CO8")*ISNUMBER($C$10:$G$10)*ISNUMBER(C105:G105)*$C$10:$G$10) * 0.15
       ) +
       IF(
         SUMPRODUCT(($H$9:$Z$9="CO8")*ISNUMBER($H$10:$Z$10)*ISNUMBER(H105:Z105)) = 0,
         0,
         SUMPRODUCT(($H$9:$Z$9="CO8")*ISNUMBER($H$10:$Z$10)*ISNUMBER(H105:Z105)*H105:Z105) /
         SUMPRODUCT(($H$9:$Z$9="CO8")*ISNUMBER($H$10:$Z$10)*ISNUMBER(H105:Z105)*$H$10:$Z$10) * 0.85
       )
     ) * 100,
     ""
   )
)</f>
        <v/>
      </c>
      <c r="AI105" s="1" t="str">
        <f t="shared" si="14"/>
        <v/>
      </c>
      <c r="AJ105" s="1" t="str">
        <f t="shared" si="15"/>
        <v/>
      </c>
      <c r="AK105" s="1" t="str">
        <f t="shared" si="16"/>
        <v/>
      </c>
      <c r="AL105" s="1" t="str">
        <f t="shared" si="13"/>
        <v/>
      </c>
      <c r="AM105" s="1" t="str">
        <f t="shared" si="13"/>
        <v/>
      </c>
      <c r="AN105" s="1" t="str">
        <f t="shared" si="13"/>
        <v/>
      </c>
      <c r="AO105" s="1" t="str">
        <f t="shared" si="13"/>
        <v/>
      </c>
      <c r="AP105" s="1" t="str">
        <f t="shared" si="13"/>
        <v/>
      </c>
    </row>
    <row r="106" spans="1:42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" t="str" cm="1">
        <f t="array" ref="AA106">IF(
   SUMPRODUCT(($C$9:$G$9="CO1")*ISNUMBER($C$10:$G$10)*ISNUMBER(C106:G106)) +
   SUMPRODUCT(($H$9:$Z$9="CO1")*ISNUMBER($H$10:$Z$10)*ISNUMBER(H106:Z106)) = 0,
   "",
   IFERROR(
     (
       IF(
         SUMPRODUCT(($C$9:$G$9="CO1")*ISNUMBER($C$10:$G$10)*ISNUMBER(C106:G106)) = 0,
         0,
         SUMPRODUCT(($C$9:$G$9="CO1")*ISNUMBER($C$10:$G$10)*ISNUMBER(C106:G106)*C106:G106) /
         SUMPRODUCT(($C$9:$G$9="CO1")*ISNUMBER($C$10:$G$10)*ISNUMBER(C106:G106)*$C$10:$G$10) * 0.15
       ) +
       IF(
         SUMPRODUCT(($H$9:$Z$9="CO1")*ISNUMBER($H$10:$Z$10)*ISNUMBER(H106:Z106)) = 0,
         0,
         SUMPRODUCT(($H$9:$Z$9="CO1")*ISNUMBER($H$10:$Z$10)*ISNUMBER(H106:Z106)*H106:Z106) /
         SUMPRODUCT(($H$9:$Z$9="CO1")*ISNUMBER($H$10:$Z$10)*ISNUMBER(H106:Z106)*$H$10:$Z$10) * 0.85
       )
     ) * 100,
     ""
   )
)</f>
        <v/>
      </c>
      <c r="AB106" s="1" t="str" cm="1">
        <f t="array" ref="AB106">IF(
   SUMPRODUCT(($C$9:$G$9="CO2")*ISNUMBER($C$10:$G$10)*ISNUMBER(C106:G106)) +
   SUMPRODUCT(($H$9:$Z$9="CO2")*ISNUMBER($H$10:$Z$10)*ISNUMBER(H106:Z106)) = 0,
   "",
   IFERROR(
     (
       IF(
         SUMPRODUCT(($C$9:$G$9="CO2")*ISNUMBER($C$10:$G$10)*ISNUMBER(C106:G106)) = 0,
         0,
         SUMPRODUCT(($C$9:$G$9="CO2")*ISNUMBER($C$10:$G$10)*ISNUMBER(C106:G106)*C106:G106) /
         SUMPRODUCT(($C$9:$G$9="CO2")*ISNUMBER($C$10:$G$10)*ISNUMBER(C106:G106)*$C$10:$G$10) * 0.15
       ) +
       IF(
         SUMPRODUCT(($H$9:$Z$9="CO2")*ISNUMBER($H$10:$Z$10)*ISNUMBER(H106:Z106)) = 0,
         0,
         SUMPRODUCT(($H$9:$Z$9="CO2")*ISNUMBER($H$10:$Z$10)*ISNUMBER(H106:Z106)*H106:Z106) /
         SUMPRODUCT(($H$9:$Z$9="CO2")*ISNUMBER($H$10:$Z$10)*ISNUMBER(H106:Z106)*$H$10:$Z$10) * 0.85
       )
     ) * 100,
     ""
   )
)</f>
        <v/>
      </c>
      <c r="AC106" s="1" t="str" cm="1">
        <f t="array" ref="AC106">IF(
   SUMPRODUCT(($C$9:$G$9="CO3")*ISNUMBER($C$10:$G$10)*ISNUMBER(C106:G106)) +
   SUMPRODUCT(($H$9:$Z$9="CO3")*ISNUMBER($H$10:$Z$10)*ISNUMBER(H106:Z106)) = 0,
   "",
   IFERROR(
     (
       IF(
         SUMPRODUCT(($C$9:$G$9="CO3")*ISNUMBER($C$10:$G$10)*ISNUMBER(C106:G106)) = 0,
         0,
         SUMPRODUCT(($C$9:$G$9="CO3")*ISNUMBER($C$10:$G$10)*ISNUMBER(C106:G106)*C106:G106) /
         SUMPRODUCT(($C$9:$G$9="CO3")*ISNUMBER($C$10:$G$10)*ISNUMBER(C106:G106)*$C$10:$G$10) * 0.15
       ) +
       IF(
         SUMPRODUCT(($H$9:$Z$9="CO3")*ISNUMBER($H$10:$Z$10)*ISNUMBER(H106:Z106)) = 0,
         0,
         SUMPRODUCT(($H$9:$Z$9="CO3")*ISNUMBER($H$10:$Z$10)*ISNUMBER(H106:Z106)*H106:Z106) /
         SUMPRODUCT(($H$9:$Z$9="CO3")*ISNUMBER($H$10:$Z$10)*ISNUMBER(H106:Z106)*$H$10:$Z$10) * 0.85
       )
     ) * 100,
     ""
   )
)</f>
        <v/>
      </c>
      <c r="AD106" s="1" t="str" cm="1">
        <f t="array" ref="AD106">IF(
   SUMPRODUCT(($C$9:$G$9="CO4")*ISNUMBER($C$10:$G$10)*ISNUMBER(C106:G106)) +
   SUMPRODUCT(($H$9:$Z$9="CO4")*ISNUMBER($H$10:$Z$10)*ISNUMBER(H106:Z106)) = 0,
   "",
   IFERROR(
     (
       IF(
         SUMPRODUCT(($C$9:$G$9="CO4")*ISNUMBER($C$10:$G$10)*ISNUMBER(C106:G106)) = 0,
         0,
         SUMPRODUCT(($C$9:$G$9="CO4")*ISNUMBER($C$10:$G$10)*ISNUMBER(C106:G106)*C106:G106) /
         SUMPRODUCT(($C$9:$G$9="CO4")*ISNUMBER($C$10:$G$10)*ISNUMBER(C106:G106)*$C$10:$G$10) * 0.15
       ) +
       IF(
         SUMPRODUCT(($H$9:$Z$9="CO4")*ISNUMBER($H$10:$Z$10)*ISNUMBER(H106:Z106)) = 0,
         0,
         SUMPRODUCT(($H$9:$Z$9="CO4")*ISNUMBER($H$10:$Z$10)*ISNUMBER(H106:Z106)*H106:Z106) /
         SUMPRODUCT(($H$9:$Z$9="CO4")*ISNUMBER($H$10:$Z$10)*ISNUMBER(H106:Z106)*$H$10:$Z$10) * 0.85
       )
     ) * 100,
     ""
   )
)</f>
        <v/>
      </c>
      <c r="AE106" s="1" t="str" cm="1">
        <f t="array" ref="AE106">IF(
   SUMPRODUCT(($C$9:$G$9="CO5")*ISNUMBER($C$10:$G$10)*ISNUMBER(C106:G106)) +
   SUMPRODUCT(($H$9:$Z$9="CO5")*ISNUMBER($H$10:$Z$10)*ISNUMBER(H106:Z106)) = 0,
   "",
   IFERROR(
     (
       IF(
         SUMPRODUCT(($C$9:$G$9="CO5")*ISNUMBER($C$10:$G$10)*ISNUMBER(C106:G106)) = 0,
         0,
         SUMPRODUCT(($C$9:$G$9="CO5")*ISNUMBER($C$10:$G$10)*ISNUMBER(C106:G106)*C106:G106) /
         SUMPRODUCT(($C$9:$G$9="CO5")*ISNUMBER($C$10:$G$10)*ISNUMBER(C106:G106)*$C$10:$G$10) * 0.15
       ) +
       IF(
         SUMPRODUCT(($H$9:$Z$9="CO5")*ISNUMBER($H$10:$Z$10)*ISNUMBER(H106:Z106)) = 0,
         0,
         SUMPRODUCT(($H$9:$Z$9="CO5")*ISNUMBER($H$10:$Z$10)*ISNUMBER(H106:Z106)*H106:Z106) /
         SUMPRODUCT(($H$9:$Z$9="CO5")*ISNUMBER($H$10:$Z$10)*ISNUMBER(H106:Z106)*$H$10:$Z$10) * 0.85
       )
     ) * 100,
     ""
   )
)</f>
        <v/>
      </c>
      <c r="AF106" s="1" t="str" cm="1">
        <f t="array" ref="AF106">IF(
   SUMPRODUCT(($C$9:$G$9="CO6")*ISNUMBER($C$10:$G$10)*ISNUMBER(C106:G106)) +
   SUMPRODUCT(($H$9:$Z$9="CO6")*ISNUMBER($H$10:$Z$10)*ISNUMBER(H106:Z106)) = 0,
   "",
   IFERROR(
     (
       IF(
         SUMPRODUCT(($C$9:$G$9="CO6")*ISNUMBER($C$10:$G$10)*ISNUMBER(C106:G106)) = 0,
         0,
         SUMPRODUCT(($C$9:$G$9="CO6")*ISNUMBER($C$10:$G$10)*ISNUMBER(C106:G106)*C106:G106) /
         SUMPRODUCT(($C$9:$G$9="CO6")*ISNUMBER($C$10:$G$10)*ISNUMBER(C106:G106)*$C$10:$G$10) * 0.15
       ) +
       IF(
         SUMPRODUCT(($H$9:$Z$9="CO6")*ISNUMBER($H$10:$Z$10)*ISNUMBER(H106:Z106)) = 0,
         0,
         SUMPRODUCT(($H$9:$Z$9="CO6")*ISNUMBER($H$10:$Z$10)*ISNUMBER(H106:Z106)*H106:Z106) /
         SUMPRODUCT(($H$9:$Z$9="CO6")*ISNUMBER($H$10:$Z$10)*ISNUMBER(H106:Z106)*$H$10:$Z$10) * 0.85
       )
     ) * 100,
     ""
   )
)</f>
        <v/>
      </c>
      <c r="AG106" s="1" t="str" cm="1">
        <f t="array" ref="AG106">IF(
   SUMPRODUCT(($C$9:$G$9="CO7")*ISNUMBER($C$10:$G$10)*ISNUMBER(C106:G106)) +
   SUMPRODUCT(($H$9:$Z$9="CO7")*ISNUMBER($H$10:$Z$10)*ISNUMBER(H106:Z106)) = 0,
   "",
   IFERROR(
     (
       IF(
         SUMPRODUCT(($C$9:$G$9="CO7")*ISNUMBER($C$10:$G$10)*ISNUMBER(C106:G106)) = 0,
         0,
         SUMPRODUCT(($C$9:$G$9="CO7")*ISNUMBER($C$10:$G$10)*ISNUMBER(C106:G106)*C106:G106) /
         SUMPRODUCT(($C$9:$G$9="CO7")*ISNUMBER($C$10:$G$10)*ISNUMBER(C106:G106)*$C$10:$G$10) * 0.15
       ) +
       IF(
         SUMPRODUCT(($H$9:$Z$9="CO7")*ISNUMBER($H$10:$Z$10)*ISNUMBER(H106:Z106)) = 0,
         0,
         SUMPRODUCT(($H$9:$Z$9="CO7")*ISNUMBER($H$10:$Z$10)*ISNUMBER(H106:Z106)*H106:Z106) /
         SUMPRODUCT(($H$9:$Z$9="CO7")*ISNUMBER($H$10:$Z$10)*ISNUMBER(H106:Z106)*$H$10:$Z$10) * 0.85
       )
     ) * 100,
     ""
   )
)</f>
        <v/>
      </c>
      <c r="AH106" s="3" t="str" cm="1">
        <f t="array" ref="AH106">IF(
   SUMPRODUCT(($C$9:$G$9="CO8")*ISNUMBER($C$10:$G$10)*ISNUMBER(C106:G106)) +
   SUMPRODUCT(($H$9:$Z$9="CO8")*ISNUMBER($H$10:$Z$10)*ISNUMBER(H106:Z106)) = 0,
   "",
   IFERROR(
     (
       IF(
         SUMPRODUCT(($C$9:$G$9="CO8")*ISNUMBER($C$10:$G$10)*ISNUMBER(C106:G106)) = 0,
         0,
         SUMPRODUCT(($C$9:$G$9="CO8")*ISNUMBER($C$10:$G$10)*ISNUMBER(C106:G106)*C106:G106) /
         SUMPRODUCT(($C$9:$G$9="CO8")*ISNUMBER($C$10:$G$10)*ISNUMBER(C106:G106)*$C$10:$G$10) * 0.15
       ) +
       IF(
         SUMPRODUCT(($H$9:$Z$9="CO8")*ISNUMBER($H$10:$Z$10)*ISNUMBER(H106:Z106)) = 0,
         0,
         SUMPRODUCT(($H$9:$Z$9="CO8")*ISNUMBER($H$10:$Z$10)*ISNUMBER(H106:Z106)*H106:Z106) /
         SUMPRODUCT(($H$9:$Z$9="CO8")*ISNUMBER($H$10:$Z$10)*ISNUMBER(H106:Z106)*$H$10:$Z$10) * 0.85
       )
     ) * 100,
     ""
   )
)</f>
        <v/>
      </c>
      <c r="AI106" s="1" t="str">
        <f t="shared" si="14"/>
        <v/>
      </c>
      <c r="AJ106" s="1" t="str">
        <f t="shared" si="15"/>
        <v/>
      </c>
      <c r="AK106" s="1" t="str">
        <f t="shared" si="16"/>
        <v/>
      </c>
      <c r="AL106" s="1" t="str">
        <f t="shared" si="13"/>
        <v/>
      </c>
      <c r="AM106" s="1" t="str">
        <f t="shared" si="13"/>
        <v/>
      </c>
      <c r="AN106" s="1" t="str">
        <f t="shared" si="13"/>
        <v/>
      </c>
      <c r="AO106" s="1" t="str">
        <f t="shared" si="13"/>
        <v/>
      </c>
      <c r="AP106" s="1" t="str">
        <f t="shared" si="13"/>
        <v/>
      </c>
    </row>
    <row r="107" spans="1:42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" t="str" cm="1">
        <f t="array" ref="AA107">IF(
   SUMPRODUCT(($C$9:$G$9="CO1")*ISNUMBER($C$10:$G$10)*ISNUMBER(C107:G107)) +
   SUMPRODUCT(($H$9:$Z$9="CO1")*ISNUMBER($H$10:$Z$10)*ISNUMBER(H107:Z107)) = 0,
   "",
   IFERROR(
     (
       IF(
         SUMPRODUCT(($C$9:$G$9="CO1")*ISNUMBER($C$10:$G$10)*ISNUMBER(C107:G107)) = 0,
         0,
         SUMPRODUCT(($C$9:$G$9="CO1")*ISNUMBER($C$10:$G$10)*ISNUMBER(C107:G107)*C107:G107) /
         SUMPRODUCT(($C$9:$G$9="CO1")*ISNUMBER($C$10:$G$10)*ISNUMBER(C107:G107)*$C$10:$G$10) * 0.15
       ) +
       IF(
         SUMPRODUCT(($H$9:$Z$9="CO1")*ISNUMBER($H$10:$Z$10)*ISNUMBER(H107:Z107)) = 0,
         0,
         SUMPRODUCT(($H$9:$Z$9="CO1")*ISNUMBER($H$10:$Z$10)*ISNUMBER(H107:Z107)*H107:Z107) /
         SUMPRODUCT(($H$9:$Z$9="CO1")*ISNUMBER($H$10:$Z$10)*ISNUMBER(H107:Z107)*$H$10:$Z$10) * 0.85
       )
     ) * 100,
     ""
   )
)</f>
        <v/>
      </c>
      <c r="AB107" s="1" t="str" cm="1">
        <f t="array" ref="AB107">IF(
   SUMPRODUCT(($C$9:$G$9="CO2")*ISNUMBER($C$10:$G$10)*ISNUMBER(C107:G107)) +
   SUMPRODUCT(($H$9:$Z$9="CO2")*ISNUMBER($H$10:$Z$10)*ISNUMBER(H107:Z107)) = 0,
   "",
   IFERROR(
     (
       IF(
         SUMPRODUCT(($C$9:$G$9="CO2")*ISNUMBER($C$10:$G$10)*ISNUMBER(C107:G107)) = 0,
         0,
         SUMPRODUCT(($C$9:$G$9="CO2")*ISNUMBER($C$10:$G$10)*ISNUMBER(C107:G107)*C107:G107) /
         SUMPRODUCT(($C$9:$G$9="CO2")*ISNUMBER($C$10:$G$10)*ISNUMBER(C107:G107)*$C$10:$G$10) * 0.15
       ) +
       IF(
         SUMPRODUCT(($H$9:$Z$9="CO2")*ISNUMBER($H$10:$Z$10)*ISNUMBER(H107:Z107)) = 0,
         0,
         SUMPRODUCT(($H$9:$Z$9="CO2")*ISNUMBER($H$10:$Z$10)*ISNUMBER(H107:Z107)*H107:Z107) /
         SUMPRODUCT(($H$9:$Z$9="CO2")*ISNUMBER($H$10:$Z$10)*ISNUMBER(H107:Z107)*$H$10:$Z$10) * 0.85
       )
     ) * 100,
     ""
   )
)</f>
        <v/>
      </c>
      <c r="AC107" s="1" t="str" cm="1">
        <f t="array" ref="AC107">IF(
   SUMPRODUCT(($C$9:$G$9="CO3")*ISNUMBER($C$10:$G$10)*ISNUMBER(C107:G107)) +
   SUMPRODUCT(($H$9:$Z$9="CO3")*ISNUMBER($H$10:$Z$10)*ISNUMBER(H107:Z107)) = 0,
   "",
   IFERROR(
     (
       IF(
         SUMPRODUCT(($C$9:$G$9="CO3")*ISNUMBER($C$10:$G$10)*ISNUMBER(C107:G107)) = 0,
         0,
         SUMPRODUCT(($C$9:$G$9="CO3")*ISNUMBER($C$10:$G$10)*ISNUMBER(C107:G107)*C107:G107) /
         SUMPRODUCT(($C$9:$G$9="CO3")*ISNUMBER($C$10:$G$10)*ISNUMBER(C107:G107)*$C$10:$G$10) * 0.15
       ) +
       IF(
         SUMPRODUCT(($H$9:$Z$9="CO3")*ISNUMBER($H$10:$Z$10)*ISNUMBER(H107:Z107)) = 0,
         0,
         SUMPRODUCT(($H$9:$Z$9="CO3")*ISNUMBER($H$10:$Z$10)*ISNUMBER(H107:Z107)*H107:Z107) /
         SUMPRODUCT(($H$9:$Z$9="CO3")*ISNUMBER($H$10:$Z$10)*ISNUMBER(H107:Z107)*$H$10:$Z$10) * 0.85
       )
     ) * 100,
     ""
   )
)</f>
        <v/>
      </c>
      <c r="AD107" s="1" t="str" cm="1">
        <f t="array" ref="AD107">IF(
   SUMPRODUCT(($C$9:$G$9="CO4")*ISNUMBER($C$10:$G$10)*ISNUMBER(C107:G107)) +
   SUMPRODUCT(($H$9:$Z$9="CO4")*ISNUMBER($H$10:$Z$10)*ISNUMBER(H107:Z107)) = 0,
   "",
   IFERROR(
     (
       IF(
         SUMPRODUCT(($C$9:$G$9="CO4")*ISNUMBER($C$10:$G$10)*ISNUMBER(C107:G107)) = 0,
         0,
         SUMPRODUCT(($C$9:$G$9="CO4")*ISNUMBER($C$10:$G$10)*ISNUMBER(C107:G107)*C107:G107) /
         SUMPRODUCT(($C$9:$G$9="CO4")*ISNUMBER($C$10:$G$10)*ISNUMBER(C107:G107)*$C$10:$G$10) * 0.15
       ) +
       IF(
         SUMPRODUCT(($H$9:$Z$9="CO4")*ISNUMBER($H$10:$Z$10)*ISNUMBER(H107:Z107)) = 0,
         0,
         SUMPRODUCT(($H$9:$Z$9="CO4")*ISNUMBER($H$10:$Z$10)*ISNUMBER(H107:Z107)*H107:Z107) /
         SUMPRODUCT(($H$9:$Z$9="CO4")*ISNUMBER($H$10:$Z$10)*ISNUMBER(H107:Z107)*$H$10:$Z$10) * 0.85
       )
     ) * 100,
     ""
   )
)</f>
        <v/>
      </c>
      <c r="AE107" s="1" t="str" cm="1">
        <f t="array" ref="AE107">IF(
   SUMPRODUCT(($C$9:$G$9="CO5")*ISNUMBER($C$10:$G$10)*ISNUMBER(C107:G107)) +
   SUMPRODUCT(($H$9:$Z$9="CO5")*ISNUMBER($H$10:$Z$10)*ISNUMBER(H107:Z107)) = 0,
   "",
   IFERROR(
     (
       IF(
         SUMPRODUCT(($C$9:$G$9="CO5")*ISNUMBER($C$10:$G$10)*ISNUMBER(C107:G107)) = 0,
         0,
         SUMPRODUCT(($C$9:$G$9="CO5")*ISNUMBER($C$10:$G$10)*ISNUMBER(C107:G107)*C107:G107) /
         SUMPRODUCT(($C$9:$G$9="CO5")*ISNUMBER($C$10:$G$10)*ISNUMBER(C107:G107)*$C$10:$G$10) * 0.15
       ) +
       IF(
         SUMPRODUCT(($H$9:$Z$9="CO5")*ISNUMBER($H$10:$Z$10)*ISNUMBER(H107:Z107)) = 0,
         0,
         SUMPRODUCT(($H$9:$Z$9="CO5")*ISNUMBER($H$10:$Z$10)*ISNUMBER(H107:Z107)*H107:Z107) /
         SUMPRODUCT(($H$9:$Z$9="CO5")*ISNUMBER($H$10:$Z$10)*ISNUMBER(H107:Z107)*$H$10:$Z$10) * 0.85
       )
     ) * 100,
     ""
   )
)</f>
        <v/>
      </c>
      <c r="AF107" s="1" t="str" cm="1">
        <f t="array" ref="AF107">IF(
   SUMPRODUCT(($C$9:$G$9="CO6")*ISNUMBER($C$10:$G$10)*ISNUMBER(C107:G107)) +
   SUMPRODUCT(($H$9:$Z$9="CO6")*ISNUMBER($H$10:$Z$10)*ISNUMBER(H107:Z107)) = 0,
   "",
   IFERROR(
     (
       IF(
         SUMPRODUCT(($C$9:$G$9="CO6")*ISNUMBER($C$10:$G$10)*ISNUMBER(C107:G107)) = 0,
         0,
         SUMPRODUCT(($C$9:$G$9="CO6")*ISNUMBER($C$10:$G$10)*ISNUMBER(C107:G107)*C107:G107) /
         SUMPRODUCT(($C$9:$G$9="CO6")*ISNUMBER($C$10:$G$10)*ISNUMBER(C107:G107)*$C$10:$G$10) * 0.15
       ) +
       IF(
         SUMPRODUCT(($H$9:$Z$9="CO6")*ISNUMBER($H$10:$Z$10)*ISNUMBER(H107:Z107)) = 0,
         0,
         SUMPRODUCT(($H$9:$Z$9="CO6")*ISNUMBER($H$10:$Z$10)*ISNUMBER(H107:Z107)*H107:Z107) /
         SUMPRODUCT(($H$9:$Z$9="CO6")*ISNUMBER($H$10:$Z$10)*ISNUMBER(H107:Z107)*$H$10:$Z$10) * 0.85
       )
     ) * 100,
     ""
   )
)</f>
        <v/>
      </c>
      <c r="AG107" s="1" t="str" cm="1">
        <f t="array" ref="AG107">IF(
   SUMPRODUCT(($C$9:$G$9="CO7")*ISNUMBER($C$10:$G$10)*ISNUMBER(C107:G107)) +
   SUMPRODUCT(($H$9:$Z$9="CO7")*ISNUMBER($H$10:$Z$10)*ISNUMBER(H107:Z107)) = 0,
   "",
   IFERROR(
     (
       IF(
         SUMPRODUCT(($C$9:$G$9="CO7")*ISNUMBER($C$10:$G$10)*ISNUMBER(C107:G107)) = 0,
         0,
         SUMPRODUCT(($C$9:$G$9="CO7")*ISNUMBER($C$10:$G$10)*ISNUMBER(C107:G107)*C107:G107) /
         SUMPRODUCT(($C$9:$G$9="CO7")*ISNUMBER($C$10:$G$10)*ISNUMBER(C107:G107)*$C$10:$G$10) * 0.15
       ) +
       IF(
         SUMPRODUCT(($H$9:$Z$9="CO7")*ISNUMBER($H$10:$Z$10)*ISNUMBER(H107:Z107)) = 0,
         0,
         SUMPRODUCT(($H$9:$Z$9="CO7")*ISNUMBER($H$10:$Z$10)*ISNUMBER(H107:Z107)*H107:Z107) /
         SUMPRODUCT(($H$9:$Z$9="CO7")*ISNUMBER($H$10:$Z$10)*ISNUMBER(H107:Z107)*$H$10:$Z$10) * 0.85
       )
     ) * 100,
     ""
   )
)</f>
        <v/>
      </c>
      <c r="AH107" s="3" t="str" cm="1">
        <f t="array" ref="AH107">IF(
   SUMPRODUCT(($C$9:$G$9="CO8")*ISNUMBER($C$10:$G$10)*ISNUMBER(C107:G107)) +
   SUMPRODUCT(($H$9:$Z$9="CO8")*ISNUMBER($H$10:$Z$10)*ISNUMBER(H107:Z107)) = 0,
   "",
   IFERROR(
     (
       IF(
         SUMPRODUCT(($C$9:$G$9="CO8")*ISNUMBER($C$10:$G$10)*ISNUMBER(C107:G107)) = 0,
         0,
         SUMPRODUCT(($C$9:$G$9="CO8")*ISNUMBER($C$10:$G$10)*ISNUMBER(C107:G107)*C107:G107) /
         SUMPRODUCT(($C$9:$G$9="CO8")*ISNUMBER($C$10:$G$10)*ISNUMBER(C107:G107)*$C$10:$G$10) * 0.15
       ) +
       IF(
         SUMPRODUCT(($H$9:$Z$9="CO8")*ISNUMBER($H$10:$Z$10)*ISNUMBER(H107:Z107)) = 0,
         0,
         SUMPRODUCT(($H$9:$Z$9="CO8")*ISNUMBER($H$10:$Z$10)*ISNUMBER(H107:Z107)*H107:Z107) /
         SUMPRODUCT(($H$9:$Z$9="CO8")*ISNUMBER($H$10:$Z$10)*ISNUMBER(H107:Z107)*$H$10:$Z$10) * 0.85
       )
     ) * 100,
     ""
   )
)</f>
        <v/>
      </c>
      <c r="AI107" s="1" t="str">
        <f t="shared" si="14"/>
        <v/>
      </c>
      <c r="AJ107" s="1" t="str">
        <f t="shared" si="15"/>
        <v/>
      </c>
      <c r="AK107" s="1" t="str">
        <f t="shared" si="16"/>
        <v/>
      </c>
      <c r="AL107" s="1" t="str">
        <f t="shared" si="13"/>
        <v/>
      </c>
      <c r="AM107" s="1" t="str">
        <f t="shared" si="13"/>
        <v/>
      </c>
      <c r="AN107" s="1" t="str">
        <f t="shared" si="13"/>
        <v/>
      </c>
      <c r="AO107" s="1" t="str">
        <f t="shared" si="13"/>
        <v/>
      </c>
      <c r="AP107" s="1" t="str">
        <f t="shared" si="13"/>
        <v/>
      </c>
    </row>
    <row r="108" spans="1:42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" t="str" cm="1">
        <f t="array" ref="AA108">IF(
   SUMPRODUCT(($C$9:$G$9="CO1")*ISNUMBER($C$10:$G$10)*ISNUMBER(C108:G108)) +
   SUMPRODUCT(($H$9:$Z$9="CO1")*ISNUMBER($H$10:$Z$10)*ISNUMBER(H108:Z108)) = 0,
   "",
   IFERROR(
     (
       IF(
         SUMPRODUCT(($C$9:$G$9="CO1")*ISNUMBER($C$10:$G$10)*ISNUMBER(C108:G108)) = 0,
         0,
         SUMPRODUCT(($C$9:$G$9="CO1")*ISNUMBER($C$10:$G$10)*ISNUMBER(C108:G108)*C108:G108) /
         SUMPRODUCT(($C$9:$G$9="CO1")*ISNUMBER($C$10:$G$10)*ISNUMBER(C108:G108)*$C$10:$G$10) * 0.15
       ) +
       IF(
         SUMPRODUCT(($H$9:$Z$9="CO1")*ISNUMBER($H$10:$Z$10)*ISNUMBER(H108:Z108)) = 0,
         0,
         SUMPRODUCT(($H$9:$Z$9="CO1")*ISNUMBER($H$10:$Z$10)*ISNUMBER(H108:Z108)*H108:Z108) /
         SUMPRODUCT(($H$9:$Z$9="CO1")*ISNUMBER($H$10:$Z$10)*ISNUMBER(H108:Z108)*$H$10:$Z$10) * 0.85
       )
     ) * 100,
     ""
   )
)</f>
        <v/>
      </c>
      <c r="AB108" s="1" t="str" cm="1">
        <f t="array" ref="AB108">IF(
   SUMPRODUCT(($C$9:$G$9="CO2")*ISNUMBER($C$10:$G$10)*ISNUMBER(C108:G108)) +
   SUMPRODUCT(($H$9:$Z$9="CO2")*ISNUMBER($H$10:$Z$10)*ISNUMBER(H108:Z108)) = 0,
   "",
   IFERROR(
     (
       IF(
         SUMPRODUCT(($C$9:$G$9="CO2")*ISNUMBER($C$10:$G$10)*ISNUMBER(C108:G108)) = 0,
         0,
         SUMPRODUCT(($C$9:$G$9="CO2")*ISNUMBER($C$10:$G$10)*ISNUMBER(C108:G108)*C108:G108) /
         SUMPRODUCT(($C$9:$G$9="CO2")*ISNUMBER($C$10:$G$10)*ISNUMBER(C108:G108)*$C$10:$G$10) * 0.15
       ) +
       IF(
         SUMPRODUCT(($H$9:$Z$9="CO2")*ISNUMBER($H$10:$Z$10)*ISNUMBER(H108:Z108)) = 0,
         0,
         SUMPRODUCT(($H$9:$Z$9="CO2")*ISNUMBER($H$10:$Z$10)*ISNUMBER(H108:Z108)*H108:Z108) /
         SUMPRODUCT(($H$9:$Z$9="CO2")*ISNUMBER($H$10:$Z$10)*ISNUMBER(H108:Z108)*$H$10:$Z$10) * 0.85
       )
     ) * 100,
     ""
   )
)</f>
        <v/>
      </c>
      <c r="AC108" s="1" t="str" cm="1">
        <f t="array" ref="AC108">IF(
   SUMPRODUCT(($C$9:$G$9="CO3")*ISNUMBER($C$10:$G$10)*ISNUMBER(C108:G108)) +
   SUMPRODUCT(($H$9:$Z$9="CO3")*ISNUMBER($H$10:$Z$10)*ISNUMBER(H108:Z108)) = 0,
   "",
   IFERROR(
     (
       IF(
         SUMPRODUCT(($C$9:$G$9="CO3")*ISNUMBER($C$10:$G$10)*ISNUMBER(C108:G108)) = 0,
         0,
         SUMPRODUCT(($C$9:$G$9="CO3")*ISNUMBER($C$10:$G$10)*ISNUMBER(C108:G108)*C108:G108) /
         SUMPRODUCT(($C$9:$G$9="CO3")*ISNUMBER($C$10:$G$10)*ISNUMBER(C108:G108)*$C$10:$G$10) * 0.15
       ) +
       IF(
         SUMPRODUCT(($H$9:$Z$9="CO3")*ISNUMBER($H$10:$Z$10)*ISNUMBER(H108:Z108)) = 0,
         0,
         SUMPRODUCT(($H$9:$Z$9="CO3")*ISNUMBER($H$10:$Z$10)*ISNUMBER(H108:Z108)*H108:Z108) /
         SUMPRODUCT(($H$9:$Z$9="CO3")*ISNUMBER($H$10:$Z$10)*ISNUMBER(H108:Z108)*$H$10:$Z$10) * 0.85
       )
     ) * 100,
     ""
   )
)</f>
        <v/>
      </c>
      <c r="AD108" s="1" t="str" cm="1">
        <f t="array" ref="AD108">IF(
   SUMPRODUCT(($C$9:$G$9="CO4")*ISNUMBER($C$10:$G$10)*ISNUMBER(C108:G108)) +
   SUMPRODUCT(($H$9:$Z$9="CO4")*ISNUMBER($H$10:$Z$10)*ISNUMBER(H108:Z108)) = 0,
   "",
   IFERROR(
     (
       IF(
         SUMPRODUCT(($C$9:$G$9="CO4")*ISNUMBER($C$10:$G$10)*ISNUMBER(C108:G108)) = 0,
         0,
         SUMPRODUCT(($C$9:$G$9="CO4")*ISNUMBER($C$10:$G$10)*ISNUMBER(C108:G108)*C108:G108) /
         SUMPRODUCT(($C$9:$G$9="CO4")*ISNUMBER($C$10:$G$10)*ISNUMBER(C108:G108)*$C$10:$G$10) * 0.15
       ) +
       IF(
         SUMPRODUCT(($H$9:$Z$9="CO4")*ISNUMBER($H$10:$Z$10)*ISNUMBER(H108:Z108)) = 0,
         0,
         SUMPRODUCT(($H$9:$Z$9="CO4")*ISNUMBER($H$10:$Z$10)*ISNUMBER(H108:Z108)*H108:Z108) /
         SUMPRODUCT(($H$9:$Z$9="CO4")*ISNUMBER($H$10:$Z$10)*ISNUMBER(H108:Z108)*$H$10:$Z$10) * 0.85
       )
     ) * 100,
     ""
   )
)</f>
        <v/>
      </c>
      <c r="AE108" s="1" t="str" cm="1">
        <f t="array" ref="AE108">IF(
   SUMPRODUCT(($C$9:$G$9="CO5")*ISNUMBER($C$10:$G$10)*ISNUMBER(C108:G108)) +
   SUMPRODUCT(($H$9:$Z$9="CO5")*ISNUMBER($H$10:$Z$10)*ISNUMBER(H108:Z108)) = 0,
   "",
   IFERROR(
     (
       IF(
         SUMPRODUCT(($C$9:$G$9="CO5")*ISNUMBER($C$10:$G$10)*ISNUMBER(C108:G108)) = 0,
         0,
         SUMPRODUCT(($C$9:$G$9="CO5")*ISNUMBER($C$10:$G$10)*ISNUMBER(C108:G108)*C108:G108) /
         SUMPRODUCT(($C$9:$G$9="CO5")*ISNUMBER($C$10:$G$10)*ISNUMBER(C108:G108)*$C$10:$G$10) * 0.15
       ) +
       IF(
         SUMPRODUCT(($H$9:$Z$9="CO5")*ISNUMBER($H$10:$Z$10)*ISNUMBER(H108:Z108)) = 0,
         0,
         SUMPRODUCT(($H$9:$Z$9="CO5")*ISNUMBER($H$10:$Z$10)*ISNUMBER(H108:Z108)*H108:Z108) /
         SUMPRODUCT(($H$9:$Z$9="CO5")*ISNUMBER($H$10:$Z$10)*ISNUMBER(H108:Z108)*$H$10:$Z$10) * 0.85
       )
     ) * 100,
     ""
   )
)</f>
        <v/>
      </c>
      <c r="AF108" s="1" t="str" cm="1">
        <f t="array" ref="AF108">IF(
   SUMPRODUCT(($C$9:$G$9="CO6")*ISNUMBER($C$10:$G$10)*ISNUMBER(C108:G108)) +
   SUMPRODUCT(($H$9:$Z$9="CO6")*ISNUMBER($H$10:$Z$10)*ISNUMBER(H108:Z108)) = 0,
   "",
   IFERROR(
     (
       IF(
         SUMPRODUCT(($C$9:$G$9="CO6")*ISNUMBER($C$10:$G$10)*ISNUMBER(C108:G108)) = 0,
         0,
         SUMPRODUCT(($C$9:$G$9="CO6")*ISNUMBER($C$10:$G$10)*ISNUMBER(C108:G108)*C108:G108) /
         SUMPRODUCT(($C$9:$G$9="CO6")*ISNUMBER($C$10:$G$10)*ISNUMBER(C108:G108)*$C$10:$G$10) * 0.15
       ) +
       IF(
         SUMPRODUCT(($H$9:$Z$9="CO6")*ISNUMBER($H$10:$Z$10)*ISNUMBER(H108:Z108)) = 0,
         0,
         SUMPRODUCT(($H$9:$Z$9="CO6")*ISNUMBER($H$10:$Z$10)*ISNUMBER(H108:Z108)*H108:Z108) /
         SUMPRODUCT(($H$9:$Z$9="CO6")*ISNUMBER($H$10:$Z$10)*ISNUMBER(H108:Z108)*$H$10:$Z$10) * 0.85
       )
     ) * 100,
     ""
   )
)</f>
        <v/>
      </c>
      <c r="AG108" s="1" t="str" cm="1">
        <f t="array" ref="AG108">IF(
   SUMPRODUCT(($C$9:$G$9="CO7")*ISNUMBER($C$10:$G$10)*ISNUMBER(C108:G108)) +
   SUMPRODUCT(($H$9:$Z$9="CO7")*ISNUMBER($H$10:$Z$10)*ISNUMBER(H108:Z108)) = 0,
   "",
   IFERROR(
     (
       IF(
         SUMPRODUCT(($C$9:$G$9="CO7")*ISNUMBER($C$10:$G$10)*ISNUMBER(C108:G108)) = 0,
         0,
         SUMPRODUCT(($C$9:$G$9="CO7")*ISNUMBER($C$10:$G$10)*ISNUMBER(C108:G108)*C108:G108) /
         SUMPRODUCT(($C$9:$G$9="CO7")*ISNUMBER($C$10:$G$10)*ISNUMBER(C108:G108)*$C$10:$G$10) * 0.15
       ) +
       IF(
         SUMPRODUCT(($H$9:$Z$9="CO7")*ISNUMBER($H$10:$Z$10)*ISNUMBER(H108:Z108)) = 0,
         0,
         SUMPRODUCT(($H$9:$Z$9="CO7")*ISNUMBER($H$10:$Z$10)*ISNUMBER(H108:Z108)*H108:Z108) /
         SUMPRODUCT(($H$9:$Z$9="CO7")*ISNUMBER($H$10:$Z$10)*ISNUMBER(H108:Z108)*$H$10:$Z$10) * 0.85
       )
     ) * 100,
     ""
   )
)</f>
        <v/>
      </c>
      <c r="AH108" s="3" t="str" cm="1">
        <f t="array" ref="AH108">IF(
   SUMPRODUCT(($C$9:$G$9="CO8")*ISNUMBER($C$10:$G$10)*ISNUMBER(C108:G108)) +
   SUMPRODUCT(($H$9:$Z$9="CO8")*ISNUMBER($H$10:$Z$10)*ISNUMBER(H108:Z108)) = 0,
   "",
   IFERROR(
     (
       IF(
         SUMPRODUCT(($C$9:$G$9="CO8")*ISNUMBER($C$10:$G$10)*ISNUMBER(C108:G108)) = 0,
         0,
         SUMPRODUCT(($C$9:$G$9="CO8")*ISNUMBER($C$10:$G$10)*ISNUMBER(C108:G108)*C108:G108) /
         SUMPRODUCT(($C$9:$G$9="CO8")*ISNUMBER($C$10:$G$10)*ISNUMBER(C108:G108)*$C$10:$G$10) * 0.15
       ) +
       IF(
         SUMPRODUCT(($H$9:$Z$9="CO8")*ISNUMBER($H$10:$Z$10)*ISNUMBER(H108:Z108)) = 0,
         0,
         SUMPRODUCT(($H$9:$Z$9="CO8")*ISNUMBER($H$10:$Z$10)*ISNUMBER(H108:Z108)*H108:Z108) /
         SUMPRODUCT(($H$9:$Z$9="CO8")*ISNUMBER($H$10:$Z$10)*ISNUMBER(H108:Z108)*$H$10:$Z$10) * 0.85
       )
     ) * 100,
     ""
   )
)</f>
        <v/>
      </c>
      <c r="AI108" s="1" t="str">
        <f t="shared" si="14"/>
        <v/>
      </c>
      <c r="AJ108" s="1" t="str">
        <f t="shared" si="15"/>
        <v/>
      </c>
      <c r="AK108" s="1" t="str">
        <f t="shared" si="16"/>
        <v/>
      </c>
      <c r="AL108" s="1" t="str">
        <f t="shared" si="13"/>
        <v/>
      </c>
      <c r="AM108" s="1" t="str">
        <f t="shared" si="13"/>
        <v/>
      </c>
      <c r="AN108" s="1" t="str">
        <f t="shared" si="13"/>
        <v/>
      </c>
      <c r="AO108" s="1" t="str">
        <f t="shared" si="13"/>
        <v/>
      </c>
      <c r="AP108" s="1" t="str">
        <f t="shared" si="13"/>
        <v/>
      </c>
    </row>
    <row r="109" spans="1:42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" t="str" cm="1">
        <f t="array" ref="AA109">IF(
   SUMPRODUCT(($C$9:$G$9="CO1")*ISNUMBER($C$10:$G$10)*ISNUMBER(C109:G109)) +
   SUMPRODUCT(($H$9:$Z$9="CO1")*ISNUMBER($H$10:$Z$10)*ISNUMBER(H109:Z109)) = 0,
   "",
   IFERROR(
     (
       IF(
         SUMPRODUCT(($C$9:$G$9="CO1")*ISNUMBER($C$10:$G$10)*ISNUMBER(C109:G109)) = 0,
         0,
         SUMPRODUCT(($C$9:$G$9="CO1")*ISNUMBER($C$10:$G$10)*ISNUMBER(C109:G109)*C109:G109) /
         SUMPRODUCT(($C$9:$G$9="CO1")*ISNUMBER($C$10:$G$10)*ISNUMBER(C109:G109)*$C$10:$G$10) * 0.15
       ) +
       IF(
         SUMPRODUCT(($H$9:$Z$9="CO1")*ISNUMBER($H$10:$Z$10)*ISNUMBER(H109:Z109)) = 0,
         0,
         SUMPRODUCT(($H$9:$Z$9="CO1")*ISNUMBER($H$10:$Z$10)*ISNUMBER(H109:Z109)*H109:Z109) /
         SUMPRODUCT(($H$9:$Z$9="CO1")*ISNUMBER($H$10:$Z$10)*ISNUMBER(H109:Z109)*$H$10:$Z$10) * 0.85
       )
     ) * 100,
     ""
   )
)</f>
        <v/>
      </c>
      <c r="AB109" s="1" t="str" cm="1">
        <f t="array" ref="AB109">IF(
   SUMPRODUCT(($C$9:$G$9="CO2")*ISNUMBER($C$10:$G$10)*ISNUMBER(C109:G109)) +
   SUMPRODUCT(($H$9:$Z$9="CO2")*ISNUMBER($H$10:$Z$10)*ISNUMBER(H109:Z109)) = 0,
   "",
   IFERROR(
     (
       IF(
         SUMPRODUCT(($C$9:$G$9="CO2")*ISNUMBER($C$10:$G$10)*ISNUMBER(C109:G109)) = 0,
         0,
         SUMPRODUCT(($C$9:$G$9="CO2")*ISNUMBER($C$10:$G$10)*ISNUMBER(C109:G109)*C109:G109) /
         SUMPRODUCT(($C$9:$G$9="CO2")*ISNUMBER($C$10:$G$10)*ISNUMBER(C109:G109)*$C$10:$G$10) * 0.15
       ) +
       IF(
         SUMPRODUCT(($H$9:$Z$9="CO2")*ISNUMBER($H$10:$Z$10)*ISNUMBER(H109:Z109)) = 0,
         0,
         SUMPRODUCT(($H$9:$Z$9="CO2")*ISNUMBER($H$10:$Z$10)*ISNUMBER(H109:Z109)*H109:Z109) /
         SUMPRODUCT(($H$9:$Z$9="CO2")*ISNUMBER($H$10:$Z$10)*ISNUMBER(H109:Z109)*$H$10:$Z$10) * 0.85
       )
     ) * 100,
     ""
   )
)</f>
        <v/>
      </c>
      <c r="AC109" s="1" t="str" cm="1">
        <f t="array" ref="AC109">IF(
   SUMPRODUCT(($C$9:$G$9="CO3")*ISNUMBER($C$10:$G$10)*ISNUMBER(C109:G109)) +
   SUMPRODUCT(($H$9:$Z$9="CO3")*ISNUMBER($H$10:$Z$10)*ISNUMBER(H109:Z109)) = 0,
   "",
   IFERROR(
     (
       IF(
         SUMPRODUCT(($C$9:$G$9="CO3")*ISNUMBER($C$10:$G$10)*ISNUMBER(C109:G109)) = 0,
         0,
         SUMPRODUCT(($C$9:$G$9="CO3")*ISNUMBER($C$10:$G$10)*ISNUMBER(C109:G109)*C109:G109) /
         SUMPRODUCT(($C$9:$G$9="CO3")*ISNUMBER($C$10:$G$10)*ISNUMBER(C109:G109)*$C$10:$G$10) * 0.15
       ) +
       IF(
         SUMPRODUCT(($H$9:$Z$9="CO3")*ISNUMBER($H$10:$Z$10)*ISNUMBER(H109:Z109)) = 0,
         0,
         SUMPRODUCT(($H$9:$Z$9="CO3")*ISNUMBER($H$10:$Z$10)*ISNUMBER(H109:Z109)*H109:Z109) /
         SUMPRODUCT(($H$9:$Z$9="CO3")*ISNUMBER($H$10:$Z$10)*ISNUMBER(H109:Z109)*$H$10:$Z$10) * 0.85
       )
     ) * 100,
     ""
   )
)</f>
        <v/>
      </c>
      <c r="AD109" s="1" t="str" cm="1">
        <f t="array" ref="AD109">IF(
   SUMPRODUCT(($C$9:$G$9="CO4")*ISNUMBER($C$10:$G$10)*ISNUMBER(C109:G109)) +
   SUMPRODUCT(($H$9:$Z$9="CO4")*ISNUMBER($H$10:$Z$10)*ISNUMBER(H109:Z109)) = 0,
   "",
   IFERROR(
     (
       IF(
         SUMPRODUCT(($C$9:$G$9="CO4")*ISNUMBER($C$10:$G$10)*ISNUMBER(C109:G109)) = 0,
         0,
         SUMPRODUCT(($C$9:$G$9="CO4")*ISNUMBER($C$10:$G$10)*ISNUMBER(C109:G109)*C109:G109) /
         SUMPRODUCT(($C$9:$G$9="CO4")*ISNUMBER($C$10:$G$10)*ISNUMBER(C109:G109)*$C$10:$G$10) * 0.15
       ) +
       IF(
         SUMPRODUCT(($H$9:$Z$9="CO4")*ISNUMBER($H$10:$Z$10)*ISNUMBER(H109:Z109)) = 0,
         0,
         SUMPRODUCT(($H$9:$Z$9="CO4")*ISNUMBER($H$10:$Z$10)*ISNUMBER(H109:Z109)*H109:Z109) /
         SUMPRODUCT(($H$9:$Z$9="CO4")*ISNUMBER($H$10:$Z$10)*ISNUMBER(H109:Z109)*$H$10:$Z$10) * 0.85
       )
     ) * 100,
     ""
   )
)</f>
        <v/>
      </c>
      <c r="AE109" s="1" t="str" cm="1">
        <f t="array" ref="AE109">IF(
   SUMPRODUCT(($C$9:$G$9="CO5")*ISNUMBER($C$10:$G$10)*ISNUMBER(C109:G109)) +
   SUMPRODUCT(($H$9:$Z$9="CO5")*ISNUMBER($H$10:$Z$10)*ISNUMBER(H109:Z109)) = 0,
   "",
   IFERROR(
     (
       IF(
         SUMPRODUCT(($C$9:$G$9="CO5")*ISNUMBER($C$10:$G$10)*ISNUMBER(C109:G109)) = 0,
         0,
         SUMPRODUCT(($C$9:$G$9="CO5")*ISNUMBER($C$10:$G$10)*ISNUMBER(C109:G109)*C109:G109) /
         SUMPRODUCT(($C$9:$G$9="CO5")*ISNUMBER($C$10:$G$10)*ISNUMBER(C109:G109)*$C$10:$G$10) * 0.15
       ) +
       IF(
         SUMPRODUCT(($H$9:$Z$9="CO5")*ISNUMBER($H$10:$Z$10)*ISNUMBER(H109:Z109)) = 0,
         0,
         SUMPRODUCT(($H$9:$Z$9="CO5")*ISNUMBER($H$10:$Z$10)*ISNUMBER(H109:Z109)*H109:Z109) /
         SUMPRODUCT(($H$9:$Z$9="CO5")*ISNUMBER($H$10:$Z$10)*ISNUMBER(H109:Z109)*$H$10:$Z$10) * 0.85
       )
     ) * 100,
     ""
   )
)</f>
        <v/>
      </c>
      <c r="AF109" s="1" t="str" cm="1">
        <f t="array" ref="AF109">IF(
   SUMPRODUCT(($C$9:$G$9="CO6")*ISNUMBER($C$10:$G$10)*ISNUMBER(C109:G109)) +
   SUMPRODUCT(($H$9:$Z$9="CO6")*ISNUMBER($H$10:$Z$10)*ISNUMBER(H109:Z109)) = 0,
   "",
   IFERROR(
     (
       IF(
         SUMPRODUCT(($C$9:$G$9="CO6")*ISNUMBER($C$10:$G$10)*ISNUMBER(C109:G109)) = 0,
         0,
         SUMPRODUCT(($C$9:$G$9="CO6")*ISNUMBER($C$10:$G$10)*ISNUMBER(C109:G109)*C109:G109) /
         SUMPRODUCT(($C$9:$G$9="CO6")*ISNUMBER($C$10:$G$10)*ISNUMBER(C109:G109)*$C$10:$G$10) * 0.15
       ) +
       IF(
         SUMPRODUCT(($H$9:$Z$9="CO6")*ISNUMBER($H$10:$Z$10)*ISNUMBER(H109:Z109)) = 0,
         0,
         SUMPRODUCT(($H$9:$Z$9="CO6")*ISNUMBER($H$10:$Z$10)*ISNUMBER(H109:Z109)*H109:Z109) /
         SUMPRODUCT(($H$9:$Z$9="CO6")*ISNUMBER($H$10:$Z$10)*ISNUMBER(H109:Z109)*$H$10:$Z$10) * 0.85
       )
     ) * 100,
     ""
   )
)</f>
        <v/>
      </c>
      <c r="AG109" s="1" t="str" cm="1">
        <f t="array" ref="AG109">IF(
   SUMPRODUCT(($C$9:$G$9="CO7")*ISNUMBER($C$10:$G$10)*ISNUMBER(C109:G109)) +
   SUMPRODUCT(($H$9:$Z$9="CO7")*ISNUMBER($H$10:$Z$10)*ISNUMBER(H109:Z109)) = 0,
   "",
   IFERROR(
     (
       IF(
         SUMPRODUCT(($C$9:$G$9="CO7")*ISNUMBER($C$10:$G$10)*ISNUMBER(C109:G109)) = 0,
         0,
         SUMPRODUCT(($C$9:$G$9="CO7")*ISNUMBER($C$10:$G$10)*ISNUMBER(C109:G109)*C109:G109) /
         SUMPRODUCT(($C$9:$G$9="CO7")*ISNUMBER($C$10:$G$10)*ISNUMBER(C109:G109)*$C$10:$G$10) * 0.15
       ) +
       IF(
         SUMPRODUCT(($H$9:$Z$9="CO7")*ISNUMBER($H$10:$Z$10)*ISNUMBER(H109:Z109)) = 0,
         0,
         SUMPRODUCT(($H$9:$Z$9="CO7")*ISNUMBER($H$10:$Z$10)*ISNUMBER(H109:Z109)*H109:Z109) /
         SUMPRODUCT(($H$9:$Z$9="CO7")*ISNUMBER($H$10:$Z$10)*ISNUMBER(H109:Z109)*$H$10:$Z$10) * 0.85
       )
     ) * 100,
     ""
   )
)</f>
        <v/>
      </c>
      <c r="AH109" s="3" t="str" cm="1">
        <f t="array" ref="AH109">IF(
   SUMPRODUCT(($C$9:$G$9="CO8")*ISNUMBER($C$10:$G$10)*ISNUMBER(C109:G109)) +
   SUMPRODUCT(($H$9:$Z$9="CO8")*ISNUMBER($H$10:$Z$10)*ISNUMBER(H109:Z109)) = 0,
   "",
   IFERROR(
     (
       IF(
         SUMPRODUCT(($C$9:$G$9="CO8")*ISNUMBER($C$10:$G$10)*ISNUMBER(C109:G109)) = 0,
         0,
         SUMPRODUCT(($C$9:$G$9="CO8")*ISNUMBER($C$10:$G$10)*ISNUMBER(C109:G109)*C109:G109) /
         SUMPRODUCT(($C$9:$G$9="CO8")*ISNUMBER($C$10:$G$10)*ISNUMBER(C109:G109)*$C$10:$G$10) * 0.15
       ) +
       IF(
         SUMPRODUCT(($H$9:$Z$9="CO8")*ISNUMBER($H$10:$Z$10)*ISNUMBER(H109:Z109)) = 0,
         0,
         SUMPRODUCT(($H$9:$Z$9="CO8")*ISNUMBER($H$10:$Z$10)*ISNUMBER(H109:Z109)*H109:Z109) /
         SUMPRODUCT(($H$9:$Z$9="CO8")*ISNUMBER($H$10:$Z$10)*ISNUMBER(H109:Z109)*$H$10:$Z$10) * 0.85
       )
     ) * 100,
     ""
   )
)</f>
        <v/>
      </c>
      <c r="AI109" s="1" t="str">
        <f t="shared" si="14"/>
        <v/>
      </c>
      <c r="AJ109" s="1" t="str">
        <f t="shared" si="15"/>
        <v/>
      </c>
      <c r="AK109" s="1" t="str">
        <f t="shared" si="16"/>
        <v/>
      </c>
      <c r="AL109" s="1" t="str">
        <f t="shared" si="13"/>
        <v/>
      </c>
      <c r="AM109" s="1" t="str">
        <f t="shared" si="13"/>
        <v/>
      </c>
      <c r="AN109" s="1" t="str">
        <f t="shared" si="13"/>
        <v/>
      </c>
      <c r="AO109" s="1" t="str">
        <f t="shared" si="13"/>
        <v/>
      </c>
      <c r="AP109" s="1" t="str">
        <f t="shared" si="13"/>
        <v/>
      </c>
    </row>
    <row r="110" spans="1:42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" t="str" cm="1">
        <f t="array" ref="AA110">IF(
   SUMPRODUCT(($C$9:$G$9="CO1")*ISNUMBER($C$10:$G$10)*ISNUMBER(C110:G110)) +
   SUMPRODUCT(($H$9:$Z$9="CO1")*ISNUMBER($H$10:$Z$10)*ISNUMBER(H110:Z110)) = 0,
   "",
   IFERROR(
     (
       IF(
         SUMPRODUCT(($C$9:$G$9="CO1")*ISNUMBER($C$10:$G$10)*ISNUMBER(C110:G110)) = 0,
         0,
         SUMPRODUCT(($C$9:$G$9="CO1")*ISNUMBER($C$10:$G$10)*ISNUMBER(C110:G110)*C110:G110) /
         SUMPRODUCT(($C$9:$G$9="CO1")*ISNUMBER($C$10:$G$10)*ISNUMBER(C110:G110)*$C$10:$G$10) * 0.15
       ) +
       IF(
         SUMPRODUCT(($H$9:$Z$9="CO1")*ISNUMBER($H$10:$Z$10)*ISNUMBER(H110:Z110)) = 0,
         0,
         SUMPRODUCT(($H$9:$Z$9="CO1")*ISNUMBER($H$10:$Z$10)*ISNUMBER(H110:Z110)*H110:Z110) /
         SUMPRODUCT(($H$9:$Z$9="CO1")*ISNUMBER($H$10:$Z$10)*ISNUMBER(H110:Z110)*$H$10:$Z$10) * 0.85
       )
     ) * 100,
     ""
   )
)</f>
        <v/>
      </c>
      <c r="AB110" s="1" t="str" cm="1">
        <f t="array" ref="AB110">IF(
   SUMPRODUCT(($C$9:$G$9="CO2")*ISNUMBER($C$10:$G$10)*ISNUMBER(C110:G110)) +
   SUMPRODUCT(($H$9:$Z$9="CO2")*ISNUMBER($H$10:$Z$10)*ISNUMBER(H110:Z110)) = 0,
   "",
   IFERROR(
     (
       IF(
         SUMPRODUCT(($C$9:$G$9="CO2")*ISNUMBER($C$10:$G$10)*ISNUMBER(C110:G110)) = 0,
         0,
         SUMPRODUCT(($C$9:$G$9="CO2")*ISNUMBER($C$10:$G$10)*ISNUMBER(C110:G110)*C110:G110) /
         SUMPRODUCT(($C$9:$G$9="CO2")*ISNUMBER($C$10:$G$10)*ISNUMBER(C110:G110)*$C$10:$G$10) * 0.15
       ) +
       IF(
         SUMPRODUCT(($H$9:$Z$9="CO2")*ISNUMBER($H$10:$Z$10)*ISNUMBER(H110:Z110)) = 0,
         0,
         SUMPRODUCT(($H$9:$Z$9="CO2")*ISNUMBER($H$10:$Z$10)*ISNUMBER(H110:Z110)*H110:Z110) /
         SUMPRODUCT(($H$9:$Z$9="CO2")*ISNUMBER($H$10:$Z$10)*ISNUMBER(H110:Z110)*$H$10:$Z$10) * 0.85
       )
     ) * 100,
     ""
   )
)</f>
        <v/>
      </c>
      <c r="AC110" s="1" t="str" cm="1">
        <f t="array" ref="AC110">IF(
   SUMPRODUCT(($C$9:$G$9="CO3")*ISNUMBER($C$10:$G$10)*ISNUMBER(C110:G110)) +
   SUMPRODUCT(($H$9:$Z$9="CO3")*ISNUMBER($H$10:$Z$10)*ISNUMBER(H110:Z110)) = 0,
   "",
   IFERROR(
     (
       IF(
         SUMPRODUCT(($C$9:$G$9="CO3")*ISNUMBER($C$10:$G$10)*ISNUMBER(C110:G110)) = 0,
         0,
         SUMPRODUCT(($C$9:$G$9="CO3")*ISNUMBER($C$10:$G$10)*ISNUMBER(C110:G110)*C110:G110) /
         SUMPRODUCT(($C$9:$G$9="CO3")*ISNUMBER($C$10:$G$10)*ISNUMBER(C110:G110)*$C$10:$G$10) * 0.15
       ) +
       IF(
         SUMPRODUCT(($H$9:$Z$9="CO3")*ISNUMBER($H$10:$Z$10)*ISNUMBER(H110:Z110)) = 0,
         0,
         SUMPRODUCT(($H$9:$Z$9="CO3")*ISNUMBER($H$10:$Z$10)*ISNUMBER(H110:Z110)*H110:Z110) /
         SUMPRODUCT(($H$9:$Z$9="CO3")*ISNUMBER($H$10:$Z$10)*ISNUMBER(H110:Z110)*$H$10:$Z$10) * 0.85
       )
     ) * 100,
     ""
   )
)</f>
        <v/>
      </c>
      <c r="AD110" s="1" t="str" cm="1">
        <f t="array" ref="AD110">IF(
   SUMPRODUCT(($C$9:$G$9="CO4")*ISNUMBER($C$10:$G$10)*ISNUMBER(C110:G110)) +
   SUMPRODUCT(($H$9:$Z$9="CO4")*ISNUMBER($H$10:$Z$10)*ISNUMBER(H110:Z110)) = 0,
   "",
   IFERROR(
     (
       IF(
         SUMPRODUCT(($C$9:$G$9="CO4")*ISNUMBER($C$10:$G$10)*ISNUMBER(C110:G110)) = 0,
         0,
         SUMPRODUCT(($C$9:$G$9="CO4")*ISNUMBER($C$10:$G$10)*ISNUMBER(C110:G110)*C110:G110) /
         SUMPRODUCT(($C$9:$G$9="CO4")*ISNUMBER($C$10:$G$10)*ISNUMBER(C110:G110)*$C$10:$G$10) * 0.15
       ) +
       IF(
         SUMPRODUCT(($H$9:$Z$9="CO4")*ISNUMBER($H$10:$Z$10)*ISNUMBER(H110:Z110)) = 0,
         0,
         SUMPRODUCT(($H$9:$Z$9="CO4")*ISNUMBER($H$10:$Z$10)*ISNUMBER(H110:Z110)*H110:Z110) /
         SUMPRODUCT(($H$9:$Z$9="CO4")*ISNUMBER($H$10:$Z$10)*ISNUMBER(H110:Z110)*$H$10:$Z$10) * 0.85
       )
     ) * 100,
     ""
   )
)</f>
        <v/>
      </c>
      <c r="AE110" s="1" t="str" cm="1">
        <f t="array" ref="AE110">IF(
   SUMPRODUCT(($C$9:$G$9="CO5")*ISNUMBER($C$10:$G$10)*ISNUMBER(C110:G110)) +
   SUMPRODUCT(($H$9:$Z$9="CO5")*ISNUMBER($H$10:$Z$10)*ISNUMBER(H110:Z110)) = 0,
   "",
   IFERROR(
     (
       IF(
         SUMPRODUCT(($C$9:$G$9="CO5")*ISNUMBER($C$10:$G$10)*ISNUMBER(C110:G110)) = 0,
         0,
         SUMPRODUCT(($C$9:$G$9="CO5")*ISNUMBER($C$10:$G$10)*ISNUMBER(C110:G110)*C110:G110) /
         SUMPRODUCT(($C$9:$G$9="CO5")*ISNUMBER($C$10:$G$10)*ISNUMBER(C110:G110)*$C$10:$G$10) * 0.15
       ) +
       IF(
         SUMPRODUCT(($H$9:$Z$9="CO5")*ISNUMBER($H$10:$Z$10)*ISNUMBER(H110:Z110)) = 0,
         0,
         SUMPRODUCT(($H$9:$Z$9="CO5")*ISNUMBER($H$10:$Z$10)*ISNUMBER(H110:Z110)*H110:Z110) /
         SUMPRODUCT(($H$9:$Z$9="CO5")*ISNUMBER($H$10:$Z$10)*ISNUMBER(H110:Z110)*$H$10:$Z$10) * 0.85
       )
     ) * 100,
     ""
   )
)</f>
        <v/>
      </c>
      <c r="AF110" s="1" t="str" cm="1">
        <f t="array" ref="AF110">IF(
   SUMPRODUCT(($C$9:$G$9="CO6")*ISNUMBER($C$10:$G$10)*ISNUMBER(C110:G110)) +
   SUMPRODUCT(($H$9:$Z$9="CO6")*ISNUMBER($H$10:$Z$10)*ISNUMBER(H110:Z110)) = 0,
   "",
   IFERROR(
     (
       IF(
         SUMPRODUCT(($C$9:$G$9="CO6")*ISNUMBER($C$10:$G$10)*ISNUMBER(C110:G110)) = 0,
         0,
         SUMPRODUCT(($C$9:$G$9="CO6")*ISNUMBER($C$10:$G$10)*ISNUMBER(C110:G110)*C110:G110) /
         SUMPRODUCT(($C$9:$G$9="CO6")*ISNUMBER($C$10:$G$10)*ISNUMBER(C110:G110)*$C$10:$G$10) * 0.15
       ) +
       IF(
         SUMPRODUCT(($H$9:$Z$9="CO6")*ISNUMBER($H$10:$Z$10)*ISNUMBER(H110:Z110)) = 0,
         0,
         SUMPRODUCT(($H$9:$Z$9="CO6")*ISNUMBER($H$10:$Z$10)*ISNUMBER(H110:Z110)*H110:Z110) /
         SUMPRODUCT(($H$9:$Z$9="CO6")*ISNUMBER($H$10:$Z$10)*ISNUMBER(H110:Z110)*$H$10:$Z$10) * 0.85
       )
     ) * 100,
     ""
   )
)</f>
        <v/>
      </c>
      <c r="AG110" s="1" t="str" cm="1">
        <f t="array" ref="AG110">IF(
   SUMPRODUCT(($C$9:$G$9="CO7")*ISNUMBER($C$10:$G$10)*ISNUMBER(C110:G110)) +
   SUMPRODUCT(($H$9:$Z$9="CO7")*ISNUMBER($H$10:$Z$10)*ISNUMBER(H110:Z110)) = 0,
   "",
   IFERROR(
     (
       IF(
         SUMPRODUCT(($C$9:$G$9="CO7")*ISNUMBER($C$10:$G$10)*ISNUMBER(C110:G110)) = 0,
         0,
         SUMPRODUCT(($C$9:$G$9="CO7")*ISNUMBER($C$10:$G$10)*ISNUMBER(C110:G110)*C110:G110) /
         SUMPRODUCT(($C$9:$G$9="CO7")*ISNUMBER($C$10:$G$10)*ISNUMBER(C110:G110)*$C$10:$G$10) * 0.15
       ) +
       IF(
         SUMPRODUCT(($H$9:$Z$9="CO7")*ISNUMBER($H$10:$Z$10)*ISNUMBER(H110:Z110)) = 0,
         0,
         SUMPRODUCT(($H$9:$Z$9="CO7")*ISNUMBER($H$10:$Z$10)*ISNUMBER(H110:Z110)*H110:Z110) /
         SUMPRODUCT(($H$9:$Z$9="CO7")*ISNUMBER($H$10:$Z$10)*ISNUMBER(H110:Z110)*$H$10:$Z$10) * 0.85
       )
     ) * 100,
     ""
   )
)</f>
        <v/>
      </c>
      <c r="AH110" s="3" t="str" cm="1">
        <f t="array" ref="AH110">IF(
   SUMPRODUCT(($C$9:$G$9="CO8")*ISNUMBER($C$10:$G$10)*ISNUMBER(C110:G110)) +
   SUMPRODUCT(($H$9:$Z$9="CO8")*ISNUMBER($H$10:$Z$10)*ISNUMBER(H110:Z110)) = 0,
   "",
   IFERROR(
     (
       IF(
         SUMPRODUCT(($C$9:$G$9="CO8")*ISNUMBER($C$10:$G$10)*ISNUMBER(C110:G110)) = 0,
         0,
         SUMPRODUCT(($C$9:$G$9="CO8")*ISNUMBER($C$10:$G$10)*ISNUMBER(C110:G110)*C110:G110) /
         SUMPRODUCT(($C$9:$G$9="CO8")*ISNUMBER($C$10:$G$10)*ISNUMBER(C110:G110)*$C$10:$G$10) * 0.15
       ) +
       IF(
         SUMPRODUCT(($H$9:$Z$9="CO8")*ISNUMBER($H$10:$Z$10)*ISNUMBER(H110:Z110)) = 0,
         0,
         SUMPRODUCT(($H$9:$Z$9="CO8")*ISNUMBER($H$10:$Z$10)*ISNUMBER(H110:Z110)*H110:Z110) /
         SUMPRODUCT(($H$9:$Z$9="CO8")*ISNUMBER($H$10:$Z$10)*ISNUMBER(H110:Z110)*$H$10:$Z$10) * 0.85
       )
     ) * 100,
     ""
   )
)</f>
        <v/>
      </c>
      <c r="AI110" s="1" t="str">
        <f t="shared" si="14"/>
        <v/>
      </c>
      <c r="AJ110" s="1" t="str">
        <f t="shared" si="15"/>
        <v/>
      </c>
      <c r="AK110" s="1" t="str">
        <f t="shared" si="16"/>
        <v/>
      </c>
      <c r="AL110" s="1" t="str">
        <f t="shared" si="13"/>
        <v/>
      </c>
      <c r="AM110" s="1" t="str">
        <f t="shared" si="13"/>
        <v/>
      </c>
      <c r="AN110" s="1" t="str">
        <f t="shared" si="13"/>
        <v/>
      </c>
      <c r="AO110" s="1" t="str">
        <f t="shared" si="13"/>
        <v/>
      </c>
      <c r="AP110" s="1" t="str">
        <f t="shared" si="13"/>
        <v/>
      </c>
    </row>
    <row r="111" spans="1:42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" t="str" cm="1">
        <f t="array" ref="AA111">IF(
   SUMPRODUCT(($C$9:$G$9="CO1")*ISNUMBER($C$10:$G$10)*ISNUMBER(C111:G111)) +
   SUMPRODUCT(($H$9:$Z$9="CO1")*ISNUMBER($H$10:$Z$10)*ISNUMBER(H111:Z111)) = 0,
   "",
   IFERROR(
     (
       IF(
         SUMPRODUCT(($C$9:$G$9="CO1")*ISNUMBER($C$10:$G$10)*ISNUMBER(C111:G111)) = 0,
         0,
         SUMPRODUCT(($C$9:$G$9="CO1")*ISNUMBER($C$10:$G$10)*ISNUMBER(C111:G111)*C111:G111) /
         SUMPRODUCT(($C$9:$G$9="CO1")*ISNUMBER($C$10:$G$10)*ISNUMBER(C111:G111)*$C$10:$G$10) * 0.15
       ) +
       IF(
         SUMPRODUCT(($H$9:$Z$9="CO1")*ISNUMBER($H$10:$Z$10)*ISNUMBER(H111:Z111)) = 0,
         0,
         SUMPRODUCT(($H$9:$Z$9="CO1")*ISNUMBER($H$10:$Z$10)*ISNUMBER(H111:Z111)*H111:Z111) /
         SUMPRODUCT(($H$9:$Z$9="CO1")*ISNUMBER($H$10:$Z$10)*ISNUMBER(H111:Z111)*$H$10:$Z$10) * 0.85
       )
     ) * 100,
     ""
   )
)</f>
        <v/>
      </c>
      <c r="AB111" s="1" t="str" cm="1">
        <f t="array" ref="AB111">IF(
   SUMPRODUCT(($C$9:$G$9="CO2")*ISNUMBER($C$10:$G$10)*ISNUMBER(C111:G111)) +
   SUMPRODUCT(($H$9:$Z$9="CO2")*ISNUMBER($H$10:$Z$10)*ISNUMBER(H111:Z111)) = 0,
   "",
   IFERROR(
     (
       IF(
         SUMPRODUCT(($C$9:$G$9="CO2")*ISNUMBER($C$10:$G$10)*ISNUMBER(C111:G111)) = 0,
         0,
         SUMPRODUCT(($C$9:$G$9="CO2")*ISNUMBER($C$10:$G$10)*ISNUMBER(C111:G111)*C111:G111) /
         SUMPRODUCT(($C$9:$G$9="CO2")*ISNUMBER($C$10:$G$10)*ISNUMBER(C111:G111)*$C$10:$G$10) * 0.15
       ) +
       IF(
         SUMPRODUCT(($H$9:$Z$9="CO2")*ISNUMBER($H$10:$Z$10)*ISNUMBER(H111:Z111)) = 0,
         0,
         SUMPRODUCT(($H$9:$Z$9="CO2")*ISNUMBER($H$10:$Z$10)*ISNUMBER(H111:Z111)*H111:Z111) /
         SUMPRODUCT(($H$9:$Z$9="CO2")*ISNUMBER($H$10:$Z$10)*ISNUMBER(H111:Z111)*$H$10:$Z$10) * 0.85
       )
     ) * 100,
     ""
   )
)</f>
        <v/>
      </c>
      <c r="AC111" s="1" t="str" cm="1">
        <f t="array" ref="AC111">IF(
   SUMPRODUCT(($C$9:$G$9="CO3")*ISNUMBER($C$10:$G$10)*ISNUMBER(C111:G111)) +
   SUMPRODUCT(($H$9:$Z$9="CO3")*ISNUMBER($H$10:$Z$10)*ISNUMBER(H111:Z111)) = 0,
   "",
   IFERROR(
     (
       IF(
         SUMPRODUCT(($C$9:$G$9="CO3")*ISNUMBER($C$10:$G$10)*ISNUMBER(C111:G111)) = 0,
         0,
         SUMPRODUCT(($C$9:$G$9="CO3")*ISNUMBER($C$10:$G$10)*ISNUMBER(C111:G111)*C111:G111) /
         SUMPRODUCT(($C$9:$G$9="CO3")*ISNUMBER($C$10:$G$10)*ISNUMBER(C111:G111)*$C$10:$G$10) * 0.15
       ) +
       IF(
         SUMPRODUCT(($H$9:$Z$9="CO3")*ISNUMBER($H$10:$Z$10)*ISNUMBER(H111:Z111)) = 0,
         0,
         SUMPRODUCT(($H$9:$Z$9="CO3")*ISNUMBER($H$10:$Z$10)*ISNUMBER(H111:Z111)*H111:Z111) /
         SUMPRODUCT(($H$9:$Z$9="CO3")*ISNUMBER($H$10:$Z$10)*ISNUMBER(H111:Z111)*$H$10:$Z$10) * 0.85
       )
     ) * 100,
     ""
   )
)</f>
        <v/>
      </c>
      <c r="AD111" s="1" t="str" cm="1">
        <f t="array" ref="AD111">IF(
   SUMPRODUCT(($C$9:$G$9="CO4")*ISNUMBER($C$10:$G$10)*ISNUMBER(C111:G111)) +
   SUMPRODUCT(($H$9:$Z$9="CO4")*ISNUMBER($H$10:$Z$10)*ISNUMBER(H111:Z111)) = 0,
   "",
   IFERROR(
     (
       IF(
         SUMPRODUCT(($C$9:$G$9="CO4")*ISNUMBER($C$10:$G$10)*ISNUMBER(C111:G111)) = 0,
         0,
         SUMPRODUCT(($C$9:$G$9="CO4")*ISNUMBER($C$10:$G$10)*ISNUMBER(C111:G111)*C111:G111) /
         SUMPRODUCT(($C$9:$G$9="CO4")*ISNUMBER($C$10:$G$10)*ISNUMBER(C111:G111)*$C$10:$G$10) * 0.15
       ) +
       IF(
         SUMPRODUCT(($H$9:$Z$9="CO4")*ISNUMBER($H$10:$Z$10)*ISNUMBER(H111:Z111)) = 0,
         0,
         SUMPRODUCT(($H$9:$Z$9="CO4")*ISNUMBER($H$10:$Z$10)*ISNUMBER(H111:Z111)*H111:Z111) /
         SUMPRODUCT(($H$9:$Z$9="CO4")*ISNUMBER($H$10:$Z$10)*ISNUMBER(H111:Z111)*$H$10:$Z$10) * 0.85
       )
     ) * 100,
     ""
   )
)</f>
        <v/>
      </c>
      <c r="AE111" s="1" t="str" cm="1">
        <f t="array" ref="AE111">IF(
   SUMPRODUCT(($C$9:$G$9="CO5")*ISNUMBER($C$10:$G$10)*ISNUMBER(C111:G111)) +
   SUMPRODUCT(($H$9:$Z$9="CO5")*ISNUMBER($H$10:$Z$10)*ISNUMBER(H111:Z111)) = 0,
   "",
   IFERROR(
     (
       IF(
         SUMPRODUCT(($C$9:$G$9="CO5")*ISNUMBER($C$10:$G$10)*ISNUMBER(C111:G111)) = 0,
         0,
         SUMPRODUCT(($C$9:$G$9="CO5")*ISNUMBER($C$10:$G$10)*ISNUMBER(C111:G111)*C111:G111) /
         SUMPRODUCT(($C$9:$G$9="CO5")*ISNUMBER($C$10:$G$10)*ISNUMBER(C111:G111)*$C$10:$G$10) * 0.15
       ) +
       IF(
         SUMPRODUCT(($H$9:$Z$9="CO5")*ISNUMBER($H$10:$Z$10)*ISNUMBER(H111:Z111)) = 0,
         0,
         SUMPRODUCT(($H$9:$Z$9="CO5")*ISNUMBER($H$10:$Z$10)*ISNUMBER(H111:Z111)*H111:Z111) /
         SUMPRODUCT(($H$9:$Z$9="CO5")*ISNUMBER($H$10:$Z$10)*ISNUMBER(H111:Z111)*$H$10:$Z$10) * 0.85
       )
     ) * 100,
     ""
   )
)</f>
        <v/>
      </c>
      <c r="AF111" s="1" t="str" cm="1">
        <f t="array" ref="AF111">IF(
   SUMPRODUCT(($C$9:$G$9="CO6")*ISNUMBER($C$10:$G$10)*ISNUMBER(C111:G111)) +
   SUMPRODUCT(($H$9:$Z$9="CO6")*ISNUMBER($H$10:$Z$10)*ISNUMBER(H111:Z111)) = 0,
   "",
   IFERROR(
     (
       IF(
         SUMPRODUCT(($C$9:$G$9="CO6")*ISNUMBER($C$10:$G$10)*ISNUMBER(C111:G111)) = 0,
         0,
         SUMPRODUCT(($C$9:$G$9="CO6")*ISNUMBER($C$10:$G$10)*ISNUMBER(C111:G111)*C111:G111) /
         SUMPRODUCT(($C$9:$G$9="CO6")*ISNUMBER($C$10:$G$10)*ISNUMBER(C111:G111)*$C$10:$G$10) * 0.15
       ) +
       IF(
         SUMPRODUCT(($H$9:$Z$9="CO6")*ISNUMBER($H$10:$Z$10)*ISNUMBER(H111:Z111)) = 0,
         0,
         SUMPRODUCT(($H$9:$Z$9="CO6")*ISNUMBER($H$10:$Z$10)*ISNUMBER(H111:Z111)*H111:Z111) /
         SUMPRODUCT(($H$9:$Z$9="CO6")*ISNUMBER($H$10:$Z$10)*ISNUMBER(H111:Z111)*$H$10:$Z$10) * 0.85
       )
     ) * 100,
     ""
   )
)</f>
        <v/>
      </c>
      <c r="AG111" s="1" t="str" cm="1">
        <f t="array" ref="AG111">IF(
   SUMPRODUCT(($C$9:$G$9="CO7")*ISNUMBER($C$10:$G$10)*ISNUMBER(C111:G111)) +
   SUMPRODUCT(($H$9:$Z$9="CO7")*ISNUMBER($H$10:$Z$10)*ISNUMBER(H111:Z111)) = 0,
   "",
   IFERROR(
     (
       IF(
         SUMPRODUCT(($C$9:$G$9="CO7")*ISNUMBER($C$10:$G$10)*ISNUMBER(C111:G111)) = 0,
         0,
         SUMPRODUCT(($C$9:$G$9="CO7")*ISNUMBER($C$10:$G$10)*ISNUMBER(C111:G111)*C111:G111) /
         SUMPRODUCT(($C$9:$G$9="CO7")*ISNUMBER($C$10:$G$10)*ISNUMBER(C111:G111)*$C$10:$G$10) * 0.15
       ) +
       IF(
         SUMPRODUCT(($H$9:$Z$9="CO7")*ISNUMBER($H$10:$Z$10)*ISNUMBER(H111:Z111)) = 0,
         0,
         SUMPRODUCT(($H$9:$Z$9="CO7")*ISNUMBER($H$10:$Z$10)*ISNUMBER(H111:Z111)*H111:Z111) /
         SUMPRODUCT(($H$9:$Z$9="CO7")*ISNUMBER($H$10:$Z$10)*ISNUMBER(H111:Z111)*$H$10:$Z$10) * 0.85
       )
     ) * 100,
     ""
   )
)</f>
        <v/>
      </c>
      <c r="AH111" s="3" t="str" cm="1">
        <f t="array" ref="AH111">IF(
   SUMPRODUCT(($C$9:$G$9="CO8")*ISNUMBER($C$10:$G$10)*ISNUMBER(C111:G111)) +
   SUMPRODUCT(($H$9:$Z$9="CO8")*ISNUMBER($H$10:$Z$10)*ISNUMBER(H111:Z111)) = 0,
   "",
   IFERROR(
     (
       IF(
         SUMPRODUCT(($C$9:$G$9="CO8")*ISNUMBER($C$10:$G$10)*ISNUMBER(C111:G111)) = 0,
         0,
         SUMPRODUCT(($C$9:$G$9="CO8")*ISNUMBER($C$10:$G$10)*ISNUMBER(C111:G111)*C111:G111) /
         SUMPRODUCT(($C$9:$G$9="CO8")*ISNUMBER($C$10:$G$10)*ISNUMBER(C111:G111)*$C$10:$G$10) * 0.15
       ) +
       IF(
         SUMPRODUCT(($H$9:$Z$9="CO8")*ISNUMBER($H$10:$Z$10)*ISNUMBER(H111:Z111)) = 0,
         0,
         SUMPRODUCT(($H$9:$Z$9="CO8")*ISNUMBER($H$10:$Z$10)*ISNUMBER(H111:Z111)*H111:Z111) /
         SUMPRODUCT(($H$9:$Z$9="CO8")*ISNUMBER($H$10:$Z$10)*ISNUMBER(H111:Z111)*$H$10:$Z$10) * 0.85
       )
     ) * 100,
     ""
   )
)</f>
        <v/>
      </c>
      <c r="AI111" s="1" t="str">
        <f t="shared" si="14"/>
        <v/>
      </c>
      <c r="AJ111" s="1" t="str">
        <f t="shared" si="15"/>
        <v/>
      </c>
      <c r="AK111" s="1" t="str">
        <f t="shared" si="16"/>
        <v/>
      </c>
      <c r="AL111" s="1" t="str">
        <f t="shared" si="13"/>
        <v/>
      </c>
      <c r="AM111" s="1" t="str">
        <f t="shared" si="13"/>
        <v/>
      </c>
      <c r="AN111" s="1" t="str">
        <f t="shared" si="13"/>
        <v/>
      </c>
      <c r="AO111" s="1" t="str">
        <f t="shared" si="13"/>
        <v/>
      </c>
      <c r="AP111" s="1" t="str">
        <f t="shared" si="13"/>
        <v/>
      </c>
    </row>
    <row r="112" spans="1:42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" t="str" cm="1">
        <f t="array" ref="AA112">IF(
   SUMPRODUCT(($C$9:$G$9="CO1")*ISNUMBER($C$10:$G$10)*ISNUMBER(C112:G112)) +
   SUMPRODUCT(($H$9:$Z$9="CO1")*ISNUMBER($H$10:$Z$10)*ISNUMBER(H112:Z112)) = 0,
   "",
   IFERROR(
     (
       IF(
         SUMPRODUCT(($C$9:$G$9="CO1")*ISNUMBER($C$10:$G$10)*ISNUMBER(C112:G112)) = 0,
         0,
         SUMPRODUCT(($C$9:$G$9="CO1")*ISNUMBER($C$10:$G$10)*ISNUMBER(C112:G112)*C112:G112) /
         SUMPRODUCT(($C$9:$G$9="CO1")*ISNUMBER($C$10:$G$10)*ISNUMBER(C112:G112)*$C$10:$G$10) * 0.15
       ) +
       IF(
         SUMPRODUCT(($H$9:$Z$9="CO1")*ISNUMBER($H$10:$Z$10)*ISNUMBER(H112:Z112)) = 0,
         0,
         SUMPRODUCT(($H$9:$Z$9="CO1")*ISNUMBER($H$10:$Z$10)*ISNUMBER(H112:Z112)*H112:Z112) /
         SUMPRODUCT(($H$9:$Z$9="CO1")*ISNUMBER($H$10:$Z$10)*ISNUMBER(H112:Z112)*$H$10:$Z$10) * 0.85
       )
     ) * 100,
     ""
   )
)</f>
        <v/>
      </c>
      <c r="AB112" s="1" t="str" cm="1">
        <f t="array" ref="AB112">IF(
   SUMPRODUCT(($C$9:$G$9="CO2")*ISNUMBER($C$10:$G$10)*ISNUMBER(C112:G112)) +
   SUMPRODUCT(($H$9:$Z$9="CO2")*ISNUMBER($H$10:$Z$10)*ISNUMBER(H112:Z112)) = 0,
   "",
   IFERROR(
     (
       IF(
         SUMPRODUCT(($C$9:$G$9="CO2")*ISNUMBER($C$10:$G$10)*ISNUMBER(C112:G112)) = 0,
         0,
         SUMPRODUCT(($C$9:$G$9="CO2")*ISNUMBER($C$10:$G$10)*ISNUMBER(C112:G112)*C112:G112) /
         SUMPRODUCT(($C$9:$G$9="CO2")*ISNUMBER($C$10:$G$10)*ISNUMBER(C112:G112)*$C$10:$G$10) * 0.15
       ) +
       IF(
         SUMPRODUCT(($H$9:$Z$9="CO2")*ISNUMBER($H$10:$Z$10)*ISNUMBER(H112:Z112)) = 0,
         0,
         SUMPRODUCT(($H$9:$Z$9="CO2")*ISNUMBER($H$10:$Z$10)*ISNUMBER(H112:Z112)*H112:Z112) /
         SUMPRODUCT(($H$9:$Z$9="CO2")*ISNUMBER($H$10:$Z$10)*ISNUMBER(H112:Z112)*$H$10:$Z$10) * 0.85
       )
     ) * 100,
     ""
   )
)</f>
        <v/>
      </c>
      <c r="AC112" s="1" t="str" cm="1">
        <f t="array" ref="AC112">IF(
   SUMPRODUCT(($C$9:$G$9="CO3")*ISNUMBER($C$10:$G$10)*ISNUMBER(C112:G112)) +
   SUMPRODUCT(($H$9:$Z$9="CO3")*ISNUMBER($H$10:$Z$10)*ISNUMBER(H112:Z112)) = 0,
   "",
   IFERROR(
     (
       IF(
         SUMPRODUCT(($C$9:$G$9="CO3")*ISNUMBER($C$10:$G$10)*ISNUMBER(C112:G112)) = 0,
         0,
         SUMPRODUCT(($C$9:$G$9="CO3")*ISNUMBER($C$10:$G$10)*ISNUMBER(C112:G112)*C112:G112) /
         SUMPRODUCT(($C$9:$G$9="CO3")*ISNUMBER($C$10:$G$10)*ISNUMBER(C112:G112)*$C$10:$G$10) * 0.15
       ) +
       IF(
         SUMPRODUCT(($H$9:$Z$9="CO3")*ISNUMBER($H$10:$Z$10)*ISNUMBER(H112:Z112)) = 0,
         0,
         SUMPRODUCT(($H$9:$Z$9="CO3")*ISNUMBER($H$10:$Z$10)*ISNUMBER(H112:Z112)*H112:Z112) /
         SUMPRODUCT(($H$9:$Z$9="CO3")*ISNUMBER($H$10:$Z$10)*ISNUMBER(H112:Z112)*$H$10:$Z$10) * 0.85
       )
     ) * 100,
     ""
   )
)</f>
        <v/>
      </c>
      <c r="AD112" s="1" t="str" cm="1">
        <f t="array" ref="AD112">IF(
   SUMPRODUCT(($C$9:$G$9="CO4")*ISNUMBER($C$10:$G$10)*ISNUMBER(C112:G112)) +
   SUMPRODUCT(($H$9:$Z$9="CO4")*ISNUMBER($H$10:$Z$10)*ISNUMBER(H112:Z112)) = 0,
   "",
   IFERROR(
     (
       IF(
         SUMPRODUCT(($C$9:$G$9="CO4")*ISNUMBER($C$10:$G$10)*ISNUMBER(C112:G112)) = 0,
         0,
         SUMPRODUCT(($C$9:$G$9="CO4")*ISNUMBER($C$10:$G$10)*ISNUMBER(C112:G112)*C112:G112) /
         SUMPRODUCT(($C$9:$G$9="CO4")*ISNUMBER($C$10:$G$10)*ISNUMBER(C112:G112)*$C$10:$G$10) * 0.15
       ) +
       IF(
         SUMPRODUCT(($H$9:$Z$9="CO4")*ISNUMBER($H$10:$Z$10)*ISNUMBER(H112:Z112)) = 0,
         0,
         SUMPRODUCT(($H$9:$Z$9="CO4")*ISNUMBER($H$10:$Z$10)*ISNUMBER(H112:Z112)*H112:Z112) /
         SUMPRODUCT(($H$9:$Z$9="CO4")*ISNUMBER($H$10:$Z$10)*ISNUMBER(H112:Z112)*$H$10:$Z$10) * 0.85
       )
     ) * 100,
     ""
   )
)</f>
        <v/>
      </c>
      <c r="AE112" s="1" t="str" cm="1">
        <f t="array" ref="AE112">IF(
   SUMPRODUCT(($C$9:$G$9="CO5")*ISNUMBER($C$10:$G$10)*ISNUMBER(C112:G112)) +
   SUMPRODUCT(($H$9:$Z$9="CO5")*ISNUMBER($H$10:$Z$10)*ISNUMBER(H112:Z112)) = 0,
   "",
   IFERROR(
     (
       IF(
         SUMPRODUCT(($C$9:$G$9="CO5")*ISNUMBER($C$10:$G$10)*ISNUMBER(C112:G112)) = 0,
         0,
         SUMPRODUCT(($C$9:$G$9="CO5")*ISNUMBER($C$10:$G$10)*ISNUMBER(C112:G112)*C112:G112) /
         SUMPRODUCT(($C$9:$G$9="CO5")*ISNUMBER($C$10:$G$10)*ISNUMBER(C112:G112)*$C$10:$G$10) * 0.15
       ) +
       IF(
         SUMPRODUCT(($H$9:$Z$9="CO5")*ISNUMBER($H$10:$Z$10)*ISNUMBER(H112:Z112)) = 0,
         0,
         SUMPRODUCT(($H$9:$Z$9="CO5")*ISNUMBER($H$10:$Z$10)*ISNUMBER(H112:Z112)*H112:Z112) /
         SUMPRODUCT(($H$9:$Z$9="CO5")*ISNUMBER($H$10:$Z$10)*ISNUMBER(H112:Z112)*$H$10:$Z$10) * 0.85
       )
     ) * 100,
     ""
   )
)</f>
        <v/>
      </c>
      <c r="AF112" s="1" t="str" cm="1">
        <f t="array" ref="AF112">IF(
   SUMPRODUCT(($C$9:$G$9="CO6")*ISNUMBER($C$10:$G$10)*ISNUMBER(C112:G112)) +
   SUMPRODUCT(($H$9:$Z$9="CO6")*ISNUMBER($H$10:$Z$10)*ISNUMBER(H112:Z112)) = 0,
   "",
   IFERROR(
     (
       IF(
         SUMPRODUCT(($C$9:$G$9="CO6")*ISNUMBER($C$10:$G$10)*ISNUMBER(C112:G112)) = 0,
         0,
         SUMPRODUCT(($C$9:$G$9="CO6")*ISNUMBER($C$10:$G$10)*ISNUMBER(C112:G112)*C112:G112) /
         SUMPRODUCT(($C$9:$G$9="CO6")*ISNUMBER($C$10:$G$10)*ISNUMBER(C112:G112)*$C$10:$G$10) * 0.15
       ) +
       IF(
         SUMPRODUCT(($H$9:$Z$9="CO6")*ISNUMBER($H$10:$Z$10)*ISNUMBER(H112:Z112)) = 0,
         0,
         SUMPRODUCT(($H$9:$Z$9="CO6")*ISNUMBER($H$10:$Z$10)*ISNUMBER(H112:Z112)*H112:Z112) /
         SUMPRODUCT(($H$9:$Z$9="CO6")*ISNUMBER($H$10:$Z$10)*ISNUMBER(H112:Z112)*$H$10:$Z$10) * 0.85
       )
     ) * 100,
     ""
   )
)</f>
        <v/>
      </c>
      <c r="AG112" s="1" t="str" cm="1">
        <f t="array" ref="AG112">IF(
   SUMPRODUCT(($C$9:$G$9="CO7")*ISNUMBER($C$10:$G$10)*ISNUMBER(C112:G112)) +
   SUMPRODUCT(($H$9:$Z$9="CO7")*ISNUMBER($H$10:$Z$10)*ISNUMBER(H112:Z112)) = 0,
   "",
   IFERROR(
     (
       IF(
         SUMPRODUCT(($C$9:$G$9="CO7")*ISNUMBER($C$10:$G$10)*ISNUMBER(C112:G112)) = 0,
         0,
         SUMPRODUCT(($C$9:$G$9="CO7")*ISNUMBER($C$10:$G$10)*ISNUMBER(C112:G112)*C112:G112) /
         SUMPRODUCT(($C$9:$G$9="CO7")*ISNUMBER($C$10:$G$10)*ISNUMBER(C112:G112)*$C$10:$G$10) * 0.15
       ) +
       IF(
         SUMPRODUCT(($H$9:$Z$9="CO7")*ISNUMBER($H$10:$Z$10)*ISNUMBER(H112:Z112)) = 0,
         0,
         SUMPRODUCT(($H$9:$Z$9="CO7")*ISNUMBER($H$10:$Z$10)*ISNUMBER(H112:Z112)*H112:Z112) /
         SUMPRODUCT(($H$9:$Z$9="CO7")*ISNUMBER($H$10:$Z$10)*ISNUMBER(H112:Z112)*$H$10:$Z$10) * 0.85
       )
     ) * 100,
     ""
   )
)</f>
        <v/>
      </c>
      <c r="AH112" s="3" t="str" cm="1">
        <f t="array" ref="AH112">IF(
   SUMPRODUCT(($C$9:$G$9="CO8")*ISNUMBER($C$10:$G$10)*ISNUMBER(C112:G112)) +
   SUMPRODUCT(($H$9:$Z$9="CO8")*ISNUMBER($H$10:$Z$10)*ISNUMBER(H112:Z112)) = 0,
   "",
   IFERROR(
     (
       IF(
         SUMPRODUCT(($C$9:$G$9="CO8")*ISNUMBER($C$10:$G$10)*ISNUMBER(C112:G112)) = 0,
         0,
         SUMPRODUCT(($C$9:$G$9="CO8")*ISNUMBER($C$10:$G$10)*ISNUMBER(C112:G112)*C112:G112) /
         SUMPRODUCT(($C$9:$G$9="CO8")*ISNUMBER($C$10:$G$10)*ISNUMBER(C112:G112)*$C$10:$G$10) * 0.15
       ) +
       IF(
         SUMPRODUCT(($H$9:$Z$9="CO8")*ISNUMBER($H$10:$Z$10)*ISNUMBER(H112:Z112)) = 0,
         0,
         SUMPRODUCT(($H$9:$Z$9="CO8")*ISNUMBER($H$10:$Z$10)*ISNUMBER(H112:Z112)*H112:Z112) /
         SUMPRODUCT(($H$9:$Z$9="CO8")*ISNUMBER($H$10:$Z$10)*ISNUMBER(H112:Z112)*$H$10:$Z$10) * 0.85
       )
     ) * 100,
     ""
   )
)</f>
        <v/>
      </c>
      <c r="AI112" s="1" t="str">
        <f t="shared" si="14"/>
        <v/>
      </c>
      <c r="AJ112" s="1" t="str">
        <f t="shared" si="15"/>
        <v/>
      </c>
      <c r="AK112" s="1" t="str">
        <f t="shared" si="16"/>
        <v/>
      </c>
      <c r="AL112" s="1" t="str">
        <f t="shared" si="13"/>
        <v/>
      </c>
      <c r="AM112" s="1" t="str">
        <f t="shared" si="13"/>
        <v/>
      </c>
      <c r="AN112" s="1" t="str">
        <f t="shared" si="13"/>
        <v/>
      </c>
      <c r="AO112" s="1" t="str">
        <f t="shared" si="13"/>
        <v/>
      </c>
      <c r="AP112" s="1" t="str">
        <f t="shared" si="13"/>
        <v/>
      </c>
    </row>
    <row r="113" spans="1:42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" t="str" cm="1">
        <f t="array" ref="AA113">IF(
   SUMPRODUCT(($C$9:$G$9="CO1")*ISNUMBER($C$10:$G$10)*ISNUMBER(C113:G113)) +
   SUMPRODUCT(($H$9:$Z$9="CO1")*ISNUMBER($H$10:$Z$10)*ISNUMBER(H113:Z113)) = 0,
   "",
   IFERROR(
     (
       IF(
         SUMPRODUCT(($C$9:$G$9="CO1")*ISNUMBER($C$10:$G$10)*ISNUMBER(C113:G113)) = 0,
         0,
         SUMPRODUCT(($C$9:$G$9="CO1")*ISNUMBER($C$10:$G$10)*ISNUMBER(C113:G113)*C113:G113) /
         SUMPRODUCT(($C$9:$G$9="CO1")*ISNUMBER($C$10:$G$10)*ISNUMBER(C113:G113)*$C$10:$G$10) * 0.15
       ) +
       IF(
         SUMPRODUCT(($H$9:$Z$9="CO1")*ISNUMBER($H$10:$Z$10)*ISNUMBER(H113:Z113)) = 0,
         0,
         SUMPRODUCT(($H$9:$Z$9="CO1")*ISNUMBER($H$10:$Z$10)*ISNUMBER(H113:Z113)*H113:Z113) /
         SUMPRODUCT(($H$9:$Z$9="CO1")*ISNUMBER($H$10:$Z$10)*ISNUMBER(H113:Z113)*$H$10:$Z$10) * 0.85
       )
     ) * 100,
     ""
   )
)</f>
        <v/>
      </c>
      <c r="AB113" s="1" t="str" cm="1">
        <f t="array" ref="AB113">IF(
   SUMPRODUCT(($C$9:$G$9="CO2")*ISNUMBER($C$10:$G$10)*ISNUMBER(C113:G113)) +
   SUMPRODUCT(($H$9:$Z$9="CO2")*ISNUMBER($H$10:$Z$10)*ISNUMBER(H113:Z113)) = 0,
   "",
   IFERROR(
     (
       IF(
         SUMPRODUCT(($C$9:$G$9="CO2")*ISNUMBER($C$10:$G$10)*ISNUMBER(C113:G113)) = 0,
         0,
         SUMPRODUCT(($C$9:$G$9="CO2")*ISNUMBER($C$10:$G$10)*ISNUMBER(C113:G113)*C113:G113) /
         SUMPRODUCT(($C$9:$G$9="CO2")*ISNUMBER($C$10:$G$10)*ISNUMBER(C113:G113)*$C$10:$G$10) * 0.15
       ) +
       IF(
         SUMPRODUCT(($H$9:$Z$9="CO2")*ISNUMBER($H$10:$Z$10)*ISNUMBER(H113:Z113)) = 0,
         0,
         SUMPRODUCT(($H$9:$Z$9="CO2")*ISNUMBER($H$10:$Z$10)*ISNUMBER(H113:Z113)*H113:Z113) /
         SUMPRODUCT(($H$9:$Z$9="CO2")*ISNUMBER($H$10:$Z$10)*ISNUMBER(H113:Z113)*$H$10:$Z$10) * 0.85
       )
     ) * 100,
     ""
   )
)</f>
        <v/>
      </c>
      <c r="AC113" s="1" t="str" cm="1">
        <f t="array" ref="AC113">IF(
   SUMPRODUCT(($C$9:$G$9="CO3")*ISNUMBER($C$10:$G$10)*ISNUMBER(C113:G113)) +
   SUMPRODUCT(($H$9:$Z$9="CO3")*ISNUMBER($H$10:$Z$10)*ISNUMBER(H113:Z113)) = 0,
   "",
   IFERROR(
     (
       IF(
         SUMPRODUCT(($C$9:$G$9="CO3")*ISNUMBER($C$10:$G$10)*ISNUMBER(C113:G113)) = 0,
         0,
         SUMPRODUCT(($C$9:$G$9="CO3")*ISNUMBER($C$10:$G$10)*ISNUMBER(C113:G113)*C113:G113) /
         SUMPRODUCT(($C$9:$G$9="CO3")*ISNUMBER($C$10:$G$10)*ISNUMBER(C113:G113)*$C$10:$G$10) * 0.15
       ) +
       IF(
         SUMPRODUCT(($H$9:$Z$9="CO3")*ISNUMBER($H$10:$Z$10)*ISNUMBER(H113:Z113)) = 0,
         0,
         SUMPRODUCT(($H$9:$Z$9="CO3")*ISNUMBER($H$10:$Z$10)*ISNUMBER(H113:Z113)*H113:Z113) /
         SUMPRODUCT(($H$9:$Z$9="CO3")*ISNUMBER($H$10:$Z$10)*ISNUMBER(H113:Z113)*$H$10:$Z$10) * 0.85
       )
     ) * 100,
     ""
   )
)</f>
        <v/>
      </c>
      <c r="AD113" s="1" t="str" cm="1">
        <f t="array" ref="AD113">IF(
   SUMPRODUCT(($C$9:$G$9="CO4")*ISNUMBER($C$10:$G$10)*ISNUMBER(C113:G113)) +
   SUMPRODUCT(($H$9:$Z$9="CO4")*ISNUMBER($H$10:$Z$10)*ISNUMBER(H113:Z113)) = 0,
   "",
   IFERROR(
     (
       IF(
         SUMPRODUCT(($C$9:$G$9="CO4")*ISNUMBER($C$10:$G$10)*ISNUMBER(C113:G113)) = 0,
         0,
         SUMPRODUCT(($C$9:$G$9="CO4")*ISNUMBER($C$10:$G$10)*ISNUMBER(C113:G113)*C113:G113) /
         SUMPRODUCT(($C$9:$G$9="CO4")*ISNUMBER($C$10:$G$10)*ISNUMBER(C113:G113)*$C$10:$G$10) * 0.15
       ) +
       IF(
         SUMPRODUCT(($H$9:$Z$9="CO4")*ISNUMBER($H$10:$Z$10)*ISNUMBER(H113:Z113)) = 0,
         0,
         SUMPRODUCT(($H$9:$Z$9="CO4")*ISNUMBER($H$10:$Z$10)*ISNUMBER(H113:Z113)*H113:Z113) /
         SUMPRODUCT(($H$9:$Z$9="CO4")*ISNUMBER($H$10:$Z$10)*ISNUMBER(H113:Z113)*$H$10:$Z$10) * 0.85
       )
     ) * 100,
     ""
   )
)</f>
        <v/>
      </c>
      <c r="AE113" s="1" t="str" cm="1">
        <f t="array" ref="AE113">IF(
   SUMPRODUCT(($C$9:$G$9="CO5")*ISNUMBER($C$10:$G$10)*ISNUMBER(C113:G113)) +
   SUMPRODUCT(($H$9:$Z$9="CO5")*ISNUMBER($H$10:$Z$10)*ISNUMBER(H113:Z113)) = 0,
   "",
   IFERROR(
     (
       IF(
         SUMPRODUCT(($C$9:$G$9="CO5")*ISNUMBER($C$10:$G$10)*ISNUMBER(C113:G113)) = 0,
         0,
         SUMPRODUCT(($C$9:$G$9="CO5")*ISNUMBER($C$10:$G$10)*ISNUMBER(C113:G113)*C113:G113) /
         SUMPRODUCT(($C$9:$G$9="CO5")*ISNUMBER($C$10:$G$10)*ISNUMBER(C113:G113)*$C$10:$G$10) * 0.15
       ) +
       IF(
         SUMPRODUCT(($H$9:$Z$9="CO5")*ISNUMBER($H$10:$Z$10)*ISNUMBER(H113:Z113)) = 0,
         0,
         SUMPRODUCT(($H$9:$Z$9="CO5")*ISNUMBER($H$10:$Z$10)*ISNUMBER(H113:Z113)*H113:Z113) /
         SUMPRODUCT(($H$9:$Z$9="CO5")*ISNUMBER($H$10:$Z$10)*ISNUMBER(H113:Z113)*$H$10:$Z$10) * 0.85
       )
     ) * 100,
     ""
   )
)</f>
        <v/>
      </c>
      <c r="AF113" s="1" t="str" cm="1">
        <f t="array" ref="AF113">IF(
   SUMPRODUCT(($C$9:$G$9="CO6")*ISNUMBER($C$10:$G$10)*ISNUMBER(C113:G113)) +
   SUMPRODUCT(($H$9:$Z$9="CO6")*ISNUMBER($H$10:$Z$10)*ISNUMBER(H113:Z113)) = 0,
   "",
   IFERROR(
     (
       IF(
         SUMPRODUCT(($C$9:$G$9="CO6")*ISNUMBER($C$10:$G$10)*ISNUMBER(C113:G113)) = 0,
         0,
         SUMPRODUCT(($C$9:$G$9="CO6")*ISNUMBER($C$10:$G$10)*ISNUMBER(C113:G113)*C113:G113) /
         SUMPRODUCT(($C$9:$G$9="CO6")*ISNUMBER($C$10:$G$10)*ISNUMBER(C113:G113)*$C$10:$G$10) * 0.15
       ) +
       IF(
         SUMPRODUCT(($H$9:$Z$9="CO6")*ISNUMBER($H$10:$Z$10)*ISNUMBER(H113:Z113)) = 0,
         0,
         SUMPRODUCT(($H$9:$Z$9="CO6")*ISNUMBER($H$10:$Z$10)*ISNUMBER(H113:Z113)*H113:Z113) /
         SUMPRODUCT(($H$9:$Z$9="CO6")*ISNUMBER($H$10:$Z$10)*ISNUMBER(H113:Z113)*$H$10:$Z$10) * 0.85
       )
     ) * 100,
     ""
   )
)</f>
        <v/>
      </c>
      <c r="AG113" s="1" t="str" cm="1">
        <f t="array" ref="AG113">IF(
   SUMPRODUCT(($C$9:$G$9="CO7")*ISNUMBER($C$10:$G$10)*ISNUMBER(C113:G113)) +
   SUMPRODUCT(($H$9:$Z$9="CO7")*ISNUMBER($H$10:$Z$10)*ISNUMBER(H113:Z113)) = 0,
   "",
   IFERROR(
     (
       IF(
         SUMPRODUCT(($C$9:$G$9="CO7")*ISNUMBER($C$10:$G$10)*ISNUMBER(C113:G113)) = 0,
         0,
         SUMPRODUCT(($C$9:$G$9="CO7")*ISNUMBER($C$10:$G$10)*ISNUMBER(C113:G113)*C113:G113) /
         SUMPRODUCT(($C$9:$G$9="CO7")*ISNUMBER($C$10:$G$10)*ISNUMBER(C113:G113)*$C$10:$G$10) * 0.15
       ) +
       IF(
         SUMPRODUCT(($H$9:$Z$9="CO7")*ISNUMBER($H$10:$Z$10)*ISNUMBER(H113:Z113)) = 0,
         0,
         SUMPRODUCT(($H$9:$Z$9="CO7")*ISNUMBER($H$10:$Z$10)*ISNUMBER(H113:Z113)*H113:Z113) /
         SUMPRODUCT(($H$9:$Z$9="CO7")*ISNUMBER($H$10:$Z$10)*ISNUMBER(H113:Z113)*$H$10:$Z$10) * 0.85
       )
     ) * 100,
     ""
   )
)</f>
        <v/>
      </c>
      <c r="AH113" s="3" t="str" cm="1">
        <f t="array" ref="AH113">IF(
   SUMPRODUCT(($C$9:$G$9="CO8")*ISNUMBER($C$10:$G$10)*ISNUMBER(C113:G113)) +
   SUMPRODUCT(($H$9:$Z$9="CO8")*ISNUMBER($H$10:$Z$10)*ISNUMBER(H113:Z113)) = 0,
   "",
   IFERROR(
     (
       IF(
         SUMPRODUCT(($C$9:$G$9="CO8")*ISNUMBER($C$10:$G$10)*ISNUMBER(C113:G113)) = 0,
         0,
         SUMPRODUCT(($C$9:$G$9="CO8")*ISNUMBER($C$10:$G$10)*ISNUMBER(C113:G113)*C113:G113) /
         SUMPRODUCT(($C$9:$G$9="CO8")*ISNUMBER($C$10:$G$10)*ISNUMBER(C113:G113)*$C$10:$G$10) * 0.15
       ) +
       IF(
         SUMPRODUCT(($H$9:$Z$9="CO8")*ISNUMBER($H$10:$Z$10)*ISNUMBER(H113:Z113)) = 0,
         0,
         SUMPRODUCT(($H$9:$Z$9="CO8")*ISNUMBER($H$10:$Z$10)*ISNUMBER(H113:Z113)*H113:Z113) /
         SUMPRODUCT(($H$9:$Z$9="CO8")*ISNUMBER($H$10:$Z$10)*ISNUMBER(H113:Z113)*$H$10:$Z$10) * 0.85
       )
     ) * 100,
     ""
   )
)</f>
        <v/>
      </c>
      <c r="AI113" s="1" t="str">
        <f t="shared" si="14"/>
        <v/>
      </c>
      <c r="AJ113" s="1" t="str">
        <f t="shared" si="15"/>
        <v/>
      </c>
      <c r="AK113" s="1" t="str">
        <f t="shared" si="16"/>
        <v/>
      </c>
      <c r="AL113" s="1" t="str">
        <f t="shared" si="13"/>
        <v/>
      </c>
      <c r="AM113" s="1" t="str">
        <f t="shared" si="13"/>
        <v/>
      </c>
      <c r="AN113" s="1" t="str">
        <f t="shared" si="13"/>
        <v/>
      </c>
      <c r="AO113" s="1" t="str">
        <f t="shared" si="13"/>
        <v/>
      </c>
      <c r="AP113" s="1" t="str">
        <f t="shared" si="13"/>
        <v/>
      </c>
    </row>
    <row r="114" spans="1:42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" t="str" cm="1">
        <f t="array" ref="AA114">IF(
   SUMPRODUCT(($C$9:$G$9="CO1")*ISNUMBER($C$10:$G$10)*ISNUMBER(C114:G114)) +
   SUMPRODUCT(($H$9:$Z$9="CO1")*ISNUMBER($H$10:$Z$10)*ISNUMBER(H114:Z114)) = 0,
   "",
   IFERROR(
     (
       IF(
         SUMPRODUCT(($C$9:$G$9="CO1")*ISNUMBER($C$10:$G$10)*ISNUMBER(C114:G114)) = 0,
         0,
         SUMPRODUCT(($C$9:$G$9="CO1")*ISNUMBER($C$10:$G$10)*ISNUMBER(C114:G114)*C114:G114) /
         SUMPRODUCT(($C$9:$G$9="CO1")*ISNUMBER($C$10:$G$10)*ISNUMBER(C114:G114)*$C$10:$G$10) * 0.15
       ) +
       IF(
         SUMPRODUCT(($H$9:$Z$9="CO1")*ISNUMBER($H$10:$Z$10)*ISNUMBER(H114:Z114)) = 0,
         0,
         SUMPRODUCT(($H$9:$Z$9="CO1")*ISNUMBER($H$10:$Z$10)*ISNUMBER(H114:Z114)*H114:Z114) /
         SUMPRODUCT(($H$9:$Z$9="CO1")*ISNUMBER($H$10:$Z$10)*ISNUMBER(H114:Z114)*$H$10:$Z$10) * 0.85
       )
     ) * 100,
     ""
   )
)</f>
        <v/>
      </c>
      <c r="AB114" s="1" t="str" cm="1">
        <f t="array" ref="AB114">IF(
   SUMPRODUCT(($C$9:$G$9="CO2")*ISNUMBER($C$10:$G$10)*ISNUMBER(C114:G114)) +
   SUMPRODUCT(($H$9:$Z$9="CO2")*ISNUMBER($H$10:$Z$10)*ISNUMBER(H114:Z114)) = 0,
   "",
   IFERROR(
     (
       IF(
         SUMPRODUCT(($C$9:$G$9="CO2")*ISNUMBER($C$10:$G$10)*ISNUMBER(C114:G114)) = 0,
         0,
         SUMPRODUCT(($C$9:$G$9="CO2")*ISNUMBER($C$10:$G$10)*ISNUMBER(C114:G114)*C114:G114) /
         SUMPRODUCT(($C$9:$G$9="CO2")*ISNUMBER($C$10:$G$10)*ISNUMBER(C114:G114)*$C$10:$G$10) * 0.15
       ) +
       IF(
         SUMPRODUCT(($H$9:$Z$9="CO2")*ISNUMBER($H$10:$Z$10)*ISNUMBER(H114:Z114)) = 0,
         0,
         SUMPRODUCT(($H$9:$Z$9="CO2")*ISNUMBER($H$10:$Z$10)*ISNUMBER(H114:Z114)*H114:Z114) /
         SUMPRODUCT(($H$9:$Z$9="CO2")*ISNUMBER($H$10:$Z$10)*ISNUMBER(H114:Z114)*$H$10:$Z$10) * 0.85
       )
     ) * 100,
     ""
   )
)</f>
        <v/>
      </c>
      <c r="AC114" s="1" t="str" cm="1">
        <f t="array" ref="AC114">IF(
   SUMPRODUCT(($C$9:$G$9="CO3")*ISNUMBER($C$10:$G$10)*ISNUMBER(C114:G114)) +
   SUMPRODUCT(($H$9:$Z$9="CO3")*ISNUMBER($H$10:$Z$10)*ISNUMBER(H114:Z114)) = 0,
   "",
   IFERROR(
     (
       IF(
         SUMPRODUCT(($C$9:$G$9="CO3")*ISNUMBER($C$10:$G$10)*ISNUMBER(C114:G114)) = 0,
         0,
         SUMPRODUCT(($C$9:$G$9="CO3")*ISNUMBER($C$10:$G$10)*ISNUMBER(C114:G114)*C114:G114) /
         SUMPRODUCT(($C$9:$G$9="CO3")*ISNUMBER($C$10:$G$10)*ISNUMBER(C114:G114)*$C$10:$G$10) * 0.15
       ) +
       IF(
         SUMPRODUCT(($H$9:$Z$9="CO3")*ISNUMBER($H$10:$Z$10)*ISNUMBER(H114:Z114)) = 0,
         0,
         SUMPRODUCT(($H$9:$Z$9="CO3")*ISNUMBER($H$10:$Z$10)*ISNUMBER(H114:Z114)*H114:Z114) /
         SUMPRODUCT(($H$9:$Z$9="CO3")*ISNUMBER($H$10:$Z$10)*ISNUMBER(H114:Z114)*$H$10:$Z$10) * 0.85
       )
     ) * 100,
     ""
   )
)</f>
        <v/>
      </c>
      <c r="AD114" s="1" t="str" cm="1">
        <f t="array" ref="AD114">IF(
   SUMPRODUCT(($C$9:$G$9="CO4")*ISNUMBER($C$10:$G$10)*ISNUMBER(C114:G114)) +
   SUMPRODUCT(($H$9:$Z$9="CO4")*ISNUMBER($H$10:$Z$10)*ISNUMBER(H114:Z114)) = 0,
   "",
   IFERROR(
     (
       IF(
         SUMPRODUCT(($C$9:$G$9="CO4")*ISNUMBER($C$10:$G$10)*ISNUMBER(C114:G114)) = 0,
         0,
         SUMPRODUCT(($C$9:$G$9="CO4")*ISNUMBER($C$10:$G$10)*ISNUMBER(C114:G114)*C114:G114) /
         SUMPRODUCT(($C$9:$G$9="CO4")*ISNUMBER($C$10:$G$10)*ISNUMBER(C114:G114)*$C$10:$G$10) * 0.15
       ) +
       IF(
         SUMPRODUCT(($H$9:$Z$9="CO4")*ISNUMBER($H$10:$Z$10)*ISNUMBER(H114:Z114)) = 0,
         0,
         SUMPRODUCT(($H$9:$Z$9="CO4")*ISNUMBER($H$10:$Z$10)*ISNUMBER(H114:Z114)*H114:Z114) /
         SUMPRODUCT(($H$9:$Z$9="CO4")*ISNUMBER($H$10:$Z$10)*ISNUMBER(H114:Z114)*$H$10:$Z$10) * 0.85
       )
     ) * 100,
     ""
   )
)</f>
        <v/>
      </c>
      <c r="AE114" s="1" t="str" cm="1">
        <f t="array" ref="AE114">IF(
   SUMPRODUCT(($C$9:$G$9="CO5")*ISNUMBER($C$10:$G$10)*ISNUMBER(C114:G114)) +
   SUMPRODUCT(($H$9:$Z$9="CO5")*ISNUMBER($H$10:$Z$10)*ISNUMBER(H114:Z114)) = 0,
   "",
   IFERROR(
     (
       IF(
         SUMPRODUCT(($C$9:$G$9="CO5")*ISNUMBER($C$10:$G$10)*ISNUMBER(C114:G114)) = 0,
         0,
         SUMPRODUCT(($C$9:$G$9="CO5")*ISNUMBER($C$10:$G$10)*ISNUMBER(C114:G114)*C114:G114) /
         SUMPRODUCT(($C$9:$G$9="CO5")*ISNUMBER($C$10:$G$10)*ISNUMBER(C114:G114)*$C$10:$G$10) * 0.15
       ) +
       IF(
         SUMPRODUCT(($H$9:$Z$9="CO5")*ISNUMBER($H$10:$Z$10)*ISNUMBER(H114:Z114)) = 0,
         0,
         SUMPRODUCT(($H$9:$Z$9="CO5")*ISNUMBER($H$10:$Z$10)*ISNUMBER(H114:Z114)*H114:Z114) /
         SUMPRODUCT(($H$9:$Z$9="CO5")*ISNUMBER($H$10:$Z$10)*ISNUMBER(H114:Z114)*$H$10:$Z$10) * 0.85
       )
     ) * 100,
     ""
   )
)</f>
        <v/>
      </c>
      <c r="AF114" s="1" t="str" cm="1">
        <f t="array" ref="AF114">IF(
   SUMPRODUCT(($C$9:$G$9="CO6")*ISNUMBER($C$10:$G$10)*ISNUMBER(C114:G114)) +
   SUMPRODUCT(($H$9:$Z$9="CO6")*ISNUMBER($H$10:$Z$10)*ISNUMBER(H114:Z114)) = 0,
   "",
   IFERROR(
     (
       IF(
         SUMPRODUCT(($C$9:$G$9="CO6")*ISNUMBER($C$10:$G$10)*ISNUMBER(C114:G114)) = 0,
         0,
         SUMPRODUCT(($C$9:$G$9="CO6")*ISNUMBER($C$10:$G$10)*ISNUMBER(C114:G114)*C114:G114) /
         SUMPRODUCT(($C$9:$G$9="CO6")*ISNUMBER($C$10:$G$10)*ISNUMBER(C114:G114)*$C$10:$G$10) * 0.15
       ) +
       IF(
         SUMPRODUCT(($H$9:$Z$9="CO6")*ISNUMBER($H$10:$Z$10)*ISNUMBER(H114:Z114)) = 0,
         0,
         SUMPRODUCT(($H$9:$Z$9="CO6")*ISNUMBER($H$10:$Z$10)*ISNUMBER(H114:Z114)*H114:Z114) /
         SUMPRODUCT(($H$9:$Z$9="CO6")*ISNUMBER($H$10:$Z$10)*ISNUMBER(H114:Z114)*$H$10:$Z$10) * 0.85
       )
     ) * 100,
     ""
   )
)</f>
        <v/>
      </c>
      <c r="AG114" s="1" t="str" cm="1">
        <f t="array" ref="AG114">IF(
   SUMPRODUCT(($C$9:$G$9="CO7")*ISNUMBER($C$10:$G$10)*ISNUMBER(C114:G114)) +
   SUMPRODUCT(($H$9:$Z$9="CO7")*ISNUMBER($H$10:$Z$10)*ISNUMBER(H114:Z114)) = 0,
   "",
   IFERROR(
     (
       IF(
         SUMPRODUCT(($C$9:$G$9="CO7")*ISNUMBER($C$10:$G$10)*ISNUMBER(C114:G114)) = 0,
         0,
         SUMPRODUCT(($C$9:$G$9="CO7")*ISNUMBER($C$10:$G$10)*ISNUMBER(C114:G114)*C114:G114) /
         SUMPRODUCT(($C$9:$G$9="CO7")*ISNUMBER($C$10:$G$10)*ISNUMBER(C114:G114)*$C$10:$G$10) * 0.15
       ) +
       IF(
         SUMPRODUCT(($H$9:$Z$9="CO7")*ISNUMBER($H$10:$Z$10)*ISNUMBER(H114:Z114)) = 0,
         0,
         SUMPRODUCT(($H$9:$Z$9="CO7")*ISNUMBER($H$10:$Z$10)*ISNUMBER(H114:Z114)*H114:Z114) /
         SUMPRODUCT(($H$9:$Z$9="CO7")*ISNUMBER($H$10:$Z$10)*ISNUMBER(H114:Z114)*$H$10:$Z$10) * 0.85
       )
     ) * 100,
     ""
   )
)</f>
        <v/>
      </c>
      <c r="AH114" s="3" t="str" cm="1">
        <f t="array" ref="AH114">IF(
   SUMPRODUCT(($C$9:$G$9="CO8")*ISNUMBER($C$10:$G$10)*ISNUMBER(C114:G114)) +
   SUMPRODUCT(($H$9:$Z$9="CO8")*ISNUMBER($H$10:$Z$10)*ISNUMBER(H114:Z114)) = 0,
   "",
   IFERROR(
     (
       IF(
         SUMPRODUCT(($C$9:$G$9="CO8")*ISNUMBER($C$10:$G$10)*ISNUMBER(C114:G114)) = 0,
         0,
         SUMPRODUCT(($C$9:$G$9="CO8")*ISNUMBER($C$10:$G$10)*ISNUMBER(C114:G114)*C114:G114) /
         SUMPRODUCT(($C$9:$G$9="CO8")*ISNUMBER($C$10:$G$10)*ISNUMBER(C114:G114)*$C$10:$G$10) * 0.15
       ) +
       IF(
         SUMPRODUCT(($H$9:$Z$9="CO8")*ISNUMBER($H$10:$Z$10)*ISNUMBER(H114:Z114)) = 0,
         0,
         SUMPRODUCT(($H$9:$Z$9="CO8")*ISNUMBER($H$10:$Z$10)*ISNUMBER(H114:Z114)*H114:Z114) /
         SUMPRODUCT(($H$9:$Z$9="CO8")*ISNUMBER($H$10:$Z$10)*ISNUMBER(H114:Z114)*$H$10:$Z$10) * 0.85
       )
     ) * 100,
     ""
   )
)</f>
        <v/>
      </c>
      <c r="AI114" s="1" t="str">
        <f t="shared" ref="AI114:AP153" si="17">IF(AA114="", "", IF(AA114&lt;40, "F", IF(AA114&lt;50, "P", IF(AA114&lt;60, "S", IF(AA114&lt;70, "First", "D")))))</f>
        <v/>
      </c>
      <c r="AJ114" s="1" t="str">
        <f t="shared" si="17"/>
        <v/>
      </c>
      <c r="AK114" s="1" t="str">
        <f t="shared" si="17"/>
        <v/>
      </c>
      <c r="AL114" s="1" t="str">
        <f t="shared" si="13"/>
        <v/>
      </c>
      <c r="AM114" s="1" t="str">
        <f t="shared" si="13"/>
        <v/>
      </c>
      <c r="AN114" s="1" t="str">
        <f t="shared" si="13"/>
        <v/>
      </c>
      <c r="AO114" s="1" t="str">
        <f t="shared" si="13"/>
        <v/>
      </c>
      <c r="AP114" s="1" t="str">
        <f t="shared" si="13"/>
        <v/>
      </c>
    </row>
    <row r="115" spans="1:42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" t="str" cm="1">
        <f t="array" ref="AA115">IF(
   SUMPRODUCT(($C$9:$G$9="CO1")*ISNUMBER($C$10:$G$10)*ISNUMBER(C115:G115)) +
   SUMPRODUCT(($H$9:$Z$9="CO1")*ISNUMBER($H$10:$Z$10)*ISNUMBER(H115:Z115)) = 0,
   "",
   IFERROR(
     (
       IF(
         SUMPRODUCT(($C$9:$G$9="CO1")*ISNUMBER($C$10:$G$10)*ISNUMBER(C115:G115)) = 0,
         0,
         SUMPRODUCT(($C$9:$G$9="CO1")*ISNUMBER($C$10:$G$10)*ISNUMBER(C115:G115)*C115:G115) /
         SUMPRODUCT(($C$9:$G$9="CO1")*ISNUMBER($C$10:$G$10)*ISNUMBER(C115:G115)*$C$10:$G$10) * 0.15
       ) +
       IF(
         SUMPRODUCT(($H$9:$Z$9="CO1")*ISNUMBER($H$10:$Z$10)*ISNUMBER(H115:Z115)) = 0,
         0,
         SUMPRODUCT(($H$9:$Z$9="CO1")*ISNUMBER($H$10:$Z$10)*ISNUMBER(H115:Z115)*H115:Z115) /
         SUMPRODUCT(($H$9:$Z$9="CO1")*ISNUMBER($H$10:$Z$10)*ISNUMBER(H115:Z115)*$H$10:$Z$10) * 0.85
       )
     ) * 100,
     ""
   )
)</f>
        <v/>
      </c>
      <c r="AB115" s="1" t="str" cm="1">
        <f t="array" ref="AB115">IF(
   SUMPRODUCT(($C$9:$G$9="CO2")*ISNUMBER($C$10:$G$10)*ISNUMBER(C115:G115)) +
   SUMPRODUCT(($H$9:$Z$9="CO2")*ISNUMBER($H$10:$Z$10)*ISNUMBER(H115:Z115)) = 0,
   "",
   IFERROR(
     (
       IF(
         SUMPRODUCT(($C$9:$G$9="CO2")*ISNUMBER($C$10:$G$10)*ISNUMBER(C115:G115)) = 0,
         0,
         SUMPRODUCT(($C$9:$G$9="CO2")*ISNUMBER($C$10:$G$10)*ISNUMBER(C115:G115)*C115:G115) /
         SUMPRODUCT(($C$9:$G$9="CO2")*ISNUMBER($C$10:$G$10)*ISNUMBER(C115:G115)*$C$10:$G$10) * 0.15
       ) +
       IF(
         SUMPRODUCT(($H$9:$Z$9="CO2")*ISNUMBER($H$10:$Z$10)*ISNUMBER(H115:Z115)) = 0,
         0,
         SUMPRODUCT(($H$9:$Z$9="CO2")*ISNUMBER($H$10:$Z$10)*ISNUMBER(H115:Z115)*H115:Z115) /
         SUMPRODUCT(($H$9:$Z$9="CO2")*ISNUMBER($H$10:$Z$10)*ISNUMBER(H115:Z115)*$H$10:$Z$10) * 0.85
       )
     ) * 100,
     ""
   )
)</f>
        <v/>
      </c>
      <c r="AC115" s="1" t="str" cm="1">
        <f t="array" ref="AC115">IF(
   SUMPRODUCT(($C$9:$G$9="CO3")*ISNUMBER($C$10:$G$10)*ISNUMBER(C115:G115)) +
   SUMPRODUCT(($H$9:$Z$9="CO3")*ISNUMBER($H$10:$Z$10)*ISNUMBER(H115:Z115)) = 0,
   "",
   IFERROR(
     (
       IF(
         SUMPRODUCT(($C$9:$G$9="CO3")*ISNUMBER($C$10:$G$10)*ISNUMBER(C115:G115)) = 0,
         0,
         SUMPRODUCT(($C$9:$G$9="CO3")*ISNUMBER($C$10:$G$10)*ISNUMBER(C115:G115)*C115:G115) /
         SUMPRODUCT(($C$9:$G$9="CO3")*ISNUMBER($C$10:$G$10)*ISNUMBER(C115:G115)*$C$10:$G$10) * 0.15
       ) +
       IF(
         SUMPRODUCT(($H$9:$Z$9="CO3")*ISNUMBER($H$10:$Z$10)*ISNUMBER(H115:Z115)) = 0,
         0,
         SUMPRODUCT(($H$9:$Z$9="CO3")*ISNUMBER($H$10:$Z$10)*ISNUMBER(H115:Z115)*H115:Z115) /
         SUMPRODUCT(($H$9:$Z$9="CO3")*ISNUMBER($H$10:$Z$10)*ISNUMBER(H115:Z115)*$H$10:$Z$10) * 0.85
       )
     ) * 100,
     ""
   )
)</f>
        <v/>
      </c>
      <c r="AD115" s="1" t="str" cm="1">
        <f t="array" ref="AD115">IF(
   SUMPRODUCT(($C$9:$G$9="CO4")*ISNUMBER($C$10:$G$10)*ISNUMBER(C115:G115)) +
   SUMPRODUCT(($H$9:$Z$9="CO4")*ISNUMBER($H$10:$Z$10)*ISNUMBER(H115:Z115)) = 0,
   "",
   IFERROR(
     (
       IF(
         SUMPRODUCT(($C$9:$G$9="CO4")*ISNUMBER($C$10:$G$10)*ISNUMBER(C115:G115)) = 0,
         0,
         SUMPRODUCT(($C$9:$G$9="CO4")*ISNUMBER($C$10:$G$10)*ISNUMBER(C115:G115)*C115:G115) /
         SUMPRODUCT(($C$9:$G$9="CO4")*ISNUMBER($C$10:$G$10)*ISNUMBER(C115:G115)*$C$10:$G$10) * 0.15
       ) +
       IF(
         SUMPRODUCT(($H$9:$Z$9="CO4")*ISNUMBER($H$10:$Z$10)*ISNUMBER(H115:Z115)) = 0,
         0,
         SUMPRODUCT(($H$9:$Z$9="CO4")*ISNUMBER($H$10:$Z$10)*ISNUMBER(H115:Z115)*H115:Z115) /
         SUMPRODUCT(($H$9:$Z$9="CO4")*ISNUMBER($H$10:$Z$10)*ISNUMBER(H115:Z115)*$H$10:$Z$10) * 0.85
       )
     ) * 100,
     ""
   )
)</f>
        <v/>
      </c>
      <c r="AE115" s="1" t="str" cm="1">
        <f t="array" ref="AE115">IF(
   SUMPRODUCT(($C$9:$G$9="CO5")*ISNUMBER($C$10:$G$10)*ISNUMBER(C115:G115)) +
   SUMPRODUCT(($H$9:$Z$9="CO5")*ISNUMBER($H$10:$Z$10)*ISNUMBER(H115:Z115)) = 0,
   "",
   IFERROR(
     (
       IF(
         SUMPRODUCT(($C$9:$G$9="CO5")*ISNUMBER($C$10:$G$10)*ISNUMBER(C115:G115)) = 0,
         0,
         SUMPRODUCT(($C$9:$G$9="CO5")*ISNUMBER($C$10:$G$10)*ISNUMBER(C115:G115)*C115:G115) /
         SUMPRODUCT(($C$9:$G$9="CO5")*ISNUMBER($C$10:$G$10)*ISNUMBER(C115:G115)*$C$10:$G$10) * 0.15
       ) +
       IF(
         SUMPRODUCT(($H$9:$Z$9="CO5")*ISNUMBER($H$10:$Z$10)*ISNUMBER(H115:Z115)) = 0,
         0,
         SUMPRODUCT(($H$9:$Z$9="CO5")*ISNUMBER($H$10:$Z$10)*ISNUMBER(H115:Z115)*H115:Z115) /
         SUMPRODUCT(($H$9:$Z$9="CO5")*ISNUMBER($H$10:$Z$10)*ISNUMBER(H115:Z115)*$H$10:$Z$10) * 0.85
       )
     ) * 100,
     ""
   )
)</f>
        <v/>
      </c>
      <c r="AF115" s="1" t="str" cm="1">
        <f t="array" ref="AF115">IF(
   SUMPRODUCT(($C$9:$G$9="CO6")*ISNUMBER($C$10:$G$10)*ISNUMBER(C115:G115)) +
   SUMPRODUCT(($H$9:$Z$9="CO6")*ISNUMBER($H$10:$Z$10)*ISNUMBER(H115:Z115)) = 0,
   "",
   IFERROR(
     (
       IF(
         SUMPRODUCT(($C$9:$G$9="CO6")*ISNUMBER($C$10:$G$10)*ISNUMBER(C115:G115)) = 0,
         0,
         SUMPRODUCT(($C$9:$G$9="CO6")*ISNUMBER($C$10:$G$10)*ISNUMBER(C115:G115)*C115:G115) /
         SUMPRODUCT(($C$9:$G$9="CO6")*ISNUMBER($C$10:$G$10)*ISNUMBER(C115:G115)*$C$10:$G$10) * 0.15
       ) +
       IF(
         SUMPRODUCT(($H$9:$Z$9="CO6")*ISNUMBER($H$10:$Z$10)*ISNUMBER(H115:Z115)) = 0,
         0,
         SUMPRODUCT(($H$9:$Z$9="CO6")*ISNUMBER($H$10:$Z$10)*ISNUMBER(H115:Z115)*H115:Z115) /
         SUMPRODUCT(($H$9:$Z$9="CO6")*ISNUMBER($H$10:$Z$10)*ISNUMBER(H115:Z115)*$H$10:$Z$10) * 0.85
       )
     ) * 100,
     ""
   )
)</f>
        <v/>
      </c>
      <c r="AG115" s="1" t="str" cm="1">
        <f t="array" ref="AG115">IF(
   SUMPRODUCT(($C$9:$G$9="CO7")*ISNUMBER($C$10:$G$10)*ISNUMBER(C115:G115)) +
   SUMPRODUCT(($H$9:$Z$9="CO7")*ISNUMBER($H$10:$Z$10)*ISNUMBER(H115:Z115)) = 0,
   "",
   IFERROR(
     (
       IF(
         SUMPRODUCT(($C$9:$G$9="CO7")*ISNUMBER($C$10:$G$10)*ISNUMBER(C115:G115)) = 0,
         0,
         SUMPRODUCT(($C$9:$G$9="CO7")*ISNUMBER($C$10:$G$10)*ISNUMBER(C115:G115)*C115:G115) /
         SUMPRODUCT(($C$9:$G$9="CO7")*ISNUMBER($C$10:$G$10)*ISNUMBER(C115:G115)*$C$10:$G$10) * 0.15
       ) +
       IF(
         SUMPRODUCT(($H$9:$Z$9="CO7")*ISNUMBER($H$10:$Z$10)*ISNUMBER(H115:Z115)) = 0,
         0,
         SUMPRODUCT(($H$9:$Z$9="CO7")*ISNUMBER($H$10:$Z$10)*ISNUMBER(H115:Z115)*H115:Z115) /
         SUMPRODUCT(($H$9:$Z$9="CO7")*ISNUMBER($H$10:$Z$10)*ISNUMBER(H115:Z115)*$H$10:$Z$10) * 0.85
       )
     ) * 100,
     ""
   )
)</f>
        <v/>
      </c>
      <c r="AH115" s="3" t="str" cm="1">
        <f t="array" ref="AH115">IF(
   SUMPRODUCT(($C$9:$G$9="CO8")*ISNUMBER($C$10:$G$10)*ISNUMBER(C115:G115)) +
   SUMPRODUCT(($H$9:$Z$9="CO8")*ISNUMBER($H$10:$Z$10)*ISNUMBER(H115:Z115)) = 0,
   "",
   IFERROR(
     (
       IF(
         SUMPRODUCT(($C$9:$G$9="CO8")*ISNUMBER($C$10:$G$10)*ISNUMBER(C115:G115)) = 0,
         0,
         SUMPRODUCT(($C$9:$G$9="CO8")*ISNUMBER($C$10:$G$10)*ISNUMBER(C115:G115)*C115:G115) /
         SUMPRODUCT(($C$9:$G$9="CO8")*ISNUMBER($C$10:$G$10)*ISNUMBER(C115:G115)*$C$10:$G$10) * 0.15
       ) +
       IF(
         SUMPRODUCT(($H$9:$Z$9="CO8")*ISNUMBER($H$10:$Z$10)*ISNUMBER(H115:Z115)) = 0,
         0,
         SUMPRODUCT(($H$9:$Z$9="CO8")*ISNUMBER($H$10:$Z$10)*ISNUMBER(H115:Z115)*H115:Z115) /
         SUMPRODUCT(($H$9:$Z$9="CO8")*ISNUMBER($H$10:$Z$10)*ISNUMBER(H115:Z115)*$H$10:$Z$10) * 0.85
       )
     ) * 100,
     ""
   )
)</f>
        <v/>
      </c>
      <c r="AI115" s="1" t="str">
        <f t="shared" si="17"/>
        <v/>
      </c>
      <c r="AJ115" s="1" t="str">
        <f t="shared" si="17"/>
        <v/>
      </c>
      <c r="AK115" s="1" t="str">
        <f t="shared" si="17"/>
        <v/>
      </c>
      <c r="AL115" s="1" t="str">
        <f t="shared" si="13"/>
        <v/>
      </c>
      <c r="AM115" s="1" t="str">
        <f t="shared" si="13"/>
        <v/>
      </c>
      <c r="AN115" s="1" t="str">
        <f t="shared" si="13"/>
        <v/>
      </c>
      <c r="AO115" s="1" t="str">
        <f t="shared" si="13"/>
        <v/>
      </c>
      <c r="AP115" s="1" t="str">
        <f t="shared" si="13"/>
        <v/>
      </c>
    </row>
    <row r="116" spans="1:42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" t="str" cm="1">
        <f t="array" ref="AA116">IF(
   SUMPRODUCT(($C$9:$G$9="CO1")*ISNUMBER($C$10:$G$10)*ISNUMBER(C116:G116)) +
   SUMPRODUCT(($H$9:$Z$9="CO1")*ISNUMBER($H$10:$Z$10)*ISNUMBER(H116:Z116)) = 0,
   "",
   IFERROR(
     (
       IF(
         SUMPRODUCT(($C$9:$G$9="CO1")*ISNUMBER($C$10:$G$10)*ISNUMBER(C116:G116)) = 0,
         0,
         SUMPRODUCT(($C$9:$G$9="CO1")*ISNUMBER($C$10:$G$10)*ISNUMBER(C116:G116)*C116:G116) /
         SUMPRODUCT(($C$9:$G$9="CO1")*ISNUMBER($C$10:$G$10)*ISNUMBER(C116:G116)*$C$10:$G$10) * 0.15
       ) +
       IF(
         SUMPRODUCT(($H$9:$Z$9="CO1")*ISNUMBER($H$10:$Z$10)*ISNUMBER(H116:Z116)) = 0,
         0,
         SUMPRODUCT(($H$9:$Z$9="CO1")*ISNUMBER($H$10:$Z$10)*ISNUMBER(H116:Z116)*H116:Z116) /
         SUMPRODUCT(($H$9:$Z$9="CO1")*ISNUMBER($H$10:$Z$10)*ISNUMBER(H116:Z116)*$H$10:$Z$10) * 0.85
       )
     ) * 100,
     ""
   )
)</f>
        <v/>
      </c>
      <c r="AB116" s="1" t="str" cm="1">
        <f t="array" ref="AB116">IF(
   SUMPRODUCT(($C$9:$G$9="CO2")*ISNUMBER($C$10:$G$10)*ISNUMBER(C116:G116)) +
   SUMPRODUCT(($H$9:$Z$9="CO2")*ISNUMBER($H$10:$Z$10)*ISNUMBER(H116:Z116)) = 0,
   "",
   IFERROR(
     (
       IF(
         SUMPRODUCT(($C$9:$G$9="CO2")*ISNUMBER($C$10:$G$10)*ISNUMBER(C116:G116)) = 0,
         0,
         SUMPRODUCT(($C$9:$G$9="CO2")*ISNUMBER($C$10:$G$10)*ISNUMBER(C116:G116)*C116:G116) /
         SUMPRODUCT(($C$9:$G$9="CO2")*ISNUMBER($C$10:$G$10)*ISNUMBER(C116:G116)*$C$10:$G$10) * 0.15
       ) +
       IF(
         SUMPRODUCT(($H$9:$Z$9="CO2")*ISNUMBER($H$10:$Z$10)*ISNUMBER(H116:Z116)) = 0,
         0,
         SUMPRODUCT(($H$9:$Z$9="CO2")*ISNUMBER($H$10:$Z$10)*ISNUMBER(H116:Z116)*H116:Z116) /
         SUMPRODUCT(($H$9:$Z$9="CO2")*ISNUMBER($H$10:$Z$10)*ISNUMBER(H116:Z116)*$H$10:$Z$10) * 0.85
       )
     ) * 100,
     ""
   )
)</f>
        <v/>
      </c>
      <c r="AC116" s="1" t="str" cm="1">
        <f t="array" ref="AC116">IF(
   SUMPRODUCT(($C$9:$G$9="CO3")*ISNUMBER($C$10:$G$10)*ISNUMBER(C116:G116)) +
   SUMPRODUCT(($H$9:$Z$9="CO3")*ISNUMBER($H$10:$Z$10)*ISNUMBER(H116:Z116)) = 0,
   "",
   IFERROR(
     (
       IF(
         SUMPRODUCT(($C$9:$G$9="CO3")*ISNUMBER($C$10:$G$10)*ISNUMBER(C116:G116)) = 0,
         0,
         SUMPRODUCT(($C$9:$G$9="CO3")*ISNUMBER($C$10:$G$10)*ISNUMBER(C116:G116)*C116:G116) /
         SUMPRODUCT(($C$9:$G$9="CO3")*ISNUMBER($C$10:$G$10)*ISNUMBER(C116:G116)*$C$10:$G$10) * 0.15
       ) +
       IF(
         SUMPRODUCT(($H$9:$Z$9="CO3")*ISNUMBER($H$10:$Z$10)*ISNUMBER(H116:Z116)) = 0,
         0,
         SUMPRODUCT(($H$9:$Z$9="CO3")*ISNUMBER($H$10:$Z$10)*ISNUMBER(H116:Z116)*H116:Z116) /
         SUMPRODUCT(($H$9:$Z$9="CO3")*ISNUMBER($H$10:$Z$10)*ISNUMBER(H116:Z116)*$H$10:$Z$10) * 0.85
       )
     ) * 100,
     ""
   )
)</f>
        <v/>
      </c>
      <c r="AD116" s="1" t="str" cm="1">
        <f t="array" ref="AD116">IF(
   SUMPRODUCT(($C$9:$G$9="CO4")*ISNUMBER($C$10:$G$10)*ISNUMBER(C116:G116)) +
   SUMPRODUCT(($H$9:$Z$9="CO4")*ISNUMBER($H$10:$Z$10)*ISNUMBER(H116:Z116)) = 0,
   "",
   IFERROR(
     (
       IF(
         SUMPRODUCT(($C$9:$G$9="CO4")*ISNUMBER($C$10:$G$10)*ISNUMBER(C116:G116)) = 0,
         0,
         SUMPRODUCT(($C$9:$G$9="CO4")*ISNUMBER($C$10:$G$10)*ISNUMBER(C116:G116)*C116:G116) /
         SUMPRODUCT(($C$9:$G$9="CO4")*ISNUMBER($C$10:$G$10)*ISNUMBER(C116:G116)*$C$10:$G$10) * 0.15
       ) +
       IF(
         SUMPRODUCT(($H$9:$Z$9="CO4")*ISNUMBER($H$10:$Z$10)*ISNUMBER(H116:Z116)) = 0,
         0,
         SUMPRODUCT(($H$9:$Z$9="CO4")*ISNUMBER($H$10:$Z$10)*ISNUMBER(H116:Z116)*H116:Z116) /
         SUMPRODUCT(($H$9:$Z$9="CO4")*ISNUMBER($H$10:$Z$10)*ISNUMBER(H116:Z116)*$H$10:$Z$10) * 0.85
       )
     ) * 100,
     ""
   )
)</f>
        <v/>
      </c>
      <c r="AE116" s="1" t="str" cm="1">
        <f t="array" ref="AE116">IF(
   SUMPRODUCT(($C$9:$G$9="CO5")*ISNUMBER($C$10:$G$10)*ISNUMBER(C116:G116)) +
   SUMPRODUCT(($H$9:$Z$9="CO5")*ISNUMBER($H$10:$Z$10)*ISNUMBER(H116:Z116)) = 0,
   "",
   IFERROR(
     (
       IF(
         SUMPRODUCT(($C$9:$G$9="CO5")*ISNUMBER($C$10:$G$10)*ISNUMBER(C116:G116)) = 0,
         0,
         SUMPRODUCT(($C$9:$G$9="CO5")*ISNUMBER($C$10:$G$10)*ISNUMBER(C116:G116)*C116:G116) /
         SUMPRODUCT(($C$9:$G$9="CO5")*ISNUMBER($C$10:$G$10)*ISNUMBER(C116:G116)*$C$10:$G$10) * 0.15
       ) +
       IF(
         SUMPRODUCT(($H$9:$Z$9="CO5")*ISNUMBER($H$10:$Z$10)*ISNUMBER(H116:Z116)) = 0,
         0,
         SUMPRODUCT(($H$9:$Z$9="CO5")*ISNUMBER($H$10:$Z$10)*ISNUMBER(H116:Z116)*H116:Z116) /
         SUMPRODUCT(($H$9:$Z$9="CO5")*ISNUMBER($H$10:$Z$10)*ISNUMBER(H116:Z116)*$H$10:$Z$10) * 0.85
       )
     ) * 100,
     ""
   )
)</f>
        <v/>
      </c>
      <c r="AF116" s="1" t="str" cm="1">
        <f t="array" ref="AF116">IF(
   SUMPRODUCT(($C$9:$G$9="CO6")*ISNUMBER($C$10:$G$10)*ISNUMBER(C116:G116)) +
   SUMPRODUCT(($H$9:$Z$9="CO6")*ISNUMBER($H$10:$Z$10)*ISNUMBER(H116:Z116)) = 0,
   "",
   IFERROR(
     (
       IF(
         SUMPRODUCT(($C$9:$G$9="CO6")*ISNUMBER($C$10:$G$10)*ISNUMBER(C116:G116)) = 0,
         0,
         SUMPRODUCT(($C$9:$G$9="CO6")*ISNUMBER($C$10:$G$10)*ISNUMBER(C116:G116)*C116:G116) /
         SUMPRODUCT(($C$9:$G$9="CO6")*ISNUMBER($C$10:$G$10)*ISNUMBER(C116:G116)*$C$10:$G$10) * 0.15
       ) +
       IF(
         SUMPRODUCT(($H$9:$Z$9="CO6")*ISNUMBER($H$10:$Z$10)*ISNUMBER(H116:Z116)) = 0,
         0,
         SUMPRODUCT(($H$9:$Z$9="CO6")*ISNUMBER($H$10:$Z$10)*ISNUMBER(H116:Z116)*H116:Z116) /
         SUMPRODUCT(($H$9:$Z$9="CO6")*ISNUMBER($H$10:$Z$10)*ISNUMBER(H116:Z116)*$H$10:$Z$10) * 0.85
       )
     ) * 100,
     ""
   )
)</f>
        <v/>
      </c>
      <c r="AG116" s="1" t="str" cm="1">
        <f t="array" ref="AG116">IF(
   SUMPRODUCT(($C$9:$G$9="CO7")*ISNUMBER($C$10:$G$10)*ISNUMBER(C116:G116)) +
   SUMPRODUCT(($H$9:$Z$9="CO7")*ISNUMBER($H$10:$Z$10)*ISNUMBER(H116:Z116)) = 0,
   "",
   IFERROR(
     (
       IF(
         SUMPRODUCT(($C$9:$G$9="CO7")*ISNUMBER($C$10:$G$10)*ISNUMBER(C116:G116)) = 0,
         0,
         SUMPRODUCT(($C$9:$G$9="CO7")*ISNUMBER($C$10:$G$10)*ISNUMBER(C116:G116)*C116:G116) /
         SUMPRODUCT(($C$9:$G$9="CO7")*ISNUMBER($C$10:$G$10)*ISNUMBER(C116:G116)*$C$10:$G$10) * 0.15
       ) +
       IF(
         SUMPRODUCT(($H$9:$Z$9="CO7")*ISNUMBER($H$10:$Z$10)*ISNUMBER(H116:Z116)) = 0,
         0,
         SUMPRODUCT(($H$9:$Z$9="CO7")*ISNUMBER($H$10:$Z$10)*ISNUMBER(H116:Z116)*H116:Z116) /
         SUMPRODUCT(($H$9:$Z$9="CO7")*ISNUMBER($H$10:$Z$10)*ISNUMBER(H116:Z116)*$H$10:$Z$10) * 0.85
       )
     ) * 100,
     ""
   )
)</f>
        <v/>
      </c>
      <c r="AH116" s="3" t="str" cm="1">
        <f t="array" ref="AH116">IF(
   SUMPRODUCT(($C$9:$G$9="CO8")*ISNUMBER($C$10:$G$10)*ISNUMBER(C116:G116)) +
   SUMPRODUCT(($H$9:$Z$9="CO8")*ISNUMBER($H$10:$Z$10)*ISNUMBER(H116:Z116)) = 0,
   "",
   IFERROR(
     (
       IF(
         SUMPRODUCT(($C$9:$G$9="CO8")*ISNUMBER($C$10:$G$10)*ISNUMBER(C116:G116)) = 0,
         0,
         SUMPRODUCT(($C$9:$G$9="CO8")*ISNUMBER($C$10:$G$10)*ISNUMBER(C116:G116)*C116:G116) /
         SUMPRODUCT(($C$9:$G$9="CO8")*ISNUMBER($C$10:$G$10)*ISNUMBER(C116:G116)*$C$10:$G$10) * 0.15
       ) +
       IF(
         SUMPRODUCT(($H$9:$Z$9="CO8")*ISNUMBER($H$10:$Z$10)*ISNUMBER(H116:Z116)) = 0,
         0,
         SUMPRODUCT(($H$9:$Z$9="CO8")*ISNUMBER($H$10:$Z$10)*ISNUMBER(H116:Z116)*H116:Z116) /
         SUMPRODUCT(($H$9:$Z$9="CO8")*ISNUMBER($H$10:$Z$10)*ISNUMBER(H116:Z116)*$H$10:$Z$10) * 0.85
       )
     ) * 100,
     ""
   )
)</f>
        <v/>
      </c>
      <c r="AI116" s="1" t="str">
        <f t="shared" si="17"/>
        <v/>
      </c>
      <c r="AJ116" s="1" t="str">
        <f t="shared" si="17"/>
        <v/>
      </c>
      <c r="AK116" s="1" t="str">
        <f t="shared" si="17"/>
        <v/>
      </c>
      <c r="AL116" s="1" t="str">
        <f t="shared" si="13"/>
        <v/>
      </c>
      <c r="AM116" s="1" t="str">
        <f t="shared" si="13"/>
        <v/>
      </c>
      <c r="AN116" s="1" t="str">
        <f t="shared" si="13"/>
        <v/>
      </c>
      <c r="AO116" s="1" t="str">
        <f t="shared" si="13"/>
        <v/>
      </c>
      <c r="AP116" s="1" t="str">
        <f t="shared" si="13"/>
        <v/>
      </c>
    </row>
    <row r="117" spans="1:42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" t="str" cm="1">
        <f t="array" ref="AA117">IF(
   SUMPRODUCT(($C$9:$G$9="CO1")*ISNUMBER($C$10:$G$10)*ISNUMBER(C117:G117)) +
   SUMPRODUCT(($H$9:$Z$9="CO1")*ISNUMBER($H$10:$Z$10)*ISNUMBER(H117:Z117)) = 0,
   "",
   IFERROR(
     (
       IF(
         SUMPRODUCT(($C$9:$G$9="CO1")*ISNUMBER($C$10:$G$10)*ISNUMBER(C117:G117)) = 0,
         0,
         SUMPRODUCT(($C$9:$G$9="CO1")*ISNUMBER($C$10:$G$10)*ISNUMBER(C117:G117)*C117:G117) /
         SUMPRODUCT(($C$9:$G$9="CO1")*ISNUMBER($C$10:$G$10)*ISNUMBER(C117:G117)*$C$10:$G$10) * 0.15
       ) +
       IF(
         SUMPRODUCT(($H$9:$Z$9="CO1")*ISNUMBER($H$10:$Z$10)*ISNUMBER(H117:Z117)) = 0,
         0,
         SUMPRODUCT(($H$9:$Z$9="CO1")*ISNUMBER($H$10:$Z$10)*ISNUMBER(H117:Z117)*H117:Z117) /
         SUMPRODUCT(($H$9:$Z$9="CO1")*ISNUMBER($H$10:$Z$10)*ISNUMBER(H117:Z117)*$H$10:$Z$10) * 0.85
       )
     ) * 100,
     ""
   )
)</f>
        <v/>
      </c>
      <c r="AB117" s="1" t="str" cm="1">
        <f t="array" ref="AB117">IF(
   SUMPRODUCT(($C$9:$G$9="CO2")*ISNUMBER($C$10:$G$10)*ISNUMBER(C117:G117)) +
   SUMPRODUCT(($H$9:$Z$9="CO2")*ISNUMBER($H$10:$Z$10)*ISNUMBER(H117:Z117)) = 0,
   "",
   IFERROR(
     (
       IF(
         SUMPRODUCT(($C$9:$G$9="CO2")*ISNUMBER($C$10:$G$10)*ISNUMBER(C117:G117)) = 0,
         0,
         SUMPRODUCT(($C$9:$G$9="CO2")*ISNUMBER($C$10:$G$10)*ISNUMBER(C117:G117)*C117:G117) /
         SUMPRODUCT(($C$9:$G$9="CO2")*ISNUMBER($C$10:$G$10)*ISNUMBER(C117:G117)*$C$10:$G$10) * 0.15
       ) +
       IF(
         SUMPRODUCT(($H$9:$Z$9="CO2")*ISNUMBER($H$10:$Z$10)*ISNUMBER(H117:Z117)) = 0,
         0,
         SUMPRODUCT(($H$9:$Z$9="CO2")*ISNUMBER($H$10:$Z$10)*ISNUMBER(H117:Z117)*H117:Z117) /
         SUMPRODUCT(($H$9:$Z$9="CO2")*ISNUMBER($H$10:$Z$10)*ISNUMBER(H117:Z117)*$H$10:$Z$10) * 0.85
       )
     ) * 100,
     ""
   )
)</f>
        <v/>
      </c>
      <c r="AC117" s="1" t="str" cm="1">
        <f t="array" ref="AC117">IF(
   SUMPRODUCT(($C$9:$G$9="CO3")*ISNUMBER($C$10:$G$10)*ISNUMBER(C117:G117)) +
   SUMPRODUCT(($H$9:$Z$9="CO3")*ISNUMBER($H$10:$Z$10)*ISNUMBER(H117:Z117)) = 0,
   "",
   IFERROR(
     (
       IF(
         SUMPRODUCT(($C$9:$G$9="CO3")*ISNUMBER($C$10:$G$10)*ISNUMBER(C117:G117)) = 0,
         0,
         SUMPRODUCT(($C$9:$G$9="CO3")*ISNUMBER($C$10:$G$10)*ISNUMBER(C117:G117)*C117:G117) /
         SUMPRODUCT(($C$9:$G$9="CO3")*ISNUMBER($C$10:$G$10)*ISNUMBER(C117:G117)*$C$10:$G$10) * 0.15
       ) +
       IF(
         SUMPRODUCT(($H$9:$Z$9="CO3")*ISNUMBER($H$10:$Z$10)*ISNUMBER(H117:Z117)) = 0,
         0,
         SUMPRODUCT(($H$9:$Z$9="CO3")*ISNUMBER($H$10:$Z$10)*ISNUMBER(H117:Z117)*H117:Z117) /
         SUMPRODUCT(($H$9:$Z$9="CO3")*ISNUMBER($H$10:$Z$10)*ISNUMBER(H117:Z117)*$H$10:$Z$10) * 0.85
       )
     ) * 100,
     ""
   )
)</f>
        <v/>
      </c>
      <c r="AD117" s="1" t="str" cm="1">
        <f t="array" ref="AD117">IF(
   SUMPRODUCT(($C$9:$G$9="CO4")*ISNUMBER($C$10:$G$10)*ISNUMBER(C117:G117)) +
   SUMPRODUCT(($H$9:$Z$9="CO4")*ISNUMBER($H$10:$Z$10)*ISNUMBER(H117:Z117)) = 0,
   "",
   IFERROR(
     (
       IF(
         SUMPRODUCT(($C$9:$G$9="CO4")*ISNUMBER($C$10:$G$10)*ISNUMBER(C117:G117)) = 0,
         0,
         SUMPRODUCT(($C$9:$G$9="CO4")*ISNUMBER($C$10:$G$10)*ISNUMBER(C117:G117)*C117:G117) /
         SUMPRODUCT(($C$9:$G$9="CO4")*ISNUMBER($C$10:$G$10)*ISNUMBER(C117:G117)*$C$10:$G$10) * 0.15
       ) +
       IF(
         SUMPRODUCT(($H$9:$Z$9="CO4")*ISNUMBER($H$10:$Z$10)*ISNUMBER(H117:Z117)) = 0,
         0,
         SUMPRODUCT(($H$9:$Z$9="CO4")*ISNUMBER($H$10:$Z$10)*ISNUMBER(H117:Z117)*H117:Z117) /
         SUMPRODUCT(($H$9:$Z$9="CO4")*ISNUMBER($H$10:$Z$10)*ISNUMBER(H117:Z117)*$H$10:$Z$10) * 0.85
       )
     ) * 100,
     ""
   )
)</f>
        <v/>
      </c>
      <c r="AE117" s="1" t="str" cm="1">
        <f t="array" ref="AE117">IF(
   SUMPRODUCT(($C$9:$G$9="CO5")*ISNUMBER($C$10:$G$10)*ISNUMBER(C117:G117)) +
   SUMPRODUCT(($H$9:$Z$9="CO5")*ISNUMBER($H$10:$Z$10)*ISNUMBER(H117:Z117)) = 0,
   "",
   IFERROR(
     (
       IF(
         SUMPRODUCT(($C$9:$G$9="CO5")*ISNUMBER($C$10:$G$10)*ISNUMBER(C117:G117)) = 0,
         0,
         SUMPRODUCT(($C$9:$G$9="CO5")*ISNUMBER($C$10:$G$10)*ISNUMBER(C117:G117)*C117:G117) /
         SUMPRODUCT(($C$9:$G$9="CO5")*ISNUMBER($C$10:$G$10)*ISNUMBER(C117:G117)*$C$10:$G$10) * 0.15
       ) +
       IF(
         SUMPRODUCT(($H$9:$Z$9="CO5")*ISNUMBER($H$10:$Z$10)*ISNUMBER(H117:Z117)) = 0,
         0,
         SUMPRODUCT(($H$9:$Z$9="CO5")*ISNUMBER($H$10:$Z$10)*ISNUMBER(H117:Z117)*H117:Z117) /
         SUMPRODUCT(($H$9:$Z$9="CO5")*ISNUMBER($H$10:$Z$10)*ISNUMBER(H117:Z117)*$H$10:$Z$10) * 0.85
       )
     ) * 100,
     ""
   )
)</f>
        <v/>
      </c>
      <c r="AF117" s="1" t="str" cm="1">
        <f t="array" ref="AF117">IF(
   SUMPRODUCT(($C$9:$G$9="CO6")*ISNUMBER($C$10:$G$10)*ISNUMBER(C117:G117)) +
   SUMPRODUCT(($H$9:$Z$9="CO6")*ISNUMBER($H$10:$Z$10)*ISNUMBER(H117:Z117)) = 0,
   "",
   IFERROR(
     (
       IF(
         SUMPRODUCT(($C$9:$G$9="CO6")*ISNUMBER($C$10:$G$10)*ISNUMBER(C117:G117)) = 0,
         0,
         SUMPRODUCT(($C$9:$G$9="CO6")*ISNUMBER($C$10:$G$10)*ISNUMBER(C117:G117)*C117:G117) /
         SUMPRODUCT(($C$9:$G$9="CO6")*ISNUMBER($C$10:$G$10)*ISNUMBER(C117:G117)*$C$10:$G$10) * 0.15
       ) +
       IF(
         SUMPRODUCT(($H$9:$Z$9="CO6")*ISNUMBER($H$10:$Z$10)*ISNUMBER(H117:Z117)) = 0,
         0,
         SUMPRODUCT(($H$9:$Z$9="CO6")*ISNUMBER($H$10:$Z$10)*ISNUMBER(H117:Z117)*H117:Z117) /
         SUMPRODUCT(($H$9:$Z$9="CO6")*ISNUMBER($H$10:$Z$10)*ISNUMBER(H117:Z117)*$H$10:$Z$10) * 0.85
       )
     ) * 100,
     ""
   )
)</f>
        <v/>
      </c>
      <c r="AG117" s="1" t="str" cm="1">
        <f t="array" ref="AG117">IF(
   SUMPRODUCT(($C$9:$G$9="CO7")*ISNUMBER($C$10:$G$10)*ISNUMBER(C117:G117)) +
   SUMPRODUCT(($H$9:$Z$9="CO7")*ISNUMBER($H$10:$Z$10)*ISNUMBER(H117:Z117)) = 0,
   "",
   IFERROR(
     (
       IF(
         SUMPRODUCT(($C$9:$G$9="CO7")*ISNUMBER($C$10:$G$10)*ISNUMBER(C117:G117)) = 0,
         0,
         SUMPRODUCT(($C$9:$G$9="CO7")*ISNUMBER($C$10:$G$10)*ISNUMBER(C117:G117)*C117:G117) /
         SUMPRODUCT(($C$9:$G$9="CO7")*ISNUMBER($C$10:$G$10)*ISNUMBER(C117:G117)*$C$10:$G$10) * 0.15
       ) +
       IF(
         SUMPRODUCT(($H$9:$Z$9="CO7")*ISNUMBER($H$10:$Z$10)*ISNUMBER(H117:Z117)) = 0,
         0,
         SUMPRODUCT(($H$9:$Z$9="CO7")*ISNUMBER($H$10:$Z$10)*ISNUMBER(H117:Z117)*H117:Z117) /
         SUMPRODUCT(($H$9:$Z$9="CO7")*ISNUMBER($H$10:$Z$10)*ISNUMBER(H117:Z117)*$H$10:$Z$10) * 0.85
       )
     ) * 100,
     ""
   )
)</f>
        <v/>
      </c>
      <c r="AH117" s="3" t="str" cm="1">
        <f t="array" ref="AH117">IF(
   SUMPRODUCT(($C$9:$G$9="CO8")*ISNUMBER($C$10:$G$10)*ISNUMBER(C117:G117)) +
   SUMPRODUCT(($H$9:$Z$9="CO8")*ISNUMBER($H$10:$Z$10)*ISNUMBER(H117:Z117)) = 0,
   "",
   IFERROR(
     (
       IF(
         SUMPRODUCT(($C$9:$G$9="CO8")*ISNUMBER($C$10:$G$10)*ISNUMBER(C117:G117)) = 0,
         0,
         SUMPRODUCT(($C$9:$G$9="CO8")*ISNUMBER($C$10:$G$10)*ISNUMBER(C117:G117)*C117:G117) /
         SUMPRODUCT(($C$9:$G$9="CO8")*ISNUMBER($C$10:$G$10)*ISNUMBER(C117:G117)*$C$10:$G$10) * 0.15
       ) +
       IF(
         SUMPRODUCT(($H$9:$Z$9="CO8")*ISNUMBER($H$10:$Z$10)*ISNUMBER(H117:Z117)) = 0,
         0,
         SUMPRODUCT(($H$9:$Z$9="CO8")*ISNUMBER($H$10:$Z$10)*ISNUMBER(H117:Z117)*H117:Z117) /
         SUMPRODUCT(($H$9:$Z$9="CO8")*ISNUMBER($H$10:$Z$10)*ISNUMBER(H117:Z117)*$H$10:$Z$10) * 0.85
       )
     ) * 100,
     ""
   )
)</f>
        <v/>
      </c>
      <c r="AI117" s="1" t="str">
        <f t="shared" si="17"/>
        <v/>
      </c>
      <c r="AJ117" s="1" t="str">
        <f t="shared" si="17"/>
        <v/>
      </c>
      <c r="AK117" s="1" t="str">
        <f t="shared" si="17"/>
        <v/>
      </c>
      <c r="AL117" s="1" t="str">
        <f t="shared" si="13"/>
        <v/>
      </c>
      <c r="AM117" s="1" t="str">
        <f t="shared" si="13"/>
        <v/>
      </c>
      <c r="AN117" s="1" t="str">
        <f t="shared" si="13"/>
        <v/>
      </c>
      <c r="AO117" s="1" t="str">
        <f t="shared" si="13"/>
        <v/>
      </c>
      <c r="AP117" s="1" t="str">
        <f t="shared" si="13"/>
        <v/>
      </c>
    </row>
    <row r="118" spans="1:42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" t="str" cm="1">
        <f t="array" ref="AA118">IF(
   SUMPRODUCT(($C$9:$G$9="CO1")*ISNUMBER($C$10:$G$10)*ISNUMBER(C118:G118)) +
   SUMPRODUCT(($H$9:$Z$9="CO1")*ISNUMBER($H$10:$Z$10)*ISNUMBER(H118:Z118)) = 0,
   "",
   IFERROR(
     (
       IF(
         SUMPRODUCT(($C$9:$G$9="CO1")*ISNUMBER($C$10:$G$10)*ISNUMBER(C118:G118)) = 0,
         0,
         SUMPRODUCT(($C$9:$G$9="CO1")*ISNUMBER($C$10:$G$10)*ISNUMBER(C118:G118)*C118:G118) /
         SUMPRODUCT(($C$9:$G$9="CO1")*ISNUMBER($C$10:$G$10)*ISNUMBER(C118:G118)*$C$10:$G$10) * 0.15
       ) +
       IF(
         SUMPRODUCT(($H$9:$Z$9="CO1")*ISNUMBER($H$10:$Z$10)*ISNUMBER(H118:Z118)) = 0,
         0,
         SUMPRODUCT(($H$9:$Z$9="CO1")*ISNUMBER($H$10:$Z$10)*ISNUMBER(H118:Z118)*H118:Z118) /
         SUMPRODUCT(($H$9:$Z$9="CO1")*ISNUMBER($H$10:$Z$10)*ISNUMBER(H118:Z118)*$H$10:$Z$10) * 0.85
       )
     ) * 100,
     ""
   )
)</f>
        <v/>
      </c>
      <c r="AB118" s="1" t="str" cm="1">
        <f t="array" ref="AB118">IF(
   SUMPRODUCT(($C$9:$G$9="CO2")*ISNUMBER($C$10:$G$10)*ISNUMBER(C118:G118)) +
   SUMPRODUCT(($H$9:$Z$9="CO2")*ISNUMBER($H$10:$Z$10)*ISNUMBER(H118:Z118)) = 0,
   "",
   IFERROR(
     (
       IF(
         SUMPRODUCT(($C$9:$G$9="CO2")*ISNUMBER($C$10:$G$10)*ISNUMBER(C118:G118)) = 0,
         0,
         SUMPRODUCT(($C$9:$G$9="CO2")*ISNUMBER($C$10:$G$10)*ISNUMBER(C118:G118)*C118:G118) /
         SUMPRODUCT(($C$9:$G$9="CO2")*ISNUMBER($C$10:$G$10)*ISNUMBER(C118:G118)*$C$10:$G$10) * 0.15
       ) +
       IF(
         SUMPRODUCT(($H$9:$Z$9="CO2")*ISNUMBER($H$10:$Z$10)*ISNUMBER(H118:Z118)) = 0,
         0,
         SUMPRODUCT(($H$9:$Z$9="CO2")*ISNUMBER($H$10:$Z$10)*ISNUMBER(H118:Z118)*H118:Z118) /
         SUMPRODUCT(($H$9:$Z$9="CO2")*ISNUMBER($H$10:$Z$10)*ISNUMBER(H118:Z118)*$H$10:$Z$10) * 0.85
       )
     ) * 100,
     ""
   )
)</f>
        <v/>
      </c>
      <c r="AC118" s="1" t="str" cm="1">
        <f t="array" ref="AC118">IF(
   SUMPRODUCT(($C$9:$G$9="CO3")*ISNUMBER($C$10:$G$10)*ISNUMBER(C118:G118)) +
   SUMPRODUCT(($H$9:$Z$9="CO3")*ISNUMBER($H$10:$Z$10)*ISNUMBER(H118:Z118)) = 0,
   "",
   IFERROR(
     (
       IF(
         SUMPRODUCT(($C$9:$G$9="CO3")*ISNUMBER($C$10:$G$10)*ISNUMBER(C118:G118)) = 0,
         0,
         SUMPRODUCT(($C$9:$G$9="CO3")*ISNUMBER($C$10:$G$10)*ISNUMBER(C118:G118)*C118:G118) /
         SUMPRODUCT(($C$9:$G$9="CO3")*ISNUMBER($C$10:$G$10)*ISNUMBER(C118:G118)*$C$10:$G$10) * 0.15
       ) +
       IF(
         SUMPRODUCT(($H$9:$Z$9="CO3")*ISNUMBER($H$10:$Z$10)*ISNUMBER(H118:Z118)) = 0,
         0,
         SUMPRODUCT(($H$9:$Z$9="CO3")*ISNUMBER($H$10:$Z$10)*ISNUMBER(H118:Z118)*H118:Z118) /
         SUMPRODUCT(($H$9:$Z$9="CO3")*ISNUMBER($H$10:$Z$10)*ISNUMBER(H118:Z118)*$H$10:$Z$10) * 0.85
       )
     ) * 100,
     ""
   )
)</f>
        <v/>
      </c>
      <c r="AD118" s="1" t="str" cm="1">
        <f t="array" ref="AD118">IF(
   SUMPRODUCT(($C$9:$G$9="CO4")*ISNUMBER($C$10:$G$10)*ISNUMBER(C118:G118)) +
   SUMPRODUCT(($H$9:$Z$9="CO4")*ISNUMBER($H$10:$Z$10)*ISNUMBER(H118:Z118)) = 0,
   "",
   IFERROR(
     (
       IF(
         SUMPRODUCT(($C$9:$G$9="CO4")*ISNUMBER($C$10:$G$10)*ISNUMBER(C118:G118)) = 0,
         0,
         SUMPRODUCT(($C$9:$G$9="CO4")*ISNUMBER($C$10:$G$10)*ISNUMBER(C118:G118)*C118:G118) /
         SUMPRODUCT(($C$9:$G$9="CO4")*ISNUMBER($C$10:$G$10)*ISNUMBER(C118:G118)*$C$10:$G$10) * 0.15
       ) +
       IF(
         SUMPRODUCT(($H$9:$Z$9="CO4")*ISNUMBER($H$10:$Z$10)*ISNUMBER(H118:Z118)) = 0,
         0,
         SUMPRODUCT(($H$9:$Z$9="CO4")*ISNUMBER($H$10:$Z$10)*ISNUMBER(H118:Z118)*H118:Z118) /
         SUMPRODUCT(($H$9:$Z$9="CO4")*ISNUMBER($H$10:$Z$10)*ISNUMBER(H118:Z118)*$H$10:$Z$10) * 0.85
       )
     ) * 100,
     ""
   )
)</f>
        <v/>
      </c>
      <c r="AE118" s="1" t="str" cm="1">
        <f t="array" ref="AE118">IF(
   SUMPRODUCT(($C$9:$G$9="CO5")*ISNUMBER($C$10:$G$10)*ISNUMBER(C118:G118)) +
   SUMPRODUCT(($H$9:$Z$9="CO5")*ISNUMBER($H$10:$Z$10)*ISNUMBER(H118:Z118)) = 0,
   "",
   IFERROR(
     (
       IF(
         SUMPRODUCT(($C$9:$G$9="CO5")*ISNUMBER($C$10:$G$10)*ISNUMBER(C118:G118)) = 0,
         0,
         SUMPRODUCT(($C$9:$G$9="CO5")*ISNUMBER($C$10:$G$10)*ISNUMBER(C118:G118)*C118:G118) /
         SUMPRODUCT(($C$9:$G$9="CO5")*ISNUMBER($C$10:$G$10)*ISNUMBER(C118:G118)*$C$10:$G$10) * 0.15
       ) +
       IF(
         SUMPRODUCT(($H$9:$Z$9="CO5")*ISNUMBER($H$10:$Z$10)*ISNUMBER(H118:Z118)) = 0,
         0,
         SUMPRODUCT(($H$9:$Z$9="CO5")*ISNUMBER($H$10:$Z$10)*ISNUMBER(H118:Z118)*H118:Z118) /
         SUMPRODUCT(($H$9:$Z$9="CO5")*ISNUMBER($H$10:$Z$10)*ISNUMBER(H118:Z118)*$H$10:$Z$10) * 0.85
       )
     ) * 100,
     ""
   )
)</f>
        <v/>
      </c>
      <c r="AF118" s="1" t="str" cm="1">
        <f t="array" ref="AF118">IF(
   SUMPRODUCT(($C$9:$G$9="CO6")*ISNUMBER($C$10:$G$10)*ISNUMBER(C118:G118)) +
   SUMPRODUCT(($H$9:$Z$9="CO6")*ISNUMBER($H$10:$Z$10)*ISNUMBER(H118:Z118)) = 0,
   "",
   IFERROR(
     (
       IF(
         SUMPRODUCT(($C$9:$G$9="CO6")*ISNUMBER($C$10:$G$10)*ISNUMBER(C118:G118)) = 0,
         0,
         SUMPRODUCT(($C$9:$G$9="CO6")*ISNUMBER($C$10:$G$10)*ISNUMBER(C118:G118)*C118:G118) /
         SUMPRODUCT(($C$9:$G$9="CO6")*ISNUMBER($C$10:$G$10)*ISNUMBER(C118:G118)*$C$10:$G$10) * 0.15
       ) +
       IF(
         SUMPRODUCT(($H$9:$Z$9="CO6")*ISNUMBER($H$10:$Z$10)*ISNUMBER(H118:Z118)) = 0,
         0,
         SUMPRODUCT(($H$9:$Z$9="CO6")*ISNUMBER($H$10:$Z$10)*ISNUMBER(H118:Z118)*H118:Z118) /
         SUMPRODUCT(($H$9:$Z$9="CO6")*ISNUMBER($H$10:$Z$10)*ISNUMBER(H118:Z118)*$H$10:$Z$10) * 0.85
       )
     ) * 100,
     ""
   )
)</f>
        <v/>
      </c>
      <c r="AG118" s="1" t="str" cm="1">
        <f t="array" ref="AG118">IF(
   SUMPRODUCT(($C$9:$G$9="CO7")*ISNUMBER($C$10:$G$10)*ISNUMBER(C118:G118)) +
   SUMPRODUCT(($H$9:$Z$9="CO7")*ISNUMBER($H$10:$Z$10)*ISNUMBER(H118:Z118)) = 0,
   "",
   IFERROR(
     (
       IF(
         SUMPRODUCT(($C$9:$G$9="CO7")*ISNUMBER($C$10:$G$10)*ISNUMBER(C118:G118)) = 0,
         0,
         SUMPRODUCT(($C$9:$G$9="CO7")*ISNUMBER($C$10:$G$10)*ISNUMBER(C118:G118)*C118:G118) /
         SUMPRODUCT(($C$9:$G$9="CO7")*ISNUMBER($C$10:$G$10)*ISNUMBER(C118:G118)*$C$10:$G$10) * 0.15
       ) +
       IF(
         SUMPRODUCT(($H$9:$Z$9="CO7")*ISNUMBER($H$10:$Z$10)*ISNUMBER(H118:Z118)) = 0,
         0,
         SUMPRODUCT(($H$9:$Z$9="CO7")*ISNUMBER($H$10:$Z$10)*ISNUMBER(H118:Z118)*H118:Z118) /
         SUMPRODUCT(($H$9:$Z$9="CO7")*ISNUMBER($H$10:$Z$10)*ISNUMBER(H118:Z118)*$H$10:$Z$10) * 0.85
       )
     ) * 100,
     ""
   )
)</f>
        <v/>
      </c>
      <c r="AH118" s="3" t="str" cm="1">
        <f t="array" ref="AH118">IF(
   SUMPRODUCT(($C$9:$G$9="CO8")*ISNUMBER($C$10:$G$10)*ISNUMBER(C118:G118)) +
   SUMPRODUCT(($H$9:$Z$9="CO8")*ISNUMBER($H$10:$Z$10)*ISNUMBER(H118:Z118)) = 0,
   "",
   IFERROR(
     (
       IF(
         SUMPRODUCT(($C$9:$G$9="CO8")*ISNUMBER($C$10:$G$10)*ISNUMBER(C118:G118)) = 0,
         0,
         SUMPRODUCT(($C$9:$G$9="CO8")*ISNUMBER($C$10:$G$10)*ISNUMBER(C118:G118)*C118:G118) /
         SUMPRODUCT(($C$9:$G$9="CO8")*ISNUMBER($C$10:$G$10)*ISNUMBER(C118:G118)*$C$10:$G$10) * 0.15
       ) +
       IF(
         SUMPRODUCT(($H$9:$Z$9="CO8")*ISNUMBER($H$10:$Z$10)*ISNUMBER(H118:Z118)) = 0,
         0,
         SUMPRODUCT(($H$9:$Z$9="CO8")*ISNUMBER($H$10:$Z$10)*ISNUMBER(H118:Z118)*H118:Z118) /
         SUMPRODUCT(($H$9:$Z$9="CO8")*ISNUMBER($H$10:$Z$10)*ISNUMBER(H118:Z118)*$H$10:$Z$10) * 0.85
       )
     ) * 100,
     ""
   )
)</f>
        <v/>
      </c>
      <c r="AI118" s="1" t="str">
        <f t="shared" si="17"/>
        <v/>
      </c>
      <c r="AJ118" s="1" t="str">
        <f t="shared" si="17"/>
        <v/>
      </c>
      <c r="AK118" s="1" t="str">
        <f t="shared" si="17"/>
        <v/>
      </c>
      <c r="AL118" s="1" t="str">
        <f t="shared" si="13"/>
        <v/>
      </c>
      <c r="AM118" s="1" t="str">
        <f t="shared" si="13"/>
        <v/>
      </c>
      <c r="AN118" s="1" t="str">
        <f t="shared" si="13"/>
        <v/>
      </c>
      <c r="AO118" s="1" t="str">
        <f t="shared" si="13"/>
        <v/>
      </c>
      <c r="AP118" s="1" t="str">
        <f t="shared" si="13"/>
        <v/>
      </c>
    </row>
    <row r="119" spans="1:42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" t="str" cm="1">
        <f t="array" ref="AA119">IF(
   SUMPRODUCT(($C$9:$G$9="CO1")*ISNUMBER($C$10:$G$10)*ISNUMBER(C119:G119)) +
   SUMPRODUCT(($H$9:$Z$9="CO1")*ISNUMBER($H$10:$Z$10)*ISNUMBER(H119:Z119)) = 0,
   "",
   IFERROR(
     (
       IF(
         SUMPRODUCT(($C$9:$G$9="CO1")*ISNUMBER($C$10:$G$10)*ISNUMBER(C119:G119)) = 0,
         0,
         SUMPRODUCT(($C$9:$G$9="CO1")*ISNUMBER($C$10:$G$10)*ISNUMBER(C119:G119)*C119:G119) /
         SUMPRODUCT(($C$9:$G$9="CO1")*ISNUMBER($C$10:$G$10)*ISNUMBER(C119:G119)*$C$10:$G$10) * 0.15
       ) +
       IF(
         SUMPRODUCT(($H$9:$Z$9="CO1")*ISNUMBER($H$10:$Z$10)*ISNUMBER(H119:Z119)) = 0,
         0,
         SUMPRODUCT(($H$9:$Z$9="CO1")*ISNUMBER($H$10:$Z$10)*ISNUMBER(H119:Z119)*H119:Z119) /
         SUMPRODUCT(($H$9:$Z$9="CO1")*ISNUMBER($H$10:$Z$10)*ISNUMBER(H119:Z119)*$H$10:$Z$10) * 0.85
       )
     ) * 100,
     ""
   )
)</f>
        <v/>
      </c>
      <c r="AB119" s="1" t="str" cm="1">
        <f t="array" ref="AB119">IF(
   SUMPRODUCT(($C$9:$G$9="CO2")*ISNUMBER($C$10:$G$10)*ISNUMBER(C119:G119)) +
   SUMPRODUCT(($H$9:$Z$9="CO2")*ISNUMBER($H$10:$Z$10)*ISNUMBER(H119:Z119)) = 0,
   "",
   IFERROR(
     (
       IF(
         SUMPRODUCT(($C$9:$G$9="CO2")*ISNUMBER($C$10:$G$10)*ISNUMBER(C119:G119)) = 0,
         0,
         SUMPRODUCT(($C$9:$G$9="CO2")*ISNUMBER($C$10:$G$10)*ISNUMBER(C119:G119)*C119:G119) /
         SUMPRODUCT(($C$9:$G$9="CO2")*ISNUMBER($C$10:$G$10)*ISNUMBER(C119:G119)*$C$10:$G$10) * 0.15
       ) +
       IF(
         SUMPRODUCT(($H$9:$Z$9="CO2")*ISNUMBER($H$10:$Z$10)*ISNUMBER(H119:Z119)) = 0,
         0,
         SUMPRODUCT(($H$9:$Z$9="CO2")*ISNUMBER($H$10:$Z$10)*ISNUMBER(H119:Z119)*H119:Z119) /
         SUMPRODUCT(($H$9:$Z$9="CO2")*ISNUMBER($H$10:$Z$10)*ISNUMBER(H119:Z119)*$H$10:$Z$10) * 0.85
       )
     ) * 100,
     ""
   )
)</f>
        <v/>
      </c>
      <c r="AC119" s="1" t="str" cm="1">
        <f t="array" ref="AC119">IF(
   SUMPRODUCT(($C$9:$G$9="CO3")*ISNUMBER($C$10:$G$10)*ISNUMBER(C119:G119)) +
   SUMPRODUCT(($H$9:$Z$9="CO3")*ISNUMBER($H$10:$Z$10)*ISNUMBER(H119:Z119)) = 0,
   "",
   IFERROR(
     (
       IF(
         SUMPRODUCT(($C$9:$G$9="CO3")*ISNUMBER($C$10:$G$10)*ISNUMBER(C119:G119)) = 0,
         0,
         SUMPRODUCT(($C$9:$G$9="CO3")*ISNUMBER($C$10:$G$10)*ISNUMBER(C119:G119)*C119:G119) /
         SUMPRODUCT(($C$9:$G$9="CO3")*ISNUMBER($C$10:$G$10)*ISNUMBER(C119:G119)*$C$10:$G$10) * 0.15
       ) +
       IF(
         SUMPRODUCT(($H$9:$Z$9="CO3")*ISNUMBER($H$10:$Z$10)*ISNUMBER(H119:Z119)) = 0,
         0,
         SUMPRODUCT(($H$9:$Z$9="CO3")*ISNUMBER($H$10:$Z$10)*ISNUMBER(H119:Z119)*H119:Z119) /
         SUMPRODUCT(($H$9:$Z$9="CO3")*ISNUMBER($H$10:$Z$10)*ISNUMBER(H119:Z119)*$H$10:$Z$10) * 0.85
       )
     ) * 100,
     ""
   )
)</f>
        <v/>
      </c>
      <c r="AD119" s="1" t="str" cm="1">
        <f t="array" ref="AD119">IF(
   SUMPRODUCT(($C$9:$G$9="CO4")*ISNUMBER($C$10:$G$10)*ISNUMBER(C119:G119)) +
   SUMPRODUCT(($H$9:$Z$9="CO4")*ISNUMBER($H$10:$Z$10)*ISNUMBER(H119:Z119)) = 0,
   "",
   IFERROR(
     (
       IF(
         SUMPRODUCT(($C$9:$G$9="CO4")*ISNUMBER($C$10:$G$10)*ISNUMBER(C119:G119)) = 0,
         0,
         SUMPRODUCT(($C$9:$G$9="CO4")*ISNUMBER($C$10:$G$10)*ISNUMBER(C119:G119)*C119:G119) /
         SUMPRODUCT(($C$9:$G$9="CO4")*ISNUMBER($C$10:$G$10)*ISNUMBER(C119:G119)*$C$10:$G$10) * 0.15
       ) +
       IF(
         SUMPRODUCT(($H$9:$Z$9="CO4")*ISNUMBER($H$10:$Z$10)*ISNUMBER(H119:Z119)) = 0,
         0,
         SUMPRODUCT(($H$9:$Z$9="CO4")*ISNUMBER($H$10:$Z$10)*ISNUMBER(H119:Z119)*H119:Z119) /
         SUMPRODUCT(($H$9:$Z$9="CO4")*ISNUMBER($H$10:$Z$10)*ISNUMBER(H119:Z119)*$H$10:$Z$10) * 0.85
       )
     ) * 100,
     ""
   )
)</f>
        <v/>
      </c>
      <c r="AE119" s="1" t="str" cm="1">
        <f t="array" ref="AE119">IF(
   SUMPRODUCT(($C$9:$G$9="CO5")*ISNUMBER($C$10:$G$10)*ISNUMBER(C119:G119)) +
   SUMPRODUCT(($H$9:$Z$9="CO5")*ISNUMBER($H$10:$Z$10)*ISNUMBER(H119:Z119)) = 0,
   "",
   IFERROR(
     (
       IF(
         SUMPRODUCT(($C$9:$G$9="CO5")*ISNUMBER($C$10:$G$10)*ISNUMBER(C119:G119)) = 0,
         0,
         SUMPRODUCT(($C$9:$G$9="CO5")*ISNUMBER($C$10:$G$10)*ISNUMBER(C119:G119)*C119:G119) /
         SUMPRODUCT(($C$9:$G$9="CO5")*ISNUMBER($C$10:$G$10)*ISNUMBER(C119:G119)*$C$10:$G$10) * 0.15
       ) +
       IF(
         SUMPRODUCT(($H$9:$Z$9="CO5")*ISNUMBER($H$10:$Z$10)*ISNUMBER(H119:Z119)) = 0,
         0,
         SUMPRODUCT(($H$9:$Z$9="CO5")*ISNUMBER($H$10:$Z$10)*ISNUMBER(H119:Z119)*H119:Z119) /
         SUMPRODUCT(($H$9:$Z$9="CO5")*ISNUMBER($H$10:$Z$10)*ISNUMBER(H119:Z119)*$H$10:$Z$10) * 0.85
       )
     ) * 100,
     ""
   )
)</f>
        <v/>
      </c>
      <c r="AF119" s="1" t="str" cm="1">
        <f t="array" ref="AF119">IF(
   SUMPRODUCT(($C$9:$G$9="CO6")*ISNUMBER($C$10:$G$10)*ISNUMBER(C119:G119)) +
   SUMPRODUCT(($H$9:$Z$9="CO6")*ISNUMBER($H$10:$Z$10)*ISNUMBER(H119:Z119)) = 0,
   "",
   IFERROR(
     (
       IF(
         SUMPRODUCT(($C$9:$G$9="CO6")*ISNUMBER($C$10:$G$10)*ISNUMBER(C119:G119)) = 0,
         0,
         SUMPRODUCT(($C$9:$G$9="CO6")*ISNUMBER($C$10:$G$10)*ISNUMBER(C119:G119)*C119:G119) /
         SUMPRODUCT(($C$9:$G$9="CO6")*ISNUMBER($C$10:$G$10)*ISNUMBER(C119:G119)*$C$10:$G$10) * 0.15
       ) +
       IF(
         SUMPRODUCT(($H$9:$Z$9="CO6")*ISNUMBER($H$10:$Z$10)*ISNUMBER(H119:Z119)) = 0,
         0,
         SUMPRODUCT(($H$9:$Z$9="CO6")*ISNUMBER($H$10:$Z$10)*ISNUMBER(H119:Z119)*H119:Z119) /
         SUMPRODUCT(($H$9:$Z$9="CO6")*ISNUMBER($H$10:$Z$10)*ISNUMBER(H119:Z119)*$H$10:$Z$10) * 0.85
       )
     ) * 100,
     ""
   )
)</f>
        <v/>
      </c>
      <c r="AG119" s="1" t="str" cm="1">
        <f t="array" ref="AG119">IF(
   SUMPRODUCT(($C$9:$G$9="CO7")*ISNUMBER($C$10:$G$10)*ISNUMBER(C119:G119)) +
   SUMPRODUCT(($H$9:$Z$9="CO7")*ISNUMBER($H$10:$Z$10)*ISNUMBER(H119:Z119)) = 0,
   "",
   IFERROR(
     (
       IF(
         SUMPRODUCT(($C$9:$G$9="CO7")*ISNUMBER($C$10:$G$10)*ISNUMBER(C119:G119)) = 0,
         0,
         SUMPRODUCT(($C$9:$G$9="CO7")*ISNUMBER($C$10:$G$10)*ISNUMBER(C119:G119)*C119:G119) /
         SUMPRODUCT(($C$9:$G$9="CO7")*ISNUMBER($C$10:$G$10)*ISNUMBER(C119:G119)*$C$10:$G$10) * 0.15
       ) +
       IF(
         SUMPRODUCT(($H$9:$Z$9="CO7")*ISNUMBER($H$10:$Z$10)*ISNUMBER(H119:Z119)) = 0,
         0,
         SUMPRODUCT(($H$9:$Z$9="CO7")*ISNUMBER($H$10:$Z$10)*ISNUMBER(H119:Z119)*H119:Z119) /
         SUMPRODUCT(($H$9:$Z$9="CO7")*ISNUMBER($H$10:$Z$10)*ISNUMBER(H119:Z119)*$H$10:$Z$10) * 0.85
       )
     ) * 100,
     ""
   )
)</f>
        <v/>
      </c>
      <c r="AH119" s="3" t="str" cm="1">
        <f t="array" ref="AH119">IF(
   SUMPRODUCT(($C$9:$G$9="CO8")*ISNUMBER($C$10:$G$10)*ISNUMBER(C119:G119)) +
   SUMPRODUCT(($H$9:$Z$9="CO8")*ISNUMBER($H$10:$Z$10)*ISNUMBER(H119:Z119)) = 0,
   "",
   IFERROR(
     (
       IF(
         SUMPRODUCT(($C$9:$G$9="CO8")*ISNUMBER($C$10:$G$10)*ISNUMBER(C119:G119)) = 0,
         0,
         SUMPRODUCT(($C$9:$G$9="CO8")*ISNUMBER($C$10:$G$10)*ISNUMBER(C119:G119)*C119:G119) /
         SUMPRODUCT(($C$9:$G$9="CO8")*ISNUMBER($C$10:$G$10)*ISNUMBER(C119:G119)*$C$10:$G$10) * 0.15
       ) +
       IF(
         SUMPRODUCT(($H$9:$Z$9="CO8")*ISNUMBER($H$10:$Z$10)*ISNUMBER(H119:Z119)) = 0,
         0,
         SUMPRODUCT(($H$9:$Z$9="CO8")*ISNUMBER($H$10:$Z$10)*ISNUMBER(H119:Z119)*H119:Z119) /
         SUMPRODUCT(($H$9:$Z$9="CO8")*ISNUMBER($H$10:$Z$10)*ISNUMBER(H119:Z119)*$H$10:$Z$10) * 0.85
       )
     ) * 100,
     ""
   )
)</f>
        <v/>
      </c>
      <c r="AI119" s="1" t="str">
        <f t="shared" si="17"/>
        <v/>
      </c>
      <c r="AJ119" s="1" t="str">
        <f t="shared" si="17"/>
        <v/>
      </c>
      <c r="AK119" s="1" t="str">
        <f t="shared" si="17"/>
        <v/>
      </c>
      <c r="AL119" s="1" t="str">
        <f t="shared" si="13"/>
        <v/>
      </c>
      <c r="AM119" s="1" t="str">
        <f t="shared" si="13"/>
        <v/>
      </c>
      <c r="AN119" s="1" t="str">
        <f t="shared" si="13"/>
        <v/>
      </c>
      <c r="AO119" s="1" t="str">
        <f t="shared" si="13"/>
        <v/>
      </c>
      <c r="AP119" s="1" t="str">
        <f t="shared" si="13"/>
        <v/>
      </c>
    </row>
    <row r="120" spans="1:42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" t="str" cm="1">
        <f t="array" ref="AA120">IF(
   SUMPRODUCT(($C$9:$G$9="CO1")*ISNUMBER($C$10:$G$10)*ISNUMBER(C120:G120)) +
   SUMPRODUCT(($H$9:$Z$9="CO1")*ISNUMBER($H$10:$Z$10)*ISNUMBER(H120:Z120)) = 0,
   "",
   IFERROR(
     (
       IF(
         SUMPRODUCT(($C$9:$G$9="CO1")*ISNUMBER($C$10:$G$10)*ISNUMBER(C120:G120)) = 0,
         0,
         SUMPRODUCT(($C$9:$G$9="CO1")*ISNUMBER($C$10:$G$10)*ISNUMBER(C120:G120)*C120:G120) /
         SUMPRODUCT(($C$9:$G$9="CO1")*ISNUMBER($C$10:$G$10)*ISNUMBER(C120:G120)*$C$10:$G$10) * 0.15
       ) +
       IF(
         SUMPRODUCT(($H$9:$Z$9="CO1")*ISNUMBER($H$10:$Z$10)*ISNUMBER(H120:Z120)) = 0,
         0,
         SUMPRODUCT(($H$9:$Z$9="CO1")*ISNUMBER($H$10:$Z$10)*ISNUMBER(H120:Z120)*H120:Z120) /
         SUMPRODUCT(($H$9:$Z$9="CO1")*ISNUMBER($H$10:$Z$10)*ISNUMBER(H120:Z120)*$H$10:$Z$10) * 0.85
       )
     ) * 100,
     ""
   )
)</f>
        <v/>
      </c>
      <c r="AB120" s="1" t="str" cm="1">
        <f t="array" ref="AB120">IF(
   SUMPRODUCT(($C$9:$G$9="CO2")*ISNUMBER($C$10:$G$10)*ISNUMBER(C120:G120)) +
   SUMPRODUCT(($H$9:$Z$9="CO2")*ISNUMBER($H$10:$Z$10)*ISNUMBER(H120:Z120)) = 0,
   "",
   IFERROR(
     (
       IF(
         SUMPRODUCT(($C$9:$G$9="CO2")*ISNUMBER($C$10:$G$10)*ISNUMBER(C120:G120)) = 0,
         0,
         SUMPRODUCT(($C$9:$G$9="CO2")*ISNUMBER($C$10:$G$10)*ISNUMBER(C120:G120)*C120:G120) /
         SUMPRODUCT(($C$9:$G$9="CO2")*ISNUMBER($C$10:$G$10)*ISNUMBER(C120:G120)*$C$10:$G$10) * 0.15
       ) +
       IF(
         SUMPRODUCT(($H$9:$Z$9="CO2")*ISNUMBER($H$10:$Z$10)*ISNUMBER(H120:Z120)) = 0,
         0,
         SUMPRODUCT(($H$9:$Z$9="CO2")*ISNUMBER($H$10:$Z$10)*ISNUMBER(H120:Z120)*H120:Z120) /
         SUMPRODUCT(($H$9:$Z$9="CO2")*ISNUMBER($H$10:$Z$10)*ISNUMBER(H120:Z120)*$H$10:$Z$10) * 0.85
       )
     ) * 100,
     ""
   )
)</f>
        <v/>
      </c>
      <c r="AC120" s="1" t="str" cm="1">
        <f t="array" ref="AC120">IF(
   SUMPRODUCT(($C$9:$G$9="CO3")*ISNUMBER($C$10:$G$10)*ISNUMBER(C120:G120)) +
   SUMPRODUCT(($H$9:$Z$9="CO3")*ISNUMBER($H$10:$Z$10)*ISNUMBER(H120:Z120)) = 0,
   "",
   IFERROR(
     (
       IF(
         SUMPRODUCT(($C$9:$G$9="CO3")*ISNUMBER($C$10:$G$10)*ISNUMBER(C120:G120)) = 0,
         0,
         SUMPRODUCT(($C$9:$G$9="CO3")*ISNUMBER($C$10:$G$10)*ISNUMBER(C120:G120)*C120:G120) /
         SUMPRODUCT(($C$9:$G$9="CO3")*ISNUMBER($C$10:$G$10)*ISNUMBER(C120:G120)*$C$10:$G$10) * 0.15
       ) +
       IF(
         SUMPRODUCT(($H$9:$Z$9="CO3")*ISNUMBER($H$10:$Z$10)*ISNUMBER(H120:Z120)) = 0,
         0,
         SUMPRODUCT(($H$9:$Z$9="CO3")*ISNUMBER($H$10:$Z$10)*ISNUMBER(H120:Z120)*H120:Z120) /
         SUMPRODUCT(($H$9:$Z$9="CO3")*ISNUMBER($H$10:$Z$10)*ISNUMBER(H120:Z120)*$H$10:$Z$10) * 0.85
       )
     ) * 100,
     ""
   )
)</f>
        <v/>
      </c>
      <c r="AD120" s="1" t="str" cm="1">
        <f t="array" ref="AD120">IF(
   SUMPRODUCT(($C$9:$G$9="CO4")*ISNUMBER($C$10:$G$10)*ISNUMBER(C120:G120)) +
   SUMPRODUCT(($H$9:$Z$9="CO4")*ISNUMBER($H$10:$Z$10)*ISNUMBER(H120:Z120)) = 0,
   "",
   IFERROR(
     (
       IF(
         SUMPRODUCT(($C$9:$G$9="CO4")*ISNUMBER($C$10:$G$10)*ISNUMBER(C120:G120)) = 0,
         0,
         SUMPRODUCT(($C$9:$G$9="CO4")*ISNUMBER($C$10:$G$10)*ISNUMBER(C120:G120)*C120:G120) /
         SUMPRODUCT(($C$9:$G$9="CO4")*ISNUMBER($C$10:$G$10)*ISNUMBER(C120:G120)*$C$10:$G$10) * 0.15
       ) +
       IF(
         SUMPRODUCT(($H$9:$Z$9="CO4")*ISNUMBER($H$10:$Z$10)*ISNUMBER(H120:Z120)) = 0,
         0,
         SUMPRODUCT(($H$9:$Z$9="CO4")*ISNUMBER($H$10:$Z$10)*ISNUMBER(H120:Z120)*H120:Z120) /
         SUMPRODUCT(($H$9:$Z$9="CO4")*ISNUMBER($H$10:$Z$10)*ISNUMBER(H120:Z120)*$H$10:$Z$10) * 0.85
       )
     ) * 100,
     ""
   )
)</f>
        <v/>
      </c>
      <c r="AE120" s="1" t="str" cm="1">
        <f t="array" ref="AE120">IF(
   SUMPRODUCT(($C$9:$G$9="CO5")*ISNUMBER($C$10:$G$10)*ISNUMBER(C120:G120)) +
   SUMPRODUCT(($H$9:$Z$9="CO5")*ISNUMBER($H$10:$Z$10)*ISNUMBER(H120:Z120)) = 0,
   "",
   IFERROR(
     (
       IF(
         SUMPRODUCT(($C$9:$G$9="CO5")*ISNUMBER($C$10:$G$10)*ISNUMBER(C120:G120)) = 0,
         0,
         SUMPRODUCT(($C$9:$G$9="CO5")*ISNUMBER($C$10:$G$10)*ISNUMBER(C120:G120)*C120:G120) /
         SUMPRODUCT(($C$9:$G$9="CO5")*ISNUMBER($C$10:$G$10)*ISNUMBER(C120:G120)*$C$10:$G$10) * 0.15
       ) +
       IF(
         SUMPRODUCT(($H$9:$Z$9="CO5")*ISNUMBER($H$10:$Z$10)*ISNUMBER(H120:Z120)) = 0,
         0,
         SUMPRODUCT(($H$9:$Z$9="CO5")*ISNUMBER($H$10:$Z$10)*ISNUMBER(H120:Z120)*H120:Z120) /
         SUMPRODUCT(($H$9:$Z$9="CO5")*ISNUMBER($H$10:$Z$10)*ISNUMBER(H120:Z120)*$H$10:$Z$10) * 0.85
       )
     ) * 100,
     ""
   )
)</f>
        <v/>
      </c>
      <c r="AF120" s="1" t="str" cm="1">
        <f t="array" ref="AF120">IF(
   SUMPRODUCT(($C$9:$G$9="CO6")*ISNUMBER($C$10:$G$10)*ISNUMBER(C120:G120)) +
   SUMPRODUCT(($H$9:$Z$9="CO6")*ISNUMBER($H$10:$Z$10)*ISNUMBER(H120:Z120)) = 0,
   "",
   IFERROR(
     (
       IF(
         SUMPRODUCT(($C$9:$G$9="CO6")*ISNUMBER($C$10:$G$10)*ISNUMBER(C120:G120)) = 0,
         0,
         SUMPRODUCT(($C$9:$G$9="CO6")*ISNUMBER($C$10:$G$10)*ISNUMBER(C120:G120)*C120:G120) /
         SUMPRODUCT(($C$9:$G$9="CO6")*ISNUMBER($C$10:$G$10)*ISNUMBER(C120:G120)*$C$10:$G$10) * 0.15
       ) +
       IF(
         SUMPRODUCT(($H$9:$Z$9="CO6")*ISNUMBER($H$10:$Z$10)*ISNUMBER(H120:Z120)) = 0,
         0,
         SUMPRODUCT(($H$9:$Z$9="CO6")*ISNUMBER($H$10:$Z$10)*ISNUMBER(H120:Z120)*H120:Z120) /
         SUMPRODUCT(($H$9:$Z$9="CO6")*ISNUMBER($H$10:$Z$10)*ISNUMBER(H120:Z120)*$H$10:$Z$10) * 0.85
       )
     ) * 100,
     ""
   )
)</f>
        <v/>
      </c>
      <c r="AG120" s="1" t="str" cm="1">
        <f t="array" ref="AG120">IF(
   SUMPRODUCT(($C$9:$G$9="CO7")*ISNUMBER($C$10:$G$10)*ISNUMBER(C120:G120)) +
   SUMPRODUCT(($H$9:$Z$9="CO7")*ISNUMBER($H$10:$Z$10)*ISNUMBER(H120:Z120)) = 0,
   "",
   IFERROR(
     (
       IF(
         SUMPRODUCT(($C$9:$G$9="CO7")*ISNUMBER($C$10:$G$10)*ISNUMBER(C120:G120)) = 0,
         0,
         SUMPRODUCT(($C$9:$G$9="CO7")*ISNUMBER($C$10:$G$10)*ISNUMBER(C120:G120)*C120:G120) /
         SUMPRODUCT(($C$9:$G$9="CO7")*ISNUMBER($C$10:$G$10)*ISNUMBER(C120:G120)*$C$10:$G$10) * 0.15
       ) +
       IF(
         SUMPRODUCT(($H$9:$Z$9="CO7")*ISNUMBER($H$10:$Z$10)*ISNUMBER(H120:Z120)) = 0,
         0,
         SUMPRODUCT(($H$9:$Z$9="CO7")*ISNUMBER($H$10:$Z$10)*ISNUMBER(H120:Z120)*H120:Z120) /
         SUMPRODUCT(($H$9:$Z$9="CO7")*ISNUMBER($H$10:$Z$10)*ISNUMBER(H120:Z120)*$H$10:$Z$10) * 0.85
       )
     ) * 100,
     ""
   )
)</f>
        <v/>
      </c>
      <c r="AH120" s="3" t="str" cm="1">
        <f t="array" ref="AH120">IF(
   SUMPRODUCT(($C$9:$G$9="CO8")*ISNUMBER($C$10:$G$10)*ISNUMBER(C120:G120)) +
   SUMPRODUCT(($H$9:$Z$9="CO8")*ISNUMBER($H$10:$Z$10)*ISNUMBER(H120:Z120)) = 0,
   "",
   IFERROR(
     (
       IF(
         SUMPRODUCT(($C$9:$G$9="CO8")*ISNUMBER($C$10:$G$10)*ISNUMBER(C120:G120)) = 0,
         0,
         SUMPRODUCT(($C$9:$G$9="CO8")*ISNUMBER($C$10:$G$10)*ISNUMBER(C120:G120)*C120:G120) /
         SUMPRODUCT(($C$9:$G$9="CO8")*ISNUMBER($C$10:$G$10)*ISNUMBER(C120:G120)*$C$10:$G$10) * 0.15
       ) +
       IF(
         SUMPRODUCT(($H$9:$Z$9="CO8")*ISNUMBER($H$10:$Z$10)*ISNUMBER(H120:Z120)) = 0,
         0,
         SUMPRODUCT(($H$9:$Z$9="CO8")*ISNUMBER($H$10:$Z$10)*ISNUMBER(H120:Z120)*H120:Z120) /
         SUMPRODUCT(($H$9:$Z$9="CO8")*ISNUMBER($H$10:$Z$10)*ISNUMBER(H120:Z120)*$H$10:$Z$10) * 0.85
       )
     ) * 100,
     ""
   )
)</f>
        <v/>
      </c>
      <c r="AI120" s="1" t="str">
        <f t="shared" si="17"/>
        <v/>
      </c>
      <c r="AJ120" s="1" t="str">
        <f t="shared" si="17"/>
        <v/>
      </c>
      <c r="AK120" s="1" t="str">
        <f t="shared" si="17"/>
        <v/>
      </c>
      <c r="AL120" s="1" t="str">
        <f t="shared" si="13"/>
        <v/>
      </c>
      <c r="AM120" s="1" t="str">
        <f t="shared" si="13"/>
        <v/>
      </c>
      <c r="AN120" s="1" t="str">
        <f t="shared" si="13"/>
        <v/>
      </c>
      <c r="AO120" s="1" t="str">
        <f t="shared" si="13"/>
        <v/>
      </c>
      <c r="AP120" s="1" t="str">
        <f t="shared" si="13"/>
        <v/>
      </c>
    </row>
    <row r="121" spans="1:42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" t="str" cm="1">
        <f t="array" ref="AA121">IF(
   SUMPRODUCT(($C$9:$G$9="CO1")*ISNUMBER($C$10:$G$10)*ISNUMBER(C121:G121)) +
   SUMPRODUCT(($H$9:$Z$9="CO1")*ISNUMBER($H$10:$Z$10)*ISNUMBER(H121:Z121)) = 0,
   "",
   IFERROR(
     (
       IF(
         SUMPRODUCT(($C$9:$G$9="CO1")*ISNUMBER($C$10:$G$10)*ISNUMBER(C121:G121)) = 0,
         0,
         SUMPRODUCT(($C$9:$G$9="CO1")*ISNUMBER($C$10:$G$10)*ISNUMBER(C121:G121)*C121:G121) /
         SUMPRODUCT(($C$9:$G$9="CO1")*ISNUMBER($C$10:$G$10)*ISNUMBER(C121:G121)*$C$10:$G$10) * 0.15
       ) +
       IF(
         SUMPRODUCT(($H$9:$Z$9="CO1")*ISNUMBER($H$10:$Z$10)*ISNUMBER(H121:Z121)) = 0,
         0,
         SUMPRODUCT(($H$9:$Z$9="CO1")*ISNUMBER($H$10:$Z$10)*ISNUMBER(H121:Z121)*H121:Z121) /
         SUMPRODUCT(($H$9:$Z$9="CO1")*ISNUMBER($H$10:$Z$10)*ISNUMBER(H121:Z121)*$H$10:$Z$10) * 0.85
       )
     ) * 100,
     ""
   )
)</f>
        <v/>
      </c>
      <c r="AB121" s="1" t="str" cm="1">
        <f t="array" ref="AB121">IF(
   SUMPRODUCT(($C$9:$G$9="CO2")*ISNUMBER($C$10:$G$10)*ISNUMBER(C121:G121)) +
   SUMPRODUCT(($H$9:$Z$9="CO2")*ISNUMBER($H$10:$Z$10)*ISNUMBER(H121:Z121)) = 0,
   "",
   IFERROR(
     (
       IF(
         SUMPRODUCT(($C$9:$G$9="CO2")*ISNUMBER($C$10:$G$10)*ISNUMBER(C121:G121)) = 0,
         0,
         SUMPRODUCT(($C$9:$G$9="CO2")*ISNUMBER($C$10:$G$10)*ISNUMBER(C121:G121)*C121:G121) /
         SUMPRODUCT(($C$9:$G$9="CO2")*ISNUMBER($C$10:$G$10)*ISNUMBER(C121:G121)*$C$10:$G$10) * 0.15
       ) +
       IF(
         SUMPRODUCT(($H$9:$Z$9="CO2")*ISNUMBER($H$10:$Z$10)*ISNUMBER(H121:Z121)) = 0,
         0,
         SUMPRODUCT(($H$9:$Z$9="CO2")*ISNUMBER($H$10:$Z$10)*ISNUMBER(H121:Z121)*H121:Z121) /
         SUMPRODUCT(($H$9:$Z$9="CO2")*ISNUMBER($H$10:$Z$10)*ISNUMBER(H121:Z121)*$H$10:$Z$10) * 0.85
       )
     ) * 100,
     ""
   )
)</f>
        <v/>
      </c>
      <c r="AC121" s="1" t="str" cm="1">
        <f t="array" ref="AC121">IF(
   SUMPRODUCT(($C$9:$G$9="CO3")*ISNUMBER($C$10:$G$10)*ISNUMBER(C121:G121)) +
   SUMPRODUCT(($H$9:$Z$9="CO3")*ISNUMBER($H$10:$Z$10)*ISNUMBER(H121:Z121)) = 0,
   "",
   IFERROR(
     (
       IF(
         SUMPRODUCT(($C$9:$G$9="CO3")*ISNUMBER($C$10:$G$10)*ISNUMBER(C121:G121)) = 0,
         0,
         SUMPRODUCT(($C$9:$G$9="CO3")*ISNUMBER($C$10:$G$10)*ISNUMBER(C121:G121)*C121:G121) /
         SUMPRODUCT(($C$9:$G$9="CO3")*ISNUMBER($C$10:$G$10)*ISNUMBER(C121:G121)*$C$10:$G$10) * 0.15
       ) +
       IF(
         SUMPRODUCT(($H$9:$Z$9="CO3")*ISNUMBER($H$10:$Z$10)*ISNUMBER(H121:Z121)) = 0,
         0,
         SUMPRODUCT(($H$9:$Z$9="CO3")*ISNUMBER($H$10:$Z$10)*ISNUMBER(H121:Z121)*H121:Z121) /
         SUMPRODUCT(($H$9:$Z$9="CO3")*ISNUMBER($H$10:$Z$10)*ISNUMBER(H121:Z121)*$H$10:$Z$10) * 0.85
       )
     ) * 100,
     ""
   )
)</f>
        <v/>
      </c>
      <c r="AD121" s="1" t="str" cm="1">
        <f t="array" ref="AD121">IF(
   SUMPRODUCT(($C$9:$G$9="CO4")*ISNUMBER($C$10:$G$10)*ISNUMBER(C121:G121)) +
   SUMPRODUCT(($H$9:$Z$9="CO4")*ISNUMBER($H$10:$Z$10)*ISNUMBER(H121:Z121)) = 0,
   "",
   IFERROR(
     (
       IF(
         SUMPRODUCT(($C$9:$G$9="CO4")*ISNUMBER($C$10:$G$10)*ISNUMBER(C121:G121)) = 0,
         0,
         SUMPRODUCT(($C$9:$G$9="CO4")*ISNUMBER($C$10:$G$10)*ISNUMBER(C121:G121)*C121:G121) /
         SUMPRODUCT(($C$9:$G$9="CO4")*ISNUMBER($C$10:$G$10)*ISNUMBER(C121:G121)*$C$10:$G$10) * 0.15
       ) +
       IF(
         SUMPRODUCT(($H$9:$Z$9="CO4")*ISNUMBER($H$10:$Z$10)*ISNUMBER(H121:Z121)) = 0,
         0,
         SUMPRODUCT(($H$9:$Z$9="CO4")*ISNUMBER($H$10:$Z$10)*ISNUMBER(H121:Z121)*H121:Z121) /
         SUMPRODUCT(($H$9:$Z$9="CO4")*ISNUMBER($H$10:$Z$10)*ISNUMBER(H121:Z121)*$H$10:$Z$10) * 0.85
       )
     ) * 100,
     ""
   )
)</f>
        <v/>
      </c>
      <c r="AE121" s="1" t="str" cm="1">
        <f t="array" ref="AE121">IF(
   SUMPRODUCT(($C$9:$G$9="CO5")*ISNUMBER($C$10:$G$10)*ISNUMBER(C121:G121)) +
   SUMPRODUCT(($H$9:$Z$9="CO5")*ISNUMBER($H$10:$Z$10)*ISNUMBER(H121:Z121)) = 0,
   "",
   IFERROR(
     (
       IF(
         SUMPRODUCT(($C$9:$G$9="CO5")*ISNUMBER($C$10:$G$10)*ISNUMBER(C121:G121)) = 0,
         0,
         SUMPRODUCT(($C$9:$G$9="CO5")*ISNUMBER($C$10:$G$10)*ISNUMBER(C121:G121)*C121:G121) /
         SUMPRODUCT(($C$9:$G$9="CO5")*ISNUMBER($C$10:$G$10)*ISNUMBER(C121:G121)*$C$10:$G$10) * 0.15
       ) +
       IF(
         SUMPRODUCT(($H$9:$Z$9="CO5")*ISNUMBER($H$10:$Z$10)*ISNUMBER(H121:Z121)) = 0,
         0,
         SUMPRODUCT(($H$9:$Z$9="CO5")*ISNUMBER($H$10:$Z$10)*ISNUMBER(H121:Z121)*H121:Z121) /
         SUMPRODUCT(($H$9:$Z$9="CO5")*ISNUMBER($H$10:$Z$10)*ISNUMBER(H121:Z121)*$H$10:$Z$10) * 0.85
       )
     ) * 100,
     ""
   )
)</f>
        <v/>
      </c>
      <c r="AF121" s="1" t="str" cm="1">
        <f t="array" ref="AF121">IF(
   SUMPRODUCT(($C$9:$G$9="CO6")*ISNUMBER($C$10:$G$10)*ISNUMBER(C121:G121)) +
   SUMPRODUCT(($H$9:$Z$9="CO6")*ISNUMBER($H$10:$Z$10)*ISNUMBER(H121:Z121)) = 0,
   "",
   IFERROR(
     (
       IF(
         SUMPRODUCT(($C$9:$G$9="CO6")*ISNUMBER($C$10:$G$10)*ISNUMBER(C121:G121)) = 0,
         0,
         SUMPRODUCT(($C$9:$G$9="CO6")*ISNUMBER($C$10:$G$10)*ISNUMBER(C121:G121)*C121:G121) /
         SUMPRODUCT(($C$9:$G$9="CO6")*ISNUMBER($C$10:$G$10)*ISNUMBER(C121:G121)*$C$10:$G$10) * 0.15
       ) +
       IF(
         SUMPRODUCT(($H$9:$Z$9="CO6")*ISNUMBER($H$10:$Z$10)*ISNUMBER(H121:Z121)) = 0,
         0,
         SUMPRODUCT(($H$9:$Z$9="CO6")*ISNUMBER($H$10:$Z$10)*ISNUMBER(H121:Z121)*H121:Z121) /
         SUMPRODUCT(($H$9:$Z$9="CO6")*ISNUMBER($H$10:$Z$10)*ISNUMBER(H121:Z121)*$H$10:$Z$10) * 0.85
       )
     ) * 100,
     ""
   )
)</f>
        <v/>
      </c>
      <c r="AG121" s="1" t="str" cm="1">
        <f t="array" ref="AG121">IF(
   SUMPRODUCT(($C$9:$G$9="CO7")*ISNUMBER($C$10:$G$10)*ISNUMBER(C121:G121)) +
   SUMPRODUCT(($H$9:$Z$9="CO7")*ISNUMBER($H$10:$Z$10)*ISNUMBER(H121:Z121)) = 0,
   "",
   IFERROR(
     (
       IF(
         SUMPRODUCT(($C$9:$G$9="CO7")*ISNUMBER($C$10:$G$10)*ISNUMBER(C121:G121)) = 0,
         0,
         SUMPRODUCT(($C$9:$G$9="CO7")*ISNUMBER($C$10:$G$10)*ISNUMBER(C121:G121)*C121:G121) /
         SUMPRODUCT(($C$9:$G$9="CO7")*ISNUMBER($C$10:$G$10)*ISNUMBER(C121:G121)*$C$10:$G$10) * 0.15
       ) +
       IF(
         SUMPRODUCT(($H$9:$Z$9="CO7")*ISNUMBER($H$10:$Z$10)*ISNUMBER(H121:Z121)) = 0,
         0,
         SUMPRODUCT(($H$9:$Z$9="CO7")*ISNUMBER($H$10:$Z$10)*ISNUMBER(H121:Z121)*H121:Z121) /
         SUMPRODUCT(($H$9:$Z$9="CO7")*ISNUMBER($H$10:$Z$10)*ISNUMBER(H121:Z121)*$H$10:$Z$10) * 0.85
       )
     ) * 100,
     ""
   )
)</f>
        <v/>
      </c>
      <c r="AH121" s="3" t="str" cm="1">
        <f t="array" ref="AH121">IF(
   SUMPRODUCT(($C$9:$G$9="CO8")*ISNUMBER($C$10:$G$10)*ISNUMBER(C121:G121)) +
   SUMPRODUCT(($H$9:$Z$9="CO8")*ISNUMBER($H$10:$Z$10)*ISNUMBER(H121:Z121)) = 0,
   "",
   IFERROR(
     (
       IF(
         SUMPRODUCT(($C$9:$G$9="CO8")*ISNUMBER($C$10:$G$10)*ISNUMBER(C121:G121)) = 0,
         0,
         SUMPRODUCT(($C$9:$G$9="CO8")*ISNUMBER($C$10:$G$10)*ISNUMBER(C121:G121)*C121:G121) /
         SUMPRODUCT(($C$9:$G$9="CO8")*ISNUMBER($C$10:$G$10)*ISNUMBER(C121:G121)*$C$10:$G$10) * 0.15
       ) +
       IF(
         SUMPRODUCT(($H$9:$Z$9="CO8")*ISNUMBER($H$10:$Z$10)*ISNUMBER(H121:Z121)) = 0,
         0,
         SUMPRODUCT(($H$9:$Z$9="CO8")*ISNUMBER($H$10:$Z$10)*ISNUMBER(H121:Z121)*H121:Z121) /
         SUMPRODUCT(($H$9:$Z$9="CO8")*ISNUMBER($H$10:$Z$10)*ISNUMBER(H121:Z121)*$H$10:$Z$10) * 0.85
       )
     ) * 100,
     ""
   )
)</f>
        <v/>
      </c>
      <c r="AI121" s="1" t="str">
        <f t="shared" si="17"/>
        <v/>
      </c>
      <c r="AJ121" s="1" t="str">
        <f t="shared" si="17"/>
        <v/>
      </c>
      <c r="AK121" s="1" t="str">
        <f t="shared" si="17"/>
        <v/>
      </c>
      <c r="AL121" s="1" t="str">
        <f t="shared" si="13"/>
        <v/>
      </c>
      <c r="AM121" s="1" t="str">
        <f t="shared" si="13"/>
        <v/>
      </c>
      <c r="AN121" s="1" t="str">
        <f t="shared" si="13"/>
        <v/>
      </c>
      <c r="AO121" s="1" t="str">
        <f t="shared" si="13"/>
        <v/>
      </c>
      <c r="AP121" s="1" t="str">
        <f t="shared" si="13"/>
        <v/>
      </c>
    </row>
    <row r="122" spans="1:42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" t="str" cm="1">
        <f t="array" ref="AA122">IF(
   SUMPRODUCT(($C$9:$G$9="CO1")*ISNUMBER($C$10:$G$10)*ISNUMBER(C122:G122)) +
   SUMPRODUCT(($H$9:$Z$9="CO1")*ISNUMBER($H$10:$Z$10)*ISNUMBER(H122:Z122)) = 0,
   "",
   IFERROR(
     (
       IF(
         SUMPRODUCT(($C$9:$G$9="CO1")*ISNUMBER($C$10:$G$10)*ISNUMBER(C122:G122)) = 0,
         0,
         SUMPRODUCT(($C$9:$G$9="CO1")*ISNUMBER($C$10:$G$10)*ISNUMBER(C122:G122)*C122:G122) /
         SUMPRODUCT(($C$9:$G$9="CO1")*ISNUMBER($C$10:$G$10)*ISNUMBER(C122:G122)*$C$10:$G$10) * 0.15
       ) +
       IF(
         SUMPRODUCT(($H$9:$Z$9="CO1")*ISNUMBER($H$10:$Z$10)*ISNUMBER(H122:Z122)) = 0,
         0,
         SUMPRODUCT(($H$9:$Z$9="CO1")*ISNUMBER($H$10:$Z$10)*ISNUMBER(H122:Z122)*H122:Z122) /
         SUMPRODUCT(($H$9:$Z$9="CO1")*ISNUMBER($H$10:$Z$10)*ISNUMBER(H122:Z122)*$H$10:$Z$10) * 0.85
       )
     ) * 100,
     ""
   )
)</f>
        <v/>
      </c>
      <c r="AB122" s="1" t="str" cm="1">
        <f t="array" ref="AB122">IF(
   SUMPRODUCT(($C$9:$G$9="CO2")*ISNUMBER($C$10:$G$10)*ISNUMBER(C122:G122)) +
   SUMPRODUCT(($H$9:$Z$9="CO2")*ISNUMBER($H$10:$Z$10)*ISNUMBER(H122:Z122)) = 0,
   "",
   IFERROR(
     (
       IF(
         SUMPRODUCT(($C$9:$G$9="CO2")*ISNUMBER($C$10:$G$10)*ISNUMBER(C122:G122)) = 0,
         0,
         SUMPRODUCT(($C$9:$G$9="CO2")*ISNUMBER($C$10:$G$10)*ISNUMBER(C122:G122)*C122:G122) /
         SUMPRODUCT(($C$9:$G$9="CO2")*ISNUMBER($C$10:$G$10)*ISNUMBER(C122:G122)*$C$10:$G$10) * 0.15
       ) +
       IF(
         SUMPRODUCT(($H$9:$Z$9="CO2")*ISNUMBER($H$10:$Z$10)*ISNUMBER(H122:Z122)) = 0,
         0,
         SUMPRODUCT(($H$9:$Z$9="CO2")*ISNUMBER($H$10:$Z$10)*ISNUMBER(H122:Z122)*H122:Z122) /
         SUMPRODUCT(($H$9:$Z$9="CO2")*ISNUMBER($H$10:$Z$10)*ISNUMBER(H122:Z122)*$H$10:$Z$10) * 0.85
       )
     ) * 100,
     ""
   )
)</f>
        <v/>
      </c>
      <c r="AC122" s="1" t="str" cm="1">
        <f t="array" ref="AC122">IF(
   SUMPRODUCT(($C$9:$G$9="CO3")*ISNUMBER($C$10:$G$10)*ISNUMBER(C122:G122)) +
   SUMPRODUCT(($H$9:$Z$9="CO3")*ISNUMBER($H$10:$Z$10)*ISNUMBER(H122:Z122)) = 0,
   "",
   IFERROR(
     (
       IF(
         SUMPRODUCT(($C$9:$G$9="CO3")*ISNUMBER($C$10:$G$10)*ISNUMBER(C122:G122)) = 0,
         0,
         SUMPRODUCT(($C$9:$G$9="CO3")*ISNUMBER($C$10:$G$10)*ISNUMBER(C122:G122)*C122:G122) /
         SUMPRODUCT(($C$9:$G$9="CO3")*ISNUMBER($C$10:$G$10)*ISNUMBER(C122:G122)*$C$10:$G$10) * 0.15
       ) +
       IF(
         SUMPRODUCT(($H$9:$Z$9="CO3")*ISNUMBER($H$10:$Z$10)*ISNUMBER(H122:Z122)) = 0,
         0,
         SUMPRODUCT(($H$9:$Z$9="CO3")*ISNUMBER($H$10:$Z$10)*ISNUMBER(H122:Z122)*H122:Z122) /
         SUMPRODUCT(($H$9:$Z$9="CO3")*ISNUMBER($H$10:$Z$10)*ISNUMBER(H122:Z122)*$H$10:$Z$10) * 0.85
       )
     ) * 100,
     ""
   )
)</f>
        <v/>
      </c>
      <c r="AD122" s="1" t="str" cm="1">
        <f t="array" ref="AD122">IF(
   SUMPRODUCT(($C$9:$G$9="CO4")*ISNUMBER($C$10:$G$10)*ISNUMBER(C122:G122)) +
   SUMPRODUCT(($H$9:$Z$9="CO4")*ISNUMBER($H$10:$Z$10)*ISNUMBER(H122:Z122)) = 0,
   "",
   IFERROR(
     (
       IF(
         SUMPRODUCT(($C$9:$G$9="CO4")*ISNUMBER($C$10:$G$10)*ISNUMBER(C122:G122)) = 0,
         0,
         SUMPRODUCT(($C$9:$G$9="CO4")*ISNUMBER($C$10:$G$10)*ISNUMBER(C122:G122)*C122:G122) /
         SUMPRODUCT(($C$9:$G$9="CO4")*ISNUMBER($C$10:$G$10)*ISNUMBER(C122:G122)*$C$10:$G$10) * 0.15
       ) +
       IF(
         SUMPRODUCT(($H$9:$Z$9="CO4")*ISNUMBER($H$10:$Z$10)*ISNUMBER(H122:Z122)) = 0,
         0,
         SUMPRODUCT(($H$9:$Z$9="CO4")*ISNUMBER($H$10:$Z$10)*ISNUMBER(H122:Z122)*H122:Z122) /
         SUMPRODUCT(($H$9:$Z$9="CO4")*ISNUMBER($H$10:$Z$10)*ISNUMBER(H122:Z122)*$H$10:$Z$10) * 0.85
       )
     ) * 100,
     ""
   )
)</f>
        <v/>
      </c>
      <c r="AE122" s="1" t="str" cm="1">
        <f t="array" ref="AE122">IF(
   SUMPRODUCT(($C$9:$G$9="CO5")*ISNUMBER($C$10:$G$10)*ISNUMBER(C122:G122)) +
   SUMPRODUCT(($H$9:$Z$9="CO5")*ISNUMBER($H$10:$Z$10)*ISNUMBER(H122:Z122)) = 0,
   "",
   IFERROR(
     (
       IF(
         SUMPRODUCT(($C$9:$G$9="CO5")*ISNUMBER($C$10:$G$10)*ISNUMBER(C122:G122)) = 0,
         0,
         SUMPRODUCT(($C$9:$G$9="CO5")*ISNUMBER($C$10:$G$10)*ISNUMBER(C122:G122)*C122:G122) /
         SUMPRODUCT(($C$9:$G$9="CO5")*ISNUMBER($C$10:$G$10)*ISNUMBER(C122:G122)*$C$10:$G$10) * 0.15
       ) +
       IF(
         SUMPRODUCT(($H$9:$Z$9="CO5")*ISNUMBER($H$10:$Z$10)*ISNUMBER(H122:Z122)) = 0,
         0,
         SUMPRODUCT(($H$9:$Z$9="CO5")*ISNUMBER($H$10:$Z$10)*ISNUMBER(H122:Z122)*H122:Z122) /
         SUMPRODUCT(($H$9:$Z$9="CO5")*ISNUMBER($H$10:$Z$10)*ISNUMBER(H122:Z122)*$H$10:$Z$10) * 0.85
       )
     ) * 100,
     ""
   )
)</f>
        <v/>
      </c>
      <c r="AF122" s="1" t="str" cm="1">
        <f t="array" ref="AF122">IF(
   SUMPRODUCT(($C$9:$G$9="CO6")*ISNUMBER($C$10:$G$10)*ISNUMBER(C122:G122)) +
   SUMPRODUCT(($H$9:$Z$9="CO6")*ISNUMBER($H$10:$Z$10)*ISNUMBER(H122:Z122)) = 0,
   "",
   IFERROR(
     (
       IF(
         SUMPRODUCT(($C$9:$G$9="CO6")*ISNUMBER($C$10:$G$10)*ISNUMBER(C122:G122)) = 0,
         0,
         SUMPRODUCT(($C$9:$G$9="CO6")*ISNUMBER($C$10:$G$10)*ISNUMBER(C122:G122)*C122:G122) /
         SUMPRODUCT(($C$9:$G$9="CO6")*ISNUMBER($C$10:$G$10)*ISNUMBER(C122:G122)*$C$10:$G$10) * 0.15
       ) +
       IF(
         SUMPRODUCT(($H$9:$Z$9="CO6")*ISNUMBER($H$10:$Z$10)*ISNUMBER(H122:Z122)) = 0,
         0,
         SUMPRODUCT(($H$9:$Z$9="CO6")*ISNUMBER($H$10:$Z$10)*ISNUMBER(H122:Z122)*H122:Z122) /
         SUMPRODUCT(($H$9:$Z$9="CO6")*ISNUMBER($H$10:$Z$10)*ISNUMBER(H122:Z122)*$H$10:$Z$10) * 0.85
       )
     ) * 100,
     ""
   )
)</f>
        <v/>
      </c>
      <c r="AG122" s="1" t="str" cm="1">
        <f t="array" ref="AG122">IF(
   SUMPRODUCT(($C$9:$G$9="CO7")*ISNUMBER($C$10:$G$10)*ISNUMBER(C122:G122)) +
   SUMPRODUCT(($H$9:$Z$9="CO7")*ISNUMBER($H$10:$Z$10)*ISNUMBER(H122:Z122)) = 0,
   "",
   IFERROR(
     (
       IF(
         SUMPRODUCT(($C$9:$G$9="CO7")*ISNUMBER($C$10:$G$10)*ISNUMBER(C122:G122)) = 0,
         0,
         SUMPRODUCT(($C$9:$G$9="CO7")*ISNUMBER($C$10:$G$10)*ISNUMBER(C122:G122)*C122:G122) /
         SUMPRODUCT(($C$9:$G$9="CO7")*ISNUMBER($C$10:$G$10)*ISNUMBER(C122:G122)*$C$10:$G$10) * 0.15
       ) +
       IF(
         SUMPRODUCT(($H$9:$Z$9="CO7")*ISNUMBER($H$10:$Z$10)*ISNUMBER(H122:Z122)) = 0,
         0,
         SUMPRODUCT(($H$9:$Z$9="CO7")*ISNUMBER($H$10:$Z$10)*ISNUMBER(H122:Z122)*H122:Z122) /
         SUMPRODUCT(($H$9:$Z$9="CO7")*ISNUMBER($H$10:$Z$10)*ISNUMBER(H122:Z122)*$H$10:$Z$10) * 0.85
       )
     ) * 100,
     ""
   )
)</f>
        <v/>
      </c>
      <c r="AH122" s="3" t="str" cm="1">
        <f t="array" ref="AH122">IF(
   SUMPRODUCT(($C$9:$G$9="CO8")*ISNUMBER($C$10:$G$10)*ISNUMBER(C122:G122)) +
   SUMPRODUCT(($H$9:$Z$9="CO8")*ISNUMBER($H$10:$Z$10)*ISNUMBER(H122:Z122)) = 0,
   "",
   IFERROR(
     (
       IF(
         SUMPRODUCT(($C$9:$G$9="CO8")*ISNUMBER($C$10:$G$10)*ISNUMBER(C122:G122)) = 0,
         0,
         SUMPRODUCT(($C$9:$G$9="CO8")*ISNUMBER($C$10:$G$10)*ISNUMBER(C122:G122)*C122:G122) /
         SUMPRODUCT(($C$9:$G$9="CO8")*ISNUMBER($C$10:$G$10)*ISNUMBER(C122:G122)*$C$10:$G$10) * 0.15
       ) +
       IF(
         SUMPRODUCT(($H$9:$Z$9="CO8")*ISNUMBER($H$10:$Z$10)*ISNUMBER(H122:Z122)) = 0,
         0,
         SUMPRODUCT(($H$9:$Z$9="CO8")*ISNUMBER($H$10:$Z$10)*ISNUMBER(H122:Z122)*H122:Z122) /
         SUMPRODUCT(($H$9:$Z$9="CO8")*ISNUMBER($H$10:$Z$10)*ISNUMBER(H122:Z122)*$H$10:$Z$10) * 0.85
       )
     ) * 100,
     ""
   )
)</f>
        <v/>
      </c>
      <c r="AI122" s="1" t="str">
        <f t="shared" si="17"/>
        <v/>
      </c>
      <c r="AJ122" s="1" t="str">
        <f t="shared" si="17"/>
        <v/>
      </c>
      <c r="AK122" s="1" t="str">
        <f t="shared" si="17"/>
        <v/>
      </c>
      <c r="AL122" s="1" t="str">
        <f t="shared" si="13"/>
        <v/>
      </c>
      <c r="AM122" s="1" t="str">
        <f t="shared" si="13"/>
        <v/>
      </c>
      <c r="AN122" s="1" t="str">
        <f t="shared" si="13"/>
        <v/>
      </c>
      <c r="AO122" s="1" t="str">
        <f t="shared" si="13"/>
        <v/>
      </c>
      <c r="AP122" s="1" t="str">
        <f t="shared" si="13"/>
        <v/>
      </c>
    </row>
    <row r="123" spans="1:42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" t="str" cm="1">
        <f t="array" ref="AA123">IF(
   SUMPRODUCT(($C$9:$G$9="CO1")*ISNUMBER($C$10:$G$10)*ISNUMBER(C123:G123)) +
   SUMPRODUCT(($H$9:$Z$9="CO1")*ISNUMBER($H$10:$Z$10)*ISNUMBER(H123:Z123)) = 0,
   "",
   IFERROR(
     (
       IF(
         SUMPRODUCT(($C$9:$G$9="CO1")*ISNUMBER($C$10:$G$10)*ISNUMBER(C123:G123)) = 0,
         0,
         SUMPRODUCT(($C$9:$G$9="CO1")*ISNUMBER($C$10:$G$10)*ISNUMBER(C123:G123)*C123:G123) /
         SUMPRODUCT(($C$9:$G$9="CO1")*ISNUMBER($C$10:$G$10)*ISNUMBER(C123:G123)*$C$10:$G$10) * 0.15
       ) +
       IF(
         SUMPRODUCT(($H$9:$Z$9="CO1")*ISNUMBER($H$10:$Z$10)*ISNUMBER(H123:Z123)) = 0,
         0,
         SUMPRODUCT(($H$9:$Z$9="CO1")*ISNUMBER($H$10:$Z$10)*ISNUMBER(H123:Z123)*H123:Z123) /
         SUMPRODUCT(($H$9:$Z$9="CO1")*ISNUMBER($H$10:$Z$10)*ISNUMBER(H123:Z123)*$H$10:$Z$10) * 0.85
       )
     ) * 100,
     ""
   )
)</f>
        <v/>
      </c>
      <c r="AB123" s="1" t="str" cm="1">
        <f t="array" ref="AB123">IF(
   SUMPRODUCT(($C$9:$G$9="CO2")*ISNUMBER($C$10:$G$10)*ISNUMBER(C123:G123)) +
   SUMPRODUCT(($H$9:$Z$9="CO2")*ISNUMBER($H$10:$Z$10)*ISNUMBER(H123:Z123)) = 0,
   "",
   IFERROR(
     (
       IF(
         SUMPRODUCT(($C$9:$G$9="CO2")*ISNUMBER($C$10:$G$10)*ISNUMBER(C123:G123)) = 0,
         0,
         SUMPRODUCT(($C$9:$G$9="CO2")*ISNUMBER($C$10:$G$10)*ISNUMBER(C123:G123)*C123:G123) /
         SUMPRODUCT(($C$9:$G$9="CO2")*ISNUMBER($C$10:$G$10)*ISNUMBER(C123:G123)*$C$10:$G$10) * 0.15
       ) +
       IF(
         SUMPRODUCT(($H$9:$Z$9="CO2")*ISNUMBER($H$10:$Z$10)*ISNUMBER(H123:Z123)) = 0,
         0,
         SUMPRODUCT(($H$9:$Z$9="CO2")*ISNUMBER($H$10:$Z$10)*ISNUMBER(H123:Z123)*H123:Z123) /
         SUMPRODUCT(($H$9:$Z$9="CO2")*ISNUMBER($H$10:$Z$10)*ISNUMBER(H123:Z123)*$H$10:$Z$10) * 0.85
       )
     ) * 100,
     ""
   )
)</f>
        <v/>
      </c>
      <c r="AC123" s="1" t="str" cm="1">
        <f t="array" ref="AC123">IF(
   SUMPRODUCT(($C$9:$G$9="CO3")*ISNUMBER($C$10:$G$10)*ISNUMBER(C123:G123)) +
   SUMPRODUCT(($H$9:$Z$9="CO3")*ISNUMBER($H$10:$Z$10)*ISNUMBER(H123:Z123)) = 0,
   "",
   IFERROR(
     (
       IF(
         SUMPRODUCT(($C$9:$G$9="CO3")*ISNUMBER($C$10:$G$10)*ISNUMBER(C123:G123)) = 0,
         0,
         SUMPRODUCT(($C$9:$G$9="CO3")*ISNUMBER($C$10:$G$10)*ISNUMBER(C123:G123)*C123:G123) /
         SUMPRODUCT(($C$9:$G$9="CO3")*ISNUMBER($C$10:$G$10)*ISNUMBER(C123:G123)*$C$10:$G$10) * 0.15
       ) +
       IF(
         SUMPRODUCT(($H$9:$Z$9="CO3")*ISNUMBER($H$10:$Z$10)*ISNUMBER(H123:Z123)) = 0,
         0,
         SUMPRODUCT(($H$9:$Z$9="CO3")*ISNUMBER($H$10:$Z$10)*ISNUMBER(H123:Z123)*H123:Z123) /
         SUMPRODUCT(($H$9:$Z$9="CO3")*ISNUMBER($H$10:$Z$10)*ISNUMBER(H123:Z123)*$H$10:$Z$10) * 0.85
       )
     ) * 100,
     ""
   )
)</f>
        <v/>
      </c>
      <c r="AD123" s="1" t="str" cm="1">
        <f t="array" ref="AD123">IF(
   SUMPRODUCT(($C$9:$G$9="CO4")*ISNUMBER($C$10:$G$10)*ISNUMBER(C123:G123)) +
   SUMPRODUCT(($H$9:$Z$9="CO4")*ISNUMBER($H$10:$Z$10)*ISNUMBER(H123:Z123)) = 0,
   "",
   IFERROR(
     (
       IF(
         SUMPRODUCT(($C$9:$G$9="CO4")*ISNUMBER($C$10:$G$10)*ISNUMBER(C123:G123)) = 0,
         0,
         SUMPRODUCT(($C$9:$G$9="CO4")*ISNUMBER($C$10:$G$10)*ISNUMBER(C123:G123)*C123:G123) /
         SUMPRODUCT(($C$9:$G$9="CO4")*ISNUMBER($C$10:$G$10)*ISNUMBER(C123:G123)*$C$10:$G$10) * 0.15
       ) +
       IF(
         SUMPRODUCT(($H$9:$Z$9="CO4")*ISNUMBER($H$10:$Z$10)*ISNUMBER(H123:Z123)) = 0,
         0,
         SUMPRODUCT(($H$9:$Z$9="CO4")*ISNUMBER($H$10:$Z$10)*ISNUMBER(H123:Z123)*H123:Z123) /
         SUMPRODUCT(($H$9:$Z$9="CO4")*ISNUMBER($H$10:$Z$10)*ISNUMBER(H123:Z123)*$H$10:$Z$10) * 0.85
       )
     ) * 100,
     ""
   )
)</f>
        <v/>
      </c>
      <c r="AE123" s="1" t="str" cm="1">
        <f t="array" ref="AE123">IF(
   SUMPRODUCT(($C$9:$G$9="CO5")*ISNUMBER($C$10:$G$10)*ISNUMBER(C123:G123)) +
   SUMPRODUCT(($H$9:$Z$9="CO5")*ISNUMBER($H$10:$Z$10)*ISNUMBER(H123:Z123)) = 0,
   "",
   IFERROR(
     (
       IF(
         SUMPRODUCT(($C$9:$G$9="CO5")*ISNUMBER($C$10:$G$10)*ISNUMBER(C123:G123)) = 0,
         0,
         SUMPRODUCT(($C$9:$G$9="CO5")*ISNUMBER($C$10:$G$10)*ISNUMBER(C123:G123)*C123:G123) /
         SUMPRODUCT(($C$9:$G$9="CO5")*ISNUMBER($C$10:$G$10)*ISNUMBER(C123:G123)*$C$10:$G$10) * 0.15
       ) +
       IF(
         SUMPRODUCT(($H$9:$Z$9="CO5")*ISNUMBER($H$10:$Z$10)*ISNUMBER(H123:Z123)) = 0,
         0,
         SUMPRODUCT(($H$9:$Z$9="CO5")*ISNUMBER($H$10:$Z$10)*ISNUMBER(H123:Z123)*H123:Z123) /
         SUMPRODUCT(($H$9:$Z$9="CO5")*ISNUMBER($H$10:$Z$10)*ISNUMBER(H123:Z123)*$H$10:$Z$10) * 0.85
       )
     ) * 100,
     ""
   )
)</f>
        <v/>
      </c>
      <c r="AF123" s="1" t="str" cm="1">
        <f t="array" ref="AF123">IF(
   SUMPRODUCT(($C$9:$G$9="CO6")*ISNUMBER($C$10:$G$10)*ISNUMBER(C123:G123)) +
   SUMPRODUCT(($H$9:$Z$9="CO6")*ISNUMBER($H$10:$Z$10)*ISNUMBER(H123:Z123)) = 0,
   "",
   IFERROR(
     (
       IF(
         SUMPRODUCT(($C$9:$G$9="CO6")*ISNUMBER($C$10:$G$10)*ISNUMBER(C123:G123)) = 0,
         0,
         SUMPRODUCT(($C$9:$G$9="CO6")*ISNUMBER($C$10:$G$10)*ISNUMBER(C123:G123)*C123:G123) /
         SUMPRODUCT(($C$9:$G$9="CO6")*ISNUMBER($C$10:$G$10)*ISNUMBER(C123:G123)*$C$10:$G$10) * 0.15
       ) +
       IF(
         SUMPRODUCT(($H$9:$Z$9="CO6")*ISNUMBER($H$10:$Z$10)*ISNUMBER(H123:Z123)) = 0,
         0,
         SUMPRODUCT(($H$9:$Z$9="CO6")*ISNUMBER($H$10:$Z$10)*ISNUMBER(H123:Z123)*H123:Z123) /
         SUMPRODUCT(($H$9:$Z$9="CO6")*ISNUMBER($H$10:$Z$10)*ISNUMBER(H123:Z123)*$H$10:$Z$10) * 0.85
       )
     ) * 100,
     ""
   )
)</f>
        <v/>
      </c>
      <c r="AG123" s="1" t="str" cm="1">
        <f t="array" ref="AG123">IF(
   SUMPRODUCT(($C$9:$G$9="CO7")*ISNUMBER($C$10:$G$10)*ISNUMBER(C123:G123)) +
   SUMPRODUCT(($H$9:$Z$9="CO7")*ISNUMBER($H$10:$Z$10)*ISNUMBER(H123:Z123)) = 0,
   "",
   IFERROR(
     (
       IF(
         SUMPRODUCT(($C$9:$G$9="CO7")*ISNUMBER($C$10:$G$10)*ISNUMBER(C123:G123)) = 0,
         0,
         SUMPRODUCT(($C$9:$G$9="CO7")*ISNUMBER($C$10:$G$10)*ISNUMBER(C123:G123)*C123:G123) /
         SUMPRODUCT(($C$9:$G$9="CO7")*ISNUMBER($C$10:$G$10)*ISNUMBER(C123:G123)*$C$10:$G$10) * 0.15
       ) +
       IF(
         SUMPRODUCT(($H$9:$Z$9="CO7")*ISNUMBER($H$10:$Z$10)*ISNUMBER(H123:Z123)) = 0,
         0,
         SUMPRODUCT(($H$9:$Z$9="CO7")*ISNUMBER($H$10:$Z$10)*ISNUMBER(H123:Z123)*H123:Z123) /
         SUMPRODUCT(($H$9:$Z$9="CO7")*ISNUMBER($H$10:$Z$10)*ISNUMBER(H123:Z123)*$H$10:$Z$10) * 0.85
       )
     ) * 100,
     ""
   )
)</f>
        <v/>
      </c>
      <c r="AH123" s="3" t="str" cm="1">
        <f t="array" ref="AH123">IF(
   SUMPRODUCT(($C$9:$G$9="CO8")*ISNUMBER($C$10:$G$10)*ISNUMBER(C123:G123)) +
   SUMPRODUCT(($H$9:$Z$9="CO8")*ISNUMBER($H$10:$Z$10)*ISNUMBER(H123:Z123)) = 0,
   "",
   IFERROR(
     (
       IF(
         SUMPRODUCT(($C$9:$G$9="CO8")*ISNUMBER($C$10:$G$10)*ISNUMBER(C123:G123)) = 0,
         0,
         SUMPRODUCT(($C$9:$G$9="CO8")*ISNUMBER($C$10:$G$10)*ISNUMBER(C123:G123)*C123:G123) /
         SUMPRODUCT(($C$9:$G$9="CO8")*ISNUMBER($C$10:$G$10)*ISNUMBER(C123:G123)*$C$10:$G$10) * 0.15
       ) +
       IF(
         SUMPRODUCT(($H$9:$Z$9="CO8")*ISNUMBER($H$10:$Z$10)*ISNUMBER(H123:Z123)) = 0,
         0,
         SUMPRODUCT(($H$9:$Z$9="CO8")*ISNUMBER($H$10:$Z$10)*ISNUMBER(H123:Z123)*H123:Z123) /
         SUMPRODUCT(($H$9:$Z$9="CO8")*ISNUMBER($H$10:$Z$10)*ISNUMBER(H123:Z123)*$H$10:$Z$10) * 0.85
       )
     ) * 100,
     ""
   )
)</f>
        <v/>
      </c>
      <c r="AI123" s="1" t="str">
        <f t="shared" si="17"/>
        <v/>
      </c>
      <c r="AJ123" s="1" t="str">
        <f t="shared" si="17"/>
        <v/>
      </c>
      <c r="AK123" s="1" t="str">
        <f t="shared" si="17"/>
        <v/>
      </c>
      <c r="AL123" s="1" t="str">
        <f t="shared" si="13"/>
        <v/>
      </c>
      <c r="AM123" s="1" t="str">
        <f t="shared" si="13"/>
        <v/>
      </c>
      <c r="AN123" s="1" t="str">
        <f t="shared" si="13"/>
        <v/>
      </c>
      <c r="AO123" s="1" t="str">
        <f t="shared" si="13"/>
        <v/>
      </c>
      <c r="AP123" s="1" t="str">
        <f t="shared" si="13"/>
        <v/>
      </c>
    </row>
    <row r="124" spans="1:42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" t="str" cm="1">
        <f t="array" ref="AA124">IF(
   SUMPRODUCT(($C$9:$G$9="CO1")*ISNUMBER($C$10:$G$10)*ISNUMBER(C124:G124)) +
   SUMPRODUCT(($H$9:$Z$9="CO1")*ISNUMBER($H$10:$Z$10)*ISNUMBER(H124:Z124)) = 0,
   "",
   IFERROR(
     (
       IF(
         SUMPRODUCT(($C$9:$G$9="CO1")*ISNUMBER($C$10:$G$10)*ISNUMBER(C124:G124)) = 0,
         0,
         SUMPRODUCT(($C$9:$G$9="CO1")*ISNUMBER($C$10:$G$10)*ISNUMBER(C124:G124)*C124:G124) /
         SUMPRODUCT(($C$9:$G$9="CO1")*ISNUMBER($C$10:$G$10)*ISNUMBER(C124:G124)*$C$10:$G$10) * 0.15
       ) +
       IF(
         SUMPRODUCT(($H$9:$Z$9="CO1")*ISNUMBER($H$10:$Z$10)*ISNUMBER(H124:Z124)) = 0,
         0,
         SUMPRODUCT(($H$9:$Z$9="CO1")*ISNUMBER($H$10:$Z$10)*ISNUMBER(H124:Z124)*H124:Z124) /
         SUMPRODUCT(($H$9:$Z$9="CO1")*ISNUMBER($H$10:$Z$10)*ISNUMBER(H124:Z124)*$H$10:$Z$10) * 0.85
       )
     ) * 100,
     ""
   )
)</f>
        <v/>
      </c>
      <c r="AB124" s="1" t="str" cm="1">
        <f t="array" ref="AB124">IF(
   SUMPRODUCT(($C$9:$G$9="CO2")*ISNUMBER($C$10:$G$10)*ISNUMBER(C124:G124)) +
   SUMPRODUCT(($H$9:$Z$9="CO2")*ISNUMBER($H$10:$Z$10)*ISNUMBER(H124:Z124)) = 0,
   "",
   IFERROR(
     (
       IF(
         SUMPRODUCT(($C$9:$G$9="CO2")*ISNUMBER($C$10:$G$10)*ISNUMBER(C124:G124)) = 0,
         0,
         SUMPRODUCT(($C$9:$G$9="CO2")*ISNUMBER($C$10:$G$10)*ISNUMBER(C124:G124)*C124:G124) /
         SUMPRODUCT(($C$9:$G$9="CO2")*ISNUMBER($C$10:$G$10)*ISNUMBER(C124:G124)*$C$10:$G$10) * 0.15
       ) +
       IF(
         SUMPRODUCT(($H$9:$Z$9="CO2")*ISNUMBER($H$10:$Z$10)*ISNUMBER(H124:Z124)) = 0,
         0,
         SUMPRODUCT(($H$9:$Z$9="CO2")*ISNUMBER($H$10:$Z$10)*ISNUMBER(H124:Z124)*H124:Z124) /
         SUMPRODUCT(($H$9:$Z$9="CO2")*ISNUMBER($H$10:$Z$10)*ISNUMBER(H124:Z124)*$H$10:$Z$10) * 0.85
       )
     ) * 100,
     ""
   )
)</f>
        <v/>
      </c>
      <c r="AC124" s="1" t="str" cm="1">
        <f t="array" ref="AC124">IF(
   SUMPRODUCT(($C$9:$G$9="CO3")*ISNUMBER($C$10:$G$10)*ISNUMBER(C124:G124)) +
   SUMPRODUCT(($H$9:$Z$9="CO3")*ISNUMBER($H$10:$Z$10)*ISNUMBER(H124:Z124)) = 0,
   "",
   IFERROR(
     (
       IF(
         SUMPRODUCT(($C$9:$G$9="CO3")*ISNUMBER($C$10:$G$10)*ISNUMBER(C124:G124)) = 0,
         0,
         SUMPRODUCT(($C$9:$G$9="CO3")*ISNUMBER($C$10:$G$10)*ISNUMBER(C124:G124)*C124:G124) /
         SUMPRODUCT(($C$9:$G$9="CO3")*ISNUMBER($C$10:$G$10)*ISNUMBER(C124:G124)*$C$10:$G$10) * 0.15
       ) +
       IF(
         SUMPRODUCT(($H$9:$Z$9="CO3")*ISNUMBER($H$10:$Z$10)*ISNUMBER(H124:Z124)) = 0,
         0,
         SUMPRODUCT(($H$9:$Z$9="CO3")*ISNUMBER($H$10:$Z$10)*ISNUMBER(H124:Z124)*H124:Z124) /
         SUMPRODUCT(($H$9:$Z$9="CO3")*ISNUMBER($H$10:$Z$10)*ISNUMBER(H124:Z124)*$H$10:$Z$10) * 0.85
       )
     ) * 100,
     ""
   )
)</f>
        <v/>
      </c>
      <c r="AD124" s="1" t="str" cm="1">
        <f t="array" ref="AD124">IF(
   SUMPRODUCT(($C$9:$G$9="CO4")*ISNUMBER($C$10:$G$10)*ISNUMBER(C124:G124)) +
   SUMPRODUCT(($H$9:$Z$9="CO4")*ISNUMBER($H$10:$Z$10)*ISNUMBER(H124:Z124)) = 0,
   "",
   IFERROR(
     (
       IF(
         SUMPRODUCT(($C$9:$G$9="CO4")*ISNUMBER($C$10:$G$10)*ISNUMBER(C124:G124)) = 0,
         0,
         SUMPRODUCT(($C$9:$G$9="CO4")*ISNUMBER($C$10:$G$10)*ISNUMBER(C124:G124)*C124:G124) /
         SUMPRODUCT(($C$9:$G$9="CO4")*ISNUMBER($C$10:$G$10)*ISNUMBER(C124:G124)*$C$10:$G$10) * 0.15
       ) +
       IF(
         SUMPRODUCT(($H$9:$Z$9="CO4")*ISNUMBER($H$10:$Z$10)*ISNUMBER(H124:Z124)) = 0,
         0,
         SUMPRODUCT(($H$9:$Z$9="CO4")*ISNUMBER($H$10:$Z$10)*ISNUMBER(H124:Z124)*H124:Z124) /
         SUMPRODUCT(($H$9:$Z$9="CO4")*ISNUMBER($H$10:$Z$10)*ISNUMBER(H124:Z124)*$H$10:$Z$10) * 0.85
       )
     ) * 100,
     ""
   )
)</f>
        <v/>
      </c>
      <c r="AE124" s="1" t="str" cm="1">
        <f t="array" ref="AE124">IF(
   SUMPRODUCT(($C$9:$G$9="CO5")*ISNUMBER($C$10:$G$10)*ISNUMBER(C124:G124)) +
   SUMPRODUCT(($H$9:$Z$9="CO5")*ISNUMBER($H$10:$Z$10)*ISNUMBER(H124:Z124)) = 0,
   "",
   IFERROR(
     (
       IF(
         SUMPRODUCT(($C$9:$G$9="CO5")*ISNUMBER($C$10:$G$10)*ISNUMBER(C124:G124)) = 0,
         0,
         SUMPRODUCT(($C$9:$G$9="CO5")*ISNUMBER($C$10:$G$10)*ISNUMBER(C124:G124)*C124:G124) /
         SUMPRODUCT(($C$9:$G$9="CO5")*ISNUMBER($C$10:$G$10)*ISNUMBER(C124:G124)*$C$10:$G$10) * 0.15
       ) +
       IF(
         SUMPRODUCT(($H$9:$Z$9="CO5")*ISNUMBER($H$10:$Z$10)*ISNUMBER(H124:Z124)) = 0,
         0,
         SUMPRODUCT(($H$9:$Z$9="CO5")*ISNUMBER($H$10:$Z$10)*ISNUMBER(H124:Z124)*H124:Z124) /
         SUMPRODUCT(($H$9:$Z$9="CO5")*ISNUMBER($H$10:$Z$10)*ISNUMBER(H124:Z124)*$H$10:$Z$10) * 0.85
       )
     ) * 100,
     ""
   )
)</f>
        <v/>
      </c>
      <c r="AF124" s="1" t="str" cm="1">
        <f t="array" ref="AF124">IF(
   SUMPRODUCT(($C$9:$G$9="CO6")*ISNUMBER($C$10:$G$10)*ISNUMBER(C124:G124)) +
   SUMPRODUCT(($H$9:$Z$9="CO6")*ISNUMBER($H$10:$Z$10)*ISNUMBER(H124:Z124)) = 0,
   "",
   IFERROR(
     (
       IF(
         SUMPRODUCT(($C$9:$G$9="CO6")*ISNUMBER($C$10:$G$10)*ISNUMBER(C124:G124)) = 0,
         0,
         SUMPRODUCT(($C$9:$G$9="CO6")*ISNUMBER($C$10:$G$10)*ISNUMBER(C124:G124)*C124:G124) /
         SUMPRODUCT(($C$9:$G$9="CO6")*ISNUMBER($C$10:$G$10)*ISNUMBER(C124:G124)*$C$10:$G$10) * 0.15
       ) +
       IF(
         SUMPRODUCT(($H$9:$Z$9="CO6")*ISNUMBER($H$10:$Z$10)*ISNUMBER(H124:Z124)) = 0,
         0,
         SUMPRODUCT(($H$9:$Z$9="CO6")*ISNUMBER($H$10:$Z$10)*ISNUMBER(H124:Z124)*H124:Z124) /
         SUMPRODUCT(($H$9:$Z$9="CO6")*ISNUMBER($H$10:$Z$10)*ISNUMBER(H124:Z124)*$H$10:$Z$10) * 0.85
       )
     ) * 100,
     ""
   )
)</f>
        <v/>
      </c>
      <c r="AG124" s="1" t="str" cm="1">
        <f t="array" ref="AG124">IF(
   SUMPRODUCT(($C$9:$G$9="CO7")*ISNUMBER($C$10:$G$10)*ISNUMBER(C124:G124)) +
   SUMPRODUCT(($H$9:$Z$9="CO7")*ISNUMBER($H$10:$Z$10)*ISNUMBER(H124:Z124)) = 0,
   "",
   IFERROR(
     (
       IF(
         SUMPRODUCT(($C$9:$G$9="CO7")*ISNUMBER($C$10:$G$10)*ISNUMBER(C124:G124)) = 0,
         0,
         SUMPRODUCT(($C$9:$G$9="CO7")*ISNUMBER($C$10:$G$10)*ISNUMBER(C124:G124)*C124:G124) /
         SUMPRODUCT(($C$9:$G$9="CO7")*ISNUMBER($C$10:$G$10)*ISNUMBER(C124:G124)*$C$10:$G$10) * 0.15
       ) +
       IF(
         SUMPRODUCT(($H$9:$Z$9="CO7")*ISNUMBER($H$10:$Z$10)*ISNUMBER(H124:Z124)) = 0,
         0,
         SUMPRODUCT(($H$9:$Z$9="CO7")*ISNUMBER($H$10:$Z$10)*ISNUMBER(H124:Z124)*H124:Z124) /
         SUMPRODUCT(($H$9:$Z$9="CO7")*ISNUMBER($H$10:$Z$10)*ISNUMBER(H124:Z124)*$H$10:$Z$10) * 0.85
       )
     ) * 100,
     ""
   )
)</f>
        <v/>
      </c>
      <c r="AH124" s="3" t="str" cm="1">
        <f t="array" ref="AH124">IF(
   SUMPRODUCT(($C$9:$G$9="CO8")*ISNUMBER($C$10:$G$10)*ISNUMBER(C124:G124)) +
   SUMPRODUCT(($H$9:$Z$9="CO8")*ISNUMBER($H$10:$Z$10)*ISNUMBER(H124:Z124)) = 0,
   "",
   IFERROR(
     (
       IF(
         SUMPRODUCT(($C$9:$G$9="CO8")*ISNUMBER($C$10:$G$10)*ISNUMBER(C124:G124)) = 0,
         0,
         SUMPRODUCT(($C$9:$G$9="CO8")*ISNUMBER($C$10:$G$10)*ISNUMBER(C124:G124)*C124:G124) /
         SUMPRODUCT(($C$9:$G$9="CO8")*ISNUMBER($C$10:$G$10)*ISNUMBER(C124:G124)*$C$10:$G$10) * 0.15
       ) +
       IF(
         SUMPRODUCT(($H$9:$Z$9="CO8")*ISNUMBER($H$10:$Z$10)*ISNUMBER(H124:Z124)) = 0,
         0,
         SUMPRODUCT(($H$9:$Z$9="CO8")*ISNUMBER($H$10:$Z$10)*ISNUMBER(H124:Z124)*H124:Z124) /
         SUMPRODUCT(($H$9:$Z$9="CO8")*ISNUMBER($H$10:$Z$10)*ISNUMBER(H124:Z124)*$H$10:$Z$10) * 0.85
       )
     ) * 100,
     ""
   )
)</f>
        <v/>
      </c>
      <c r="AI124" s="1" t="str">
        <f t="shared" si="17"/>
        <v/>
      </c>
      <c r="AJ124" s="1" t="str">
        <f t="shared" si="17"/>
        <v/>
      </c>
      <c r="AK124" s="1" t="str">
        <f t="shared" si="17"/>
        <v/>
      </c>
      <c r="AL124" s="1" t="str">
        <f t="shared" si="13"/>
        <v/>
      </c>
      <c r="AM124" s="1" t="str">
        <f t="shared" si="13"/>
        <v/>
      </c>
      <c r="AN124" s="1" t="str">
        <f t="shared" si="13"/>
        <v/>
      </c>
      <c r="AO124" s="1" t="str">
        <f t="shared" si="13"/>
        <v/>
      </c>
      <c r="AP124" s="1" t="str">
        <f t="shared" si="13"/>
        <v/>
      </c>
    </row>
    <row r="125" spans="1:42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" t="str" cm="1">
        <f t="array" ref="AA125">IF(
   SUMPRODUCT(($C$9:$G$9="CO1")*ISNUMBER($C$10:$G$10)*ISNUMBER(C125:G125)) +
   SUMPRODUCT(($H$9:$Z$9="CO1")*ISNUMBER($H$10:$Z$10)*ISNUMBER(H125:Z125)) = 0,
   "",
   IFERROR(
     (
       IF(
         SUMPRODUCT(($C$9:$G$9="CO1")*ISNUMBER($C$10:$G$10)*ISNUMBER(C125:G125)) = 0,
         0,
         SUMPRODUCT(($C$9:$G$9="CO1")*ISNUMBER($C$10:$G$10)*ISNUMBER(C125:G125)*C125:G125) /
         SUMPRODUCT(($C$9:$G$9="CO1")*ISNUMBER($C$10:$G$10)*ISNUMBER(C125:G125)*$C$10:$G$10) * 0.15
       ) +
       IF(
         SUMPRODUCT(($H$9:$Z$9="CO1")*ISNUMBER($H$10:$Z$10)*ISNUMBER(H125:Z125)) = 0,
         0,
         SUMPRODUCT(($H$9:$Z$9="CO1")*ISNUMBER($H$10:$Z$10)*ISNUMBER(H125:Z125)*H125:Z125) /
         SUMPRODUCT(($H$9:$Z$9="CO1")*ISNUMBER($H$10:$Z$10)*ISNUMBER(H125:Z125)*$H$10:$Z$10) * 0.85
       )
     ) * 100,
     ""
   )
)</f>
        <v/>
      </c>
      <c r="AB125" s="1" t="str" cm="1">
        <f t="array" ref="AB125">IF(
   SUMPRODUCT(($C$9:$G$9="CO2")*ISNUMBER($C$10:$G$10)*ISNUMBER(C125:G125)) +
   SUMPRODUCT(($H$9:$Z$9="CO2")*ISNUMBER($H$10:$Z$10)*ISNUMBER(H125:Z125)) = 0,
   "",
   IFERROR(
     (
       IF(
         SUMPRODUCT(($C$9:$G$9="CO2")*ISNUMBER($C$10:$G$10)*ISNUMBER(C125:G125)) = 0,
         0,
         SUMPRODUCT(($C$9:$G$9="CO2")*ISNUMBER($C$10:$G$10)*ISNUMBER(C125:G125)*C125:G125) /
         SUMPRODUCT(($C$9:$G$9="CO2")*ISNUMBER($C$10:$G$10)*ISNUMBER(C125:G125)*$C$10:$G$10) * 0.15
       ) +
       IF(
         SUMPRODUCT(($H$9:$Z$9="CO2")*ISNUMBER($H$10:$Z$10)*ISNUMBER(H125:Z125)) = 0,
         0,
         SUMPRODUCT(($H$9:$Z$9="CO2")*ISNUMBER($H$10:$Z$10)*ISNUMBER(H125:Z125)*H125:Z125) /
         SUMPRODUCT(($H$9:$Z$9="CO2")*ISNUMBER($H$10:$Z$10)*ISNUMBER(H125:Z125)*$H$10:$Z$10) * 0.85
       )
     ) * 100,
     ""
   )
)</f>
        <v/>
      </c>
      <c r="AC125" s="1" t="str" cm="1">
        <f t="array" ref="AC125">IF(
   SUMPRODUCT(($C$9:$G$9="CO3")*ISNUMBER($C$10:$G$10)*ISNUMBER(C125:G125)) +
   SUMPRODUCT(($H$9:$Z$9="CO3")*ISNUMBER($H$10:$Z$10)*ISNUMBER(H125:Z125)) = 0,
   "",
   IFERROR(
     (
       IF(
         SUMPRODUCT(($C$9:$G$9="CO3")*ISNUMBER($C$10:$G$10)*ISNUMBER(C125:G125)) = 0,
         0,
         SUMPRODUCT(($C$9:$G$9="CO3")*ISNUMBER($C$10:$G$10)*ISNUMBER(C125:G125)*C125:G125) /
         SUMPRODUCT(($C$9:$G$9="CO3")*ISNUMBER($C$10:$G$10)*ISNUMBER(C125:G125)*$C$10:$G$10) * 0.15
       ) +
       IF(
         SUMPRODUCT(($H$9:$Z$9="CO3")*ISNUMBER($H$10:$Z$10)*ISNUMBER(H125:Z125)) = 0,
         0,
         SUMPRODUCT(($H$9:$Z$9="CO3")*ISNUMBER($H$10:$Z$10)*ISNUMBER(H125:Z125)*H125:Z125) /
         SUMPRODUCT(($H$9:$Z$9="CO3")*ISNUMBER($H$10:$Z$10)*ISNUMBER(H125:Z125)*$H$10:$Z$10) * 0.85
       )
     ) * 100,
     ""
   )
)</f>
        <v/>
      </c>
      <c r="AD125" s="1" t="str" cm="1">
        <f t="array" ref="AD125">IF(
   SUMPRODUCT(($C$9:$G$9="CO4")*ISNUMBER($C$10:$G$10)*ISNUMBER(C125:G125)) +
   SUMPRODUCT(($H$9:$Z$9="CO4")*ISNUMBER($H$10:$Z$10)*ISNUMBER(H125:Z125)) = 0,
   "",
   IFERROR(
     (
       IF(
         SUMPRODUCT(($C$9:$G$9="CO4")*ISNUMBER($C$10:$G$10)*ISNUMBER(C125:G125)) = 0,
         0,
         SUMPRODUCT(($C$9:$G$9="CO4")*ISNUMBER($C$10:$G$10)*ISNUMBER(C125:G125)*C125:G125) /
         SUMPRODUCT(($C$9:$G$9="CO4")*ISNUMBER($C$10:$G$10)*ISNUMBER(C125:G125)*$C$10:$G$10) * 0.15
       ) +
       IF(
         SUMPRODUCT(($H$9:$Z$9="CO4")*ISNUMBER($H$10:$Z$10)*ISNUMBER(H125:Z125)) = 0,
         0,
         SUMPRODUCT(($H$9:$Z$9="CO4")*ISNUMBER($H$10:$Z$10)*ISNUMBER(H125:Z125)*H125:Z125) /
         SUMPRODUCT(($H$9:$Z$9="CO4")*ISNUMBER($H$10:$Z$10)*ISNUMBER(H125:Z125)*$H$10:$Z$10) * 0.85
       )
     ) * 100,
     ""
   )
)</f>
        <v/>
      </c>
      <c r="AE125" s="1" t="str" cm="1">
        <f t="array" ref="AE125">IF(
   SUMPRODUCT(($C$9:$G$9="CO5")*ISNUMBER($C$10:$G$10)*ISNUMBER(C125:G125)) +
   SUMPRODUCT(($H$9:$Z$9="CO5")*ISNUMBER($H$10:$Z$10)*ISNUMBER(H125:Z125)) = 0,
   "",
   IFERROR(
     (
       IF(
         SUMPRODUCT(($C$9:$G$9="CO5")*ISNUMBER($C$10:$G$10)*ISNUMBER(C125:G125)) = 0,
         0,
         SUMPRODUCT(($C$9:$G$9="CO5")*ISNUMBER($C$10:$G$10)*ISNUMBER(C125:G125)*C125:G125) /
         SUMPRODUCT(($C$9:$G$9="CO5")*ISNUMBER($C$10:$G$10)*ISNUMBER(C125:G125)*$C$10:$G$10) * 0.15
       ) +
       IF(
         SUMPRODUCT(($H$9:$Z$9="CO5")*ISNUMBER($H$10:$Z$10)*ISNUMBER(H125:Z125)) = 0,
         0,
         SUMPRODUCT(($H$9:$Z$9="CO5")*ISNUMBER($H$10:$Z$10)*ISNUMBER(H125:Z125)*H125:Z125) /
         SUMPRODUCT(($H$9:$Z$9="CO5")*ISNUMBER($H$10:$Z$10)*ISNUMBER(H125:Z125)*$H$10:$Z$10) * 0.85
       )
     ) * 100,
     ""
   )
)</f>
        <v/>
      </c>
      <c r="AF125" s="1" t="str" cm="1">
        <f t="array" ref="AF125">IF(
   SUMPRODUCT(($C$9:$G$9="CO6")*ISNUMBER($C$10:$G$10)*ISNUMBER(C125:G125)) +
   SUMPRODUCT(($H$9:$Z$9="CO6")*ISNUMBER($H$10:$Z$10)*ISNUMBER(H125:Z125)) = 0,
   "",
   IFERROR(
     (
       IF(
         SUMPRODUCT(($C$9:$G$9="CO6")*ISNUMBER($C$10:$G$10)*ISNUMBER(C125:G125)) = 0,
         0,
         SUMPRODUCT(($C$9:$G$9="CO6")*ISNUMBER($C$10:$G$10)*ISNUMBER(C125:G125)*C125:G125) /
         SUMPRODUCT(($C$9:$G$9="CO6")*ISNUMBER($C$10:$G$10)*ISNUMBER(C125:G125)*$C$10:$G$10) * 0.15
       ) +
       IF(
         SUMPRODUCT(($H$9:$Z$9="CO6")*ISNUMBER($H$10:$Z$10)*ISNUMBER(H125:Z125)) = 0,
         0,
         SUMPRODUCT(($H$9:$Z$9="CO6")*ISNUMBER($H$10:$Z$10)*ISNUMBER(H125:Z125)*H125:Z125) /
         SUMPRODUCT(($H$9:$Z$9="CO6")*ISNUMBER($H$10:$Z$10)*ISNUMBER(H125:Z125)*$H$10:$Z$10) * 0.85
       )
     ) * 100,
     ""
   )
)</f>
        <v/>
      </c>
      <c r="AG125" s="1" t="str" cm="1">
        <f t="array" ref="AG125">IF(
   SUMPRODUCT(($C$9:$G$9="CO7")*ISNUMBER($C$10:$G$10)*ISNUMBER(C125:G125)) +
   SUMPRODUCT(($H$9:$Z$9="CO7")*ISNUMBER($H$10:$Z$10)*ISNUMBER(H125:Z125)) = 0,
   "",
   IFERROR(
     (
       IF(
         SUMPRODUCT(($C$9:$G$9="CO7")*ISNUMBER($C$10:$G$10)*ISNUMBER(C125:G125)) = 0,
         0,
         SUMPRODUCT(($C$9:$G$9="CO7")*ISNUMBER($C$10:$G$10)*ISNUMBER(C125:G125)*C125:G125) /
         SUMPRODUCT(($C$9:$G$9="CO7")*ISNUMBER($C$10:$G$10)*ISNUMBER(C125:G125)*$C$10:$G$10) * 0.15
       ) +
       IF(
         SUMPRODUCT(($H$9:$Z$9="CO7")*ISNUMBER($H$10:$Z$10)*ISNUMBER(H125:Z125)) = 0,
         0,
         SUMPRODUCT(($H$9:$Z$9="CO7")*ISNUMBER($H$10:$Z$10)*ISNUMBER(H125:Z125)*H125:Z125) /
         SUMPRODUCT(($H$9:$Z$9="CO7")*ISNUMBER($H$10:$Z$10)*ISNUMBER(H125:Z125)*$H$10:$Z$10) * 0.85
       )
     ) * 100,
     ""
   )
)</f>
        <v/>
      </c>
      <c r="AH125" s="3" t="str" cm="1">
        <f t="array" ref="AH125">IF(
   SUMPRODUCT(($C$9:$G$9="CO8")*ISNUMBER($C$10:$G$10)*ISNUMBER(C125:G125)) +
   SUMPRODUCT(($H$9:$Z$9="CO8")*ISNUMBER($H$10:$Z$10)*ISNUMBER(H125:Z125)) = 0,
   "",
   IFERROR(
     (
       IF(
         SUMPRODUCT(($C$9:$G$9="CO8")*ISNUMBER($C$10:$G$10)*ISNUMBER(C125:G125)) = 0,
         0,
         SUMPRODUCT(($C$9:$G$9="CO8")*ISNUMBER($C$10:$G$10)*ISNUMBER(C125:G125)*C125:G125) /
         SUMPRODUCT(($C$9:$G$9="CO8")*ISNUMBER($C$10:$G$10)*ISNUMBER(C125:G125)*$C$10:$G$10) * 0.15
       ) +
       IF(
         SUMPRODUCT(($H$9:$Z$9="CO8")*ISNUMBER($H$10:$Z$10)*ISNUMBER(H125:Z125)) = 0,
         0,
         SUMPRODUCT(($H$9:$Z$9="CO8")*ISNUMBER($H$10:$Z$10)*ISNUMBER(H125:Z125)*H125:Z125) /
         SUMPRODUCT(($H$9:$Z$9="CO8")*ISNUMBER($H$10:$Z$10)*ISNUMBER(H125:Z125)*$H$10:$Z$10) * 0.85
       )
     ) * 100,
     ""
   )
)</f>
        <v/>
      </c>
      <c r="AI125" s="1" t="str">
        <f t="shared" si="17"/>
        <v/>
      </c>
      <c r="AJ125" s="1" t="str">
        <f t="shared" si="17"/>
        <v/>
      </c>
      <c r="AK125" s="1" t="str">
        <f t="shared" si="17"/>
        <v/>
      </c>
      <c r="AL125" s="1" t="str">
        <f t="shared" si="13"/>
        <v/>
      </c>
      <c r="AM125" s="1" t="str">
        <f t="shared" si="13"/>
        <v/>
      </c>
      <c r="AN125" s="1" t="str">
        <f t="shared" si="13"/>
        <v/>
      </c>
      <c r="AO125" s="1" t="str">
        <f t="shared" si="13"/>
        <v/>
      </c>
      <c r="AP125" s="1" t="str">
        <f t="shared" si="13"/>
        <v/>
      </c>
    </row>
    <row r="126" spans="1:42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" t="str" cm="1">
        <f t="array" ref="AA126">IF(
   SUMPRODUCT(($C$9:$G$9="CO1")*ISNUMBER($C$10:$G$10)*ISNUMBER(C126:G126)) +
   SUMPRODUCT(($H$9:$Z$9="CO1")*ISNUMBER($H$10:$Z$10)*ISNUMBER(H126:Z126)) = 0,
   "",
   IFERROR(
     (
       IF(
         SUMPRODUCT(($C$9:$G$9="CO1")*ISNUMBER($C$10:$G$10)*ISNUMBER(C126:G126)) = 0,
         0,
         SUMPRODUCT(($C$9:$G$9="CO1")*ISNUMBER($C$10:$G$10)*ISNUMBER(C126:G126)*C126:G126) /
         SUMPRODUCT(($C$9:$G$9="CO1")*ISNUMBER($C$10:$G$10)*ISNUMBER(C126:G126)*$C$10:$G$10) * 0.15
       ) +
       IF(
         SUMPRODUCT(($H$9:$Z$9="CO1")*ISNUMBER($H$10:$Z$10)*ISNUMBER(H126:Z126)) = 0,
         0,
         SUMPRODUCT(($H$9:$Z$9="CO1")*ISNUMBER($H$10:$Z$10)*ISNUMBER(H126:Z126)*H126:Z126) /
         SUMPRODUCT(($H$9:$Z$9="CO1")*ISNUMBER($H$10:$Z$10)*ISNUMBER(H126:Z126)*$H$10:$Z$10) * 0.85
       )
     ) * 100,
     ""
   )
)</f>
        <v/>
      </c>
      <c r="AB126" s="1" t="str" cm="1">
        <f t="array" ref="AB126">IF(
   SUMPRODUCT(($C$9:$G$9="CO2")*ISNUMBER($C$10:$G$10)*ISNUMBER(C126:G126)) +
   SUMPRODUCT(($H$9:$Z$9="CO2")*ISNUMBER($H$10:$Z$10)*ISNUMBER(H126:Z126)) = 0,
   "",
   IFERROR(
     (
       IF(
         SUMPRODUCT(($C$9:$G$9="CO2")*ISNUMBER($C$10:$G$10)*ISNUMBER(C126:G126)) = 0,
         0,
         SUMPRODUCT(($C$9:$G$9="CO2")*ISNUMBER($C$10:$G$10)*ISNUMBER(C126:G126)*C126:G126) /
         SUMPRODUCT(($C$9:$G$9="CO2")*ISNUMBER($C$10:$G$10)*ISNUMBER(C126:G126)*$C$10:$G$10) * 0.15
       ) +
       IF(
         SUMPRODUCT(($H$9:$Z$9="CO2")*ISNUMBER($H$10:$Z$10)*ISNUMBER(H126:Z126)) = 0,
         0,
         SUMPRODUCT(($H$9:$Z$9="CO2")*ISNUMBER($H$10:$Z$10)*ISNUMBER(H126:Z126)*H126:Z126) /
         SUMPRODUCT(($H$9:$Z$9="CO2")*ISNUMBER($H$10:$Z$10)*ISNUMBER(H126:Z126)*$H$10:$Z$10) * 0.85
       )
     ) * 100,
     ""
   )
)</f>
        <v/>
      </c>
      <c r="AC126" s="1" t="str" cm="1">
        <f t="array" ref="AC126">IF(
   SUMPRODUCT(($C$9:$G$9="CO3")*ISNUMBER($C$10:$G$10)*ISNUMBER(C126:G126)) +
   SUMPRODUCT(($H$9:$Z$9="CO3")*ISNUMBER($H$10:$Z$10)*ISNUMBER(H126:Z126)) = 0,
   "",
   IFERROR(
     (
       IF(
         SUMPRODUCT(($C$9:$G$9="CO3")*ISNUMBER($C$10:$G$10)*ISNUMBER(C126:G126)) = 0,
         0,
         SUMPRODUCT(($C$9:$G$9="CO3")*ISNUMBER($C$10:$G$10)*ISNUMBER(C126:G126)*C126:G126) /
         SUMPRODUCT(($C$9:$G$9="CO3")*ISNUMBER($C$10:$G$10)*ISNUMBER(C126:G126)*$C$10:$G$10) * 0.15
       ) +
       IF(
         SUMPRODUCT(($H$9:$Z$9="CO3")*ISNUMBER($H$10:$Z$10)*ISNUMBER(H126:Z126)) = 0,
         0,
         SUMPRODUCT(($H$9:$Z$9="CO3")*ISNUMBER($H$10:$Z$10)*ISNUMBER(H126:Z126)*H126:Z126) /
         SUMPRODUCT(($H$9:$Z$9="CO3")*ISNUMBER($H$10:$Z$10)*ISNUMBER(H126:Z126)*$H$10:$Z$10) * 0.85
       )
     ) * 100,
     ""
   )
)</f>
        <v/>
      </c>
      <c r="AD126" s="1" t="str" cm="1">
        <f t="array" ref="AD126">IF(
   SUMPRODUCT(($C$9:$G$9="CO4")*ISNUMBER($C$10:$G$10)*ISNUMBER(C126:G126)) +
   SUMPRODUCT(($H$9:$Z$9="CO4")*ISNUMBER($H$10:$Z$10)*ISNUMBER(H126:Z126)) = 0,
   "",
   IFERROR(
     (
       IF(
         SUMPRODUCT(($C$9:$G$9="CO4")*ISNUMBER($C$10:$G$10)*ISNUMBER(C126:G126)) = 0,
         0,
         SUMPRODUCT(($C$9:$G$9="CO4")*ISNUMBER($C$10:$G$10)*ISNUMBER(C126:G126)*C126:G126) /
         SUMPRODUCT(($C$9:$G$9="CO4")*ISNUMBER($C$10:$G$10)*ISNUMBER(C126:G126)*$C$10:$G$10) * 0.15
       ) +
       IF(
         SUMPRODUCT(($H$9:$Z$9="CO4")*ISNUMBER($H$10:$Z$10)*ISNUMBER(H126:Z126)) = 0,
         0,
         SUMPRODUCT(($H$9:$Z$9="CO4")*ISNUMBER($H$10:$Z$10)*ISNUMBER(H126:Z126)*H126:Z126) /
         SUMPRODUCT(($H$9:$Z$9="CO4")*ISNUMBER($H$10:$Z$10)*ISNUMBER(H126:Z126)*$H$10:$Z$10) * 0.85
       )
     ) * 100,
     ""
   )
)</f>
        <v/>
      </c>
      <c r="AE126" s="1" t="str" cm="1">
        <f t="array" ref="AE126">IF(
   SUMPRODUCT(($C$9:$G$9="CO5")*ISNUMBER($C$10:$G$10)*ISNUMBER(C126:G126)) +
   SUMPRODUCT(($H$9:$Z$9="CO5")*ISNUMBER($H$10:$Z$10)*ISNUMBER(H126:Z126)) = 0,
   "",
   IFERROR(
     (
       IF(
         SUMPRODUCT(($C$9:$G$9="CO5")*ISNUMBER($C$10:$G$10)*ISNUMBER(C126:G126)) = 0,
         0,
         SUMPRODUCT(($C$9:$G$9="CO5")*ISNUMBER($C$10:$G$10)*ISNUMBER(C126:G126)*C126:G126) /
         SUMPRODUCT(($C$9:$G$9="CO5")*ISNUMBER($C$10:$G$10)*ISNUMBER(C126:G126)*$C$10:$G$10) * 0.15
       ) +
       IF(
         SUMPRODUCT(($H$9:$Z$9="CO5")*ISNUMBER($H$10:$Z$10)*ISNUMBER(H126:Z126)) = 0,
         0,
         SUMPRODUCT(($H$9:$Z$9="CO5")*ISNUMBER($H$10:$Z$10)*ISNUMBER(H126:Z126)*H126:Z126) /
         SUMPRODUCT(($H$9:$Z$9="CO5")*ISNUMBER($H$10:$Z$10)*ISNUMBER(H126:Z126)*$H$10:$Z$10) * 0.85
       )
     ) * 100,
     ""
   )
)</f>
        <v/>
      </c>
      <c r="AF126" s="1" t="str" cm="1">
        <f t="array" ref="AF126">IF(
   SUMPRODUCT(($C$9:$G$9="CO6")*ISNUMBER($C$10:$G$10)*ISNUMBER(C126:G126)) +
   SUMPRODUCT(($H$9:$Z$9="CO6")*ISNUMBER($H$10:$Z$10)*ISNUMBER(H126:Z126)) = 0,
   "",
   IFERROR(
     (
       IF(
         SUMPRODUCT(($C$9:$G$9="CO6")*ISNUMBER($C$10:$G$10)*ISNUMBER(C126:G126)) = 0,
         0,
         SUMPRODUCT(($C$9:$G$9="CO6")*ISNUMBER($C$10:$G$10)*ISNUMBER(C126:G126)*C126:G126) /
         SUMPRODUCT(($C$9:$G$9="CO6")*ISNUMBER($C$10:$G$10)*ISNUMBER(C126:G126)*$C$10:$G$10) * 0.15
       ) +
       IF(
         SUMPRODUCT(($H$9:$Z$9="CO6")*ISNUMBER($H$10:$Z$10)*ISNUMBER(H126:Z126)) = 0,
         0,
         SUMPRODUCT(($H$9:$Z$9="CO6")*ISNUMBER($H$10:$Z$10)*ISNUMBER(H126:Z126)*H126:Z126) /
         SUMPRODUCT(($H$9:$Z$9="CO6")*ISNUMBER($H$10:$Z$10)*ISNUMBER(H126:Z126)*$H$10:$Z$10) * 0.85
       )
     ) * 100,
     ""
   )
)</f>
        <v/>
      </c>
      <c r="AG126" s="1" t="str" cm="1">
        <f t="array" ref="AG126">IF(
   SUMPRODUCT(($C$9:$G$9="CO7")*ISNUMBER($C$10:$G$10)*ISNUMBER(C126:G126)) +
   SUMPRODUCT(($H$9:$Z$9="CO7")*ISNUMBER($H$10:$Z$10)*ISNUMBER(H126:Z126)) = 0,
   "",
   IFERROR(
     (
       IF(
         SUMPRODUCT(($C$9:$G$9="CO7")*ISNUMBER($C$10:$G$10)*ISNUMBER(C126:G126)) = 0,
         0,
         SUMPRODUCT(($C$9:$G$9="CO7")*ISNUMBER($C$10:$G$10)*ISNUMBER(C126:G126)*C126:G126) /
         SUMPRODUCT(($C$9:$G$9="CO7")*ISNUMBER($C$10:$G$10)*ISNUMBER(C126:G126)*$C$10:$G$10) * 0.15
       ) +
       IF(
         SUMPRODUCT(($H$9:$Z$9="CO7")*ISNUMBER($H$10:$Z$10)*ISNUMBER(H126:Z126)) = 0,
         0,
         SUMPRODUCT(($H$9:$Z$9="CO7")*ISNUMBER($H$10:$Z$10)*ISNUMBER(H126:Z126)*H126:Z126) /
         SUMPRODUCT(($H$9:$Z$9="CO7")*ISNUMBER($H$10:$Z$10)*ISNUMBER(H126:Z126)*$H$10:$Z$10) * 0.85
       )
     ) * 100,
     ""
   )
)</f>
        <v/>
      </c>
      <c r="AH126" s="3" t="str" cm="1">
        <f t="array" ref="AH126">IF(
   SUMPRODUCT(($C$9:$G$9="CO8")*ISNUMBER($C$10:$G$10)*ISNUMBER(C126:G126)) +
   SUMPRODUCT(($H$9:$Z$9="CO8")*ISNUMBER($H$10:$Z$10)*ISNUMBER(H126:Z126)) = 0,
   "",
   IFERROR(
     (
       IF(
         SUMPRODUCT(($C$9:$G$9="CO8")*ISNUMBER($C$10:$G$10)*ISNUMBER(C126:G126)) = 0,
         0,
         SUMPRODUCT(($C$9:$G$9="CO8")*ISNUMBER($C$10:$G$10)*ISNUMBER(C126:G126)*C126:G126) /
         SUMPRODUCT(($C$9:$G$9="CO8")*ISNUMBER($C$10:$G$10)*ISNUMBER(C126:G126)*$C$10:$G$10) * 0.15
       ) +
       IF(
         SUMPRODUCT(($H$9:$Z$9="CO8")*ISNUMBER($H$10:$Z$10)*ISNUMBER(H126:Z126)) = 0,
         0,
         SUMPRODUCT(($H$9:$Z$9="CO8")*ISNUMBER($H$10:$Z$10)*ISNUMBER(H126:Z126)*H126:Z126) /
         SUMPRODUCT(($H$9:$Z$9="CO8")*ISNUMBER($H$10:$Z$10)*ISNUMBER(H126:Z126)*$H$10:$Z$10) * 0.85
       )
     ) * 100,
     ""
   )
)</f>
        <v/>
      </c>
      <c r="AI126" s="1" t="str">
        <f t="shared" si="17"/>
        <v/>
      </c>
      <c r="AJ126" s="1" t="str">
        <f t="shared" si="17"/>
        <v/>
      </c>
      <c r="AK126" s="1" t="str">
        <f t="shared" si="17"/>
        <v/>
      </c>
      <c r="AL126" s="1" t="str">
        <f t="shared" si="13"/>
        <v/>
      </c>
      <c r="AM126" s="1" t="str">
        <f t="shared" si="13"/>
        <v/>
      </c>
      <c r="AN126" s="1" t="str">
        <f t="shared" si="13"/>
        <v/>
      </c>
      <c r="AO126" s="1" t="str">
        <f t="shared" si="13"/>
        <v/>
      </c>
      <c r="AP126" s="1" t="str">
        <f t="shared" si="13"/>
        <v/>
      </c>
    </row>
    <row r="127" spans="1:42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" t="str" cm="1">
        <f t="array" ref="AA127">IF(
   SUMPRODUCT(($C$9:$G$9="CO1")*ISNUMBER($C$10:$G$10)*ISNUMBER(C127:G127)) +
   SUMPRODUCT(($H$9:$Z$9="CO1")*ISNUMBER($H$10:$Z$10)*ISNUMBER(H127:Z127)) = 0,
   "",
   IFERROR(
     (
       IF(
         SUMPRODUCT(($C$9:$G$9="CO1")*ISNUMBER($C$10:$G$10)*ISNUMBER(C127:G127)) = 0,
         0,
         SUMPRODUCT(($C$9:$G$9="CO1")*ISNUMBER($C$10:$G$10)*ISNUMBER(C127:G127)*C127:G127) /
         SUMPRODUCT(($C$9:$G$9="CO1")*ISNUMBER($C$10:$G$10)*ISNUMBER(C127:G127)*$C$10:$G$10) * 0.15
       ) +
       IF(
         SUMPRODUCT(($H$9:$Z$9="CO1")*ISNUMBER($H$10:$Z$10)*ISNUMBER(H127:Z127)) = 0,
         0,
         SUMPRODUCT(($H$9:$Z$9="CO1")*ISNUMBER($H$10:$Z$10)*ISNUMBER(H127:Z127)*H127:Z127) /
         SUMPRODUCT(($H$9:$Z$9="CO1")*ISNUMBER($H$10:$Z$10)*ISNUMBER(H127:Z127)*$H$10:$Z$10) * 0.85
       )
     ) * 100,
     ""
   )
)</f>
        <v/>
      </c>
      <c r="AB127" s="1" t="str" cm="1">
        <f t="array" ref="AB127">IF(
   SUMPRODUCT(($C$9:$G$9="CO2")*ISNUMBER($C$10:$G$10)*ISNUMBER(C127:G127)) +
   SUMPRODUCT(($H$9:$Z$9="CO2")*ISNUMBER($H$10:$Z$10)*ISNUMBER(H127:Z127)) = 0,
   "",
   IFERROR(
     (
       IF(
         SUMPRODUCT(($C$9:$G$9="CO2")*ISNUMBER($C$10:$G$10)*ISNUMBER(C127:G127)) = 0,
         0,
         SUMPRODUCT(($C$9:$G$9="CO2")*ISNUMBER($C$10:$G$10)*ISNUMBER(C127:G127)*C127:G127) /
         SUMPRODUCT(($C$9:$G$9="CO2")*ISNUMBER($C$10:$G$10)*ISNUMBER(C127:G127)*$C$10:$G$10) * 0.15
       ) +
       IF(
         SUMPRODUCT(($H$9:$Z$9="CO2")*ISNUMBER($H$10:$Z$10)*ISNUMBER(H127:Z127)) = 0,
         0,
         SUMPRODUCT(($H$9:$Z$9="CO2")*ISNUMBER($H$10:$Z$10)*ISNUMBER(H127:Z127)*H127:Z127) /
         SUMPRODUCT(($H$9:$Z$9="CO2")*ISNUMBER($H$10:$Z$10)*ISNUMBER(H127:Z127)*$H$10:$Z$10) * 0.85
       )
     ) * 100,
     ""
   )
)</f>
        <v/>
      </c>
      <c r="AC127" s="1" t="str" cm="1">
        <f t="array" ref="AC127">IF(
   SUMPRODUCT(($C$9:$G$9="CO3")*ISNUMBER($C$10:$G$10)*ISNUMBER(C127:G127)) +
   SUMPRODUCT(($H$9:$Z$9="CO3")*ISNUMBER($H$10:$Z$10)*ISNUMBER(H127:Z127)) = 0,
   "",
   IFERROR(
     (
       IF(
         SUMPRODUCT(($C$9:$G$9="CO3")*ISNUMBER($C$10:$G$10)*ISNUMBER(C127:G127)) = 0,
         0,
         SUMPRODUCT(($C$9:$G$9="CO3")*ISNUMBER($C$10:$G$10)*ISNUMBER(C127:G127)*C127:G127) /
         SUMPRODUCT(($C$9:$G$9="CO3")*ISNUMBER($C$10:$G$10)*ISNUMBER(C127:G127)*$C$10:$G$10) * 0.15
       ) +
       IF(
         SUMPRODUCT(($H$9:$Z$9="CO3")*ISNUMBER($H$10:$Z$10)*ISNUMBER(H127:Z127)) = 0,
         0,
         SUMPRODUCT(($H$9:$Z$9="CO3")*ISNUMBER($H$10:$Z$10)*ISNUMBER(H127:Z127)*H127:Z127) /
         SUMPRODUCT(($H$9:$Z$9="CO3")*ISNUMBER($H$10:$Z$10)*ISNUMBER(H127:Z127)*$H$10:$Z$10) * 0.85
       )
     ) * 100,
     ""
   )
)</f>
        <v/>
      </c>
      <c r="AD127" s="1" t="str" cm="1">
        <f t="array" ref="AD127">IF(
   SUMPRODUCT(($C$9:$G$9="CO4")*ISNUMBER($C$10:$G$10)*ISNUMBER(C127:G127)) +
   SUMPRODUCT(($H$9:$Z$9="CO4")*ISNUMBER($H$10:$Z$10)*ISNUMBER(H127:Z127)) = 0,
   "",
   IFERROR(
     (
       IF(
         SUMPRODUCT(($C$9:$G$9="CO4")*ISNUMBER($C$10:$G$10)*ISNUMBER(C127:G127)) = 0,
         0,
         SUMPRODUCT(($C$9:$G$9="CO4")*ISNUMBER($C$10:$G$10)*ISNUMBER(C127:G127)*C127:G127) /
         SUMPRODUCT(($C$9:$G$9="CO4")*ISNUMBER($C$10:$G$10)*ISNUMBER(C127:G127)*$C$10:$G$10) * 0.15
       ) +
       IF(
         SUMPRODUCT(($H$9:$Z$9="CO4")*ISNUMBER($H$10:$Z$10)*ISNUMBER(H127:Z127)) = 0,
         0,
         SUMPRODUCT(($H$9:$Z$9="CO4")*ISNUMBER($H$10:$Z$10)*ISNUMBER(H127:Z127)*H127:Z127) /
         SUMPRODUCT(($H$9:$Z$9="CO4")*ISNUMBER($H$10:$Z$10)*ISNUMBER(H127:Z127)*$H$10:$Z$10) * 0.85
       )
     ) * 100,
     ""
   )
)</f>
        <v/>
      </c>
      <c r="AE127" s="1" t="str" cm="1">
        <f t="array" ref="AE127">IF(
   SUMPRODUCT(($C$9:$G$9="CO5")*ISNUMBER($C$10:$G$10)*ISNUMBER(C127:G127)) +
   SUMPRODUCT(($H$9:$Z$9="CO5")*ISNUMBER($H$10:$Z$10)*ISNUMBER(H127:Z127)) = 0,
   "",
   IFERROR(
     (
       IF(
         SUMPRODUCT(($C$9:$G$9="CO5")*ISNUMBER($C$10:$G$10)*ISNUMBER(C127:G127)) = 0,
         0,
         SUMPRODUCT(($C$9:$G$9="CO5")*ISNUMBER($C$10:$G$10)*ISNUMBER(C127:G127)*C127:G127) /
         SUMPRODUCT(($C$9:$G$9="CO5")*ISNUMBER($C$10:$G$10)*ISNUMBER(C127:G127)*$C$10:$G$10) * 0.15
       ) +
       IF(
         SUMPRODUCT(($H$9:$Z$9="CO5")*ISNUMBER($H$10:$Z$10)*ISNUMBER(H127:Z127)) = 0,
         0,
         SUMPRODUCT(($H$9:$Z$9="CO5")*ISNUMBER($H$10:$Z$10)*ISNUMBER(H127:Z127)*H127:Z127) /
         SUMPRODUCT(($H$9:$Z$9="CO5")*ISNUMBER($H$10:$Z$10)*ISNUMBER(H127:Z127)*$H$10:$Z$10) * 0.85
       )
     ) * 100,
     ""
   )
)</f>
        <v/>
      </c>
      <c r="AF127" s="1" t="str" cm="1">
        <f t="array" ref="AF127">IF(
   SUMPRODUCT(($C$9:$G$9="CO6")*ISNUMBER($C$10:$G$10)*ISNUMBER(C127:G127)) +
   SUMPRODUCT(($H$9:$Z$9="CO6")*ISNUMBER($H$10:$Z$10)*ISNUMBER(H127:Z127)) = 0,
   "",
   IFERROR(
     (
       IF(
         SUMPRODUCT(($C$9:$G$9="CO6")*ISNUMBER($C$10:$G$10)*ISNUMBER(C127:G127)) = 0,
         0,
         SUMPRODUCT(($C$9:$G$9="CO6")*ISNUMBER($C$10:$G$10)*ISNUMBER(C127:G127)*C127:G127) /
         SUMPRODUCT(($C$9:$G$9="CO6")*ISNUMBER($C$10:$G$10)*ISNUMBER(C127:G127)*$C$10:$G$10) * 0.15
       ) +
       IF(
         SUMPRODUCT(($H$9:$Z$9="CO6")*ISNUMBER($H$10:$Z$10)*ISNUMBER(H127:Z127)) = 0,
         0,
         SUMPRODUCT(($H$9:$Z$9="CO6")*ISNUMBER($H$10:$Z$10)*ISNUMBER(H127:Z127)*H127:Z127) /
         SUMPRODUCT(($H$9:$Z$9="CO6")*ISNUMBER($H$10:$Z$10)*ISNUMBER(H127:Z127)*$H$10:$Z$10) * 0.85
       )
     ) * 100,
     ""
   )
)</f>
        <v/>
      </c>
      <c r="AG127" s="1" t="str" cm="1">
        <f t="array" ref="AG127">IF(
   SUMPRODUCT(($C$9:$G$9="CO7")*ISNUMBER($C$10:$G$10)*ISNUMBER(C127:G127)) +
   SUMPRODUCT(($H$9:$Z$9="CO7")*ISNUMBER($H$10:$Z$10)*ISNUMBER(H127:Z127)) = 0,
   "",
   IFERROR(
     (
       IF(
         SUMPRODUCT(($C$9:$G$9="CO7")*ISNUMBER($C$10:$G$10)*ISNUMBER(C127:G127)) = 0,
         0,
         SUMPRODUCT(($C$9:$G$9="CO7")*ISNUMBER($C$10:$G$10)*ISNUMBER(C127:G127)*C127:G127) /
         SUMPRODUCT(($C$9:$G$9="CO7")*ISNUMBER($C$10:$G$10)*ISNUMBER(C127:G127)*$C$10:$G$10) * 0.15
       ) +
       IF(
         SUMPRODUCT(($H$9:$Z$9="CO7")*ISNUMBER($H$10:$Z$10)*ISNUMBER(H127:Z127)) = 0,
         0,
         SUMPRODUCT(($H$9:$Z$9="CO7")*ISNUMBER($H$10:$Z$10)*ISNUMBER(H127:Z127)*H127:Z127) /
         SUMPRODUCT(($H$9:$Z$9="CO7")*ISNUMBER($H$10:$Z$10)*ISNUMBER(H127:Z127)*$H$10:$Z$10) * 0.85
       )
     ) * 100,
     ""
   )
)</f>
        <v/>
      </c>
      <c r="AH127" s="3" t="str" cm="1">
        <f t="array" ref="AH127">IF(
   SUMPRODUCT(($C$9:$G$9="CO8")*ISNUMBER($C$10:$G$10)*ISNUMBER(C127:G127)) +
   SUMPRODUCT(($H$9:$Z$9="CO8")*ISNUMBER($H$10:$Z$10)*ISNUMBER(H127:Z127)) = 0,
   "",
   IFERROR(
     (
       IF(
         SUMPRODUCT(($C$9:$G$9="CO8")*ISNUMBER($C$10:$G$10)*ISNUMBER(C127:G127)) = 0,
         0,
         SUMPRODUCT(($C$9:$G$9="CO8")*ISNUMBER($C$10:$G$10)*ISNUMBER(C127:G127)*C127:G127) /
         SUMPRODUCT(($C$9:$G$9="CO8")*ISNUMBER($C$10:$G$10)*ISNUMBER(C127:G127)*$C$10:$G$10) * 0.15
       ) +
       IF(
         SUMPRODUCT(($H$9:$Z$9="CO8")*ISNUMBER($H$10:$Z$10)*ISNUMBER(H127:Z127)) = 0,
         0,
         SUMPRODUCT(($H$9:$Z$9="CO8")*ISNUMBER($H$10:$Z$10)*ISNUMBER(H127:Z127)*H127:Z127) /
         SUMPRODUCT(($H$9:$Z$9="CO8")*ISNUMBER($H$10:$Z$10)*ISNUMBER(H127:Z127)*$H$10:$Z$10) * 0.85
       )
     ) * 100,
     ""
   )
)</f>
        <v/>
      </c>
      <c r="AI127" s="1" t="str">
        <f t="shared" si="17"/>
        <v/>
      </c>
      <c r="AJ127" s="1" t="str">
        <f t="shared" si="17"/>
        <v/>
      </c>
      <c r="AK127" s="1" t="str">
        <f t="shared" si="17"/>
        <v/>
      </c>
      <c r="AL127" s="1" t="str">
        <f t="shared" si="17"/>
        <v/>
      </c>
      <c r="AM127" s="1" t="str">
        <f t="shared" si="17"/>
        <v/>
      </c>
      <c r="AN127" s="1" t="str">
        <f t="shared" si="17"/>
        <v/>
      </c>
      <c r="AO127" s="1" t="str">
        <f t="shared" si="17"/>
        <v/>
      </c>
      <c r="AP127" s="1" t="str">
        <f t="shared" si="17"/>
        <v/>
      </c>
    </row>
    <row r="128" spans="1:42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" t="str" cm="1">
        <f t="array" ref="AA128">IF(
   SUMPRODUCT(($C$9:$G$9="CO1")*ISNUMBER($C$10:$G$10)*ISNUMBER(C128:G128)) +
   SUMPRODUCT(($H$9:$Z$9="CO1")*ISNUMBER($H$10:$Z$10)*ISNUMBER(H128:Z128)) = 0,
   "",
   IFERROR(
     (
       IF(
         SUMPRODUCT(($C$9:$G$9="CO1")*ISNUMBER($C$10:$G$10)*ISNUMBER(C128:G128)) = 0,
         0,
         SUMPRODUCT(($C$9:$G$9="CO1")*ISNUMBER($C$10:$G$10)*ISNUMBER(C128:G128)*C128:G128) /
         SUMPRODUCT(($C$9:$G$9="CO1")*ISNUMBER($C$10:$G$10)*ISNUMBER(C128:G128)*$C$10:$G$10) * 0.15
       ) +
       IF(
         SUMPRODUCT(($H$9:$Z$9="CO1")*ISNUMBER($H$10:$Z$10)*ISNUMBER(H128:Z128)) = 0,
         0,
         SUMPRODUCT(($H$9:$Z$9="CO1")*ISNUMBER($H$10:$Z$10)*ISNUMBER(H128:Z128)*H128:Z128) /
         SUMPRODUCT(($H$9:$Z$9="CO1")*ISNUMBER($H$10:$Z$10)*ISNUMBER(H128:Z128)*$H$10:$Z$10) * 0.85
       )
     ) * 100,
     ""
   )
)</f>
        <v/>
      </c>
      <c r="AB128" s="1" t="str" cm="1">
        <f t="array" ref="AB128">IF(
   SUMPRODUCT(($C$9:$G$9="CO2")*ISNUMBER($C$10:$G$10)*ISNUMBER(C128:G128)) +
   SUMPRODUCT(($H$9:$Z$9="CO2")*ISNUMBER($H$10:$Z$10)*ISNUMBER(H128:Z128)) = 0,
   "",
   IFERROR(
     (
       IF(
         SUMPRODUCT(($C$9:$G$9="CO2")*ISNUMBER($C$10:$G$10)*ISNUMBER(C128:G128)) = 0,
         0,
         SUMPRODUCT(($C$9:$G$9="CO2")*ISNUMBER($C$10:$G$10)*ISNUMBER(C128:G128)*C128:G128) /
         SUMPRODUCT(($C$9:$G$9="CO2")*ISNUMBER($C$10:$G$10)*ISNUMBER(C128:G128)*$C$10:$G$10) * 0.15
       ) +
       IF(
         SUMPRODUCT(($H$9:$Z$9="CO2")*ISNUMBER($H$10:$Z$10)*ISNUMBER(H128:Z128)) = 0,
         0,
         SUMPRODUCT(($H$9:$Z$9="CO2")*ISNUMBER($H$10:$Z$10)*ISNUMBER(H128:Z128)*H128:Z128) /
         SUMPRODUCT(($H$9:$Z$9="CO2")*ISNUMBER($H$10:$Z$10)*ISNUMBER(H128:Z128)*$H$10:$Z$10) * 0.85
       )
     ) * 100,
     ""
   )
)</f>
        <v/>
      </c>
      <c r="AC128" s="1" t="str" cm="1">
        <f t="array" ref="AC128">IF(
   SUMPRODUCT(($C$9:$G$9="CO3")*ISNUMBER($C$10:$G$10)*ISNUMBER(C128:G128)) +
   SUMPRODUCT(($H$9:$Z$9="CO3")*ISNUMBER($H$10:$Z$10)*ISNUMBER(H128:Z128)) = 0,
   "",
   IFERROR(
     (
       IF(
         SUMPRODUCT(($C$9:$G$9="CO3")*ISNUMBER($C$10:$G$10)*ISNUMBER(C128:G128)) = 0,
         0,
         SUMPRODUCT(($C$9:$G$9="CO3")*ISNUMBER($C$10:$G$10)*ISNUMBER(C128:G128)*C128:G128) /
         SUMPRODUCT(($C$9:$G$9="CO3")*ISNUMBER($C$10:$G$10)*ISNUMBER(C128:G128)*$C$10:$G$10) * 0.15
       ) +
       IF(
         SUMPRODUCT(($H$9:$Z$9="CO3")*ISNUMBER($H$10:$Z$10)*ISNUMBER(H128:Z128)) = 0,
         0,
         SUMPRODUCT(($H$9:$Z$9="CO3")*ISNUMBER($H$10:$Z$10)*ISNUMBER(H128:Z128)*H128:Z128) /
         SUMPRODUCT(($H$9:$Z$9="CO3")*ISNUMBER($H$10:$Z$10)*ISNUMBER(H128:Z128)*$H$10:$Z$10) * 0.85
       )
     ) * 100,
     ""
   )
)</f>
        <v/>
      </c>
      <c r="AD128" s="1" t="str" cm="1">
        <f t="array" ref="AD128">IF(
   SUMPRODUCT(($C$9:$G$9="CO4")*ISNUMBER($C$10:$G$10)*ISNUMBER(C128:G128)) +
   SUMPRODUCT(($H$9:$Z$9="CO4")*ISNUMBER($H$10:$Z$10)*ISNUMBER(H128:Z128)) = 0,
   "",
   IFERROR(
     (
       IF(
         SUMPRODUCT(($C$9:$G$9="CO4")*ISNUMBER($C$10:$G$10)*ISNUMBER(C128:G128)) = 0,
         0,
         SUMPRODUCT(($C$9:$G$9="CO4")*ISNUMBER($C$10:$G$10)*ISNUMBER(C128:G128)*C128:G128) /
         SUMPRODUCT(($C$9:$G$9="CO4")*ISNUMBER($C$10:$G$10)*ISNUMBER(C128:G128)*$C$10:$G$10) * 0.15
       ) +
       IF(
         SUMPRODUCT(($H$9:$Z$9="CO4")*ISNUMBER($H$10:$Z$10)*ISNUMBER(H128:Z128)) = 0,
         0,
         SUMPRODUCT(($H$9:$Z$9="CO4")*ISNUMBER($H$10:$Z$10)*ISNUMBER(H128:Z128)*H128:Z128) /
         SUMPRODUCT(($H$9:$Z$9="CO4")*ISNUMBER($H$10:$Z$10)*ISNUMBER(H128:Z128)*$H$10:$Z$10) * 0.85
       )
     ) * 100,
     ""
   )
)</f>
        <v/>
      </c>
      <c r="AE128" s="1" t="str" cm="1">
        <f t="array" ref="AE128">IF(
   SUMPRODUCT(($C$9:$G$9="CO5")*ISNUMBER($C$10:$G$10)*ISNUMBER(C128:G128)) +
   SUMPRODUCT(($H$9:$Z$9="CO5")*ISNUMBER($H$10:$Z$10)*ISNUMBER(H128:Z128)) = 0,
   "",
   IFERROR(
     (
       IF(
         SUMPRODUCT(($C$9:$G$9="CO5")*ISNUMBER($C$10:$G$10)*ISNUMBER(C128:G128)) = 0,
         0,
         SUMPRODUCT(($C$9:$G$9="CO5")*ISNUMBER($C$10:$G$10)*ISNUMBER(C128:G128)*C128:G128) /
         SUMPRODUCT(($C$9:$G$9="CO5")*ISNUMBER($C$10:$G$10)*ISNUMBER(C128:G128)*$C$10:$G$10) * 0.15
       ) +
       IF(
         SUMPRODUCT(($H$9:$Z$9="CO5")*ISNUMBER($H$10:$Z$10)*ISNUMBER(H128:Z128)) = 0,
         0,
         SUMPRODUCT(($H$9:$Z$9="CO5")*ISNUMBER($H$10:$Z$10)*ISNUMBER(H128:Z128)*H128:Z128) /
         SUMPRODUCT(($H$9:$Z$9="CO5")*ISNUMBER($H$10:$Z$10)*ISNUMBER(H128:Z128)*$H$10:$Z$10) * 0.85
       )
     ) * 100,
     ""
   )
)</f>
        <v/>
      </c>
      <c r="AF128" s="1" t="str" cm="1">
        <f t="array" ref="AF128">IF(
   SUMPRODUCT(($C$9:$G$9="CO6")*ISNUMBER($C$10:$G$10)*ISNUMBER(C128:G128)) +
   SUMPRODUCT(($H$9:$Z$9="CO6")*ISNUMBER($H$10:$Z$10)*ISNUMBER(H128:Z128)) = 0,
   "",
   IFERROR(
     (
       IF(
         SUMPRODUCT(($C$9:$G$9="CO6")*ISNUMBER($C$10:$G$10)*ISNUMBER(C128:G128)) = 0,
         0,
         SUMPRODUCT(($C$9:$G$9="CO6")*ISNUMBER($C$10:$G$10)*ISNUMBER(C128:G128)*C128:G128) /
         SUMPRODUCT(($C$9:$G$9="CO6")*ISNUMBER($C$10:$G$10)*ISNUMBER(C128:G128)*$C$10:$G$10) * 0.15
       ) +
       IF(
         SUMPRODUCT(($H$9:$Z$9="CO6")*ISNUMBER($H$10:$Z$10)*ISNUMBER(H128:Z128)) = 0,
         0,
         SUMPRODUCT(($H$9:$Z$9="CO6")*ISNUMBER($H$10:$Z$10)*ISNUMBER(H128:Z128)*H128:Z128) /
         SUMPRODUCT(($H$9:$Z$9="CO6")*ISNUMBER($H$10:$Z$10)*ISNUMBER(H128:Z128)*$H$10:$Z$10) * 0.85
       )
     ) * 100,
     ""
   )
)</f>
        <v/>
      </c>
      <c r="AG128" s="1" t="str" cm="1">
        <f t="array" ref="AG128">IF(
   SUMPRODUCT(($C$9:$G$9="CO7")*ISNUMBER($C$10:$G$10)*ISNUMBER(C128:G128)) +
   SUMPRODUCT(($H$9:$Z$9="CO7")*ISNUMBER($H$10:$Z$10)*ISNUMBER(H128:Z128)) = 0,
   "",
   IFERROR(
     (
       IF(
         SUMPRODUCT(($C$9:$G$9="CO7")*ISNUMBER($C$10:$G$10)*ISNUMBER(C128:G128)) = 0,
         0,
         SUMPRODUCT(($C$9:$G$9="CO7")*ISNUMBER($C$10:$G$10)*ISNUMBER(C128:G128)*C128:G128) /
         SUMPRODUCT(($C$9:$G$9="CO7")*ISNUMBER($C$10:$G$10)*ISNUMBER(C128:G128)*$C$10:$G$10) * 0.15
       ) +
       IF(
         SUMPRODUCT(($H$9:$Z$9="CO7")*ISNUMBER($H$10:$Z$10)*ISNUMBER(H128:Z128)) = 0,
         0,
         SUMPRODUCT(($H$9:$Z$9="CO7")*ISNUMBER($H$10:$Z$10)*ISNUMBER(H128:Z128)*H128:Z128) /
         SUMPRODUCT(($H$9:$Z$9="CO7")*ISNUMBER($H$10:$Z$10)*ISNUMBER(H128:Z128)*$H$10:$Z$10) * 0.85
       )
     ) * 100,
     ""
   )
)</f>
        <v/>
      </c>
      <c r="AH128" s="3" t="str" cm="1">
        <f t="array" ref="AH128">IF(
   SUMPRODUCT(($C$9:$G$9="CO8")*ISNUMBER($C$10:$G$10)*ISNUMBER(C128:G128)) +
   SUMPRODUCT(($H$9:$Z$9="CO8")*ISNUMBER($H$10:$Z$10)*ISNUMBER(H128:Z128)) = 0,
   "",
   IFERROR(
     (
       IF(
         SUMPRODUCT(($C$9:$G$9="CO8")*ISNUMBER($C$10:$G$10)*ISNUMBER(C128:G128)) = 0,
         0,
         SUMPRODUCT(($C$9:$G$9="CO8")*ISNUMBER($C$10:$G$10)*ISNUMBER(C128:G128)*C128:G128) /
         SUMPRODUCT(($C$9:$G$9="CO8")*ISNUMBER($C$10:$G$10)*ISNUMBER(C128:G128)*$C$10:$G$10) * 0.15
       ) +
       IF(
         SUMPRODUCT(($H$9:$Z$9="CO8")*ISNUMBER($H$10:$Z$10)*ISNUMBER(H128:Z128)) = 0,
         0,
         SUMPRODUCT(($H$9:$Z$9="CO8")*ISNUMBER($H$10:$Z$10)*ISNUMBER(H128:Z128)*H128:Z128) /
         SUMPRODUCT(($H$9:$Z$9="CO8")*ISNUMBER($H$10:$Z$10)*ISNUMBER(H128:Z128)*$H$10:$Z$10) * 0.85
       )
     ) * 100,
     ""
   )
)</f>
        <v/>
      </c>
      <c r="AI128" s="1" t="str">
        <f t="shared" si="17"/>
        <v/>
      </c>
      <c r="AJ128" s="1" t="str">
        <f t="shared" si="17"/>
        <v/>
      </c>
      <c r="AK128" s="1" t="str">
        <f t="shared" si="17"/>
        <v/>
      </c>
      <c r="AL128" s="1" t="str">
        <f t="shared" si="17"/>
        <v/>
      </c>
      <c r="AM128" s="1" t="str">
        <f t="shared" si="17"/>
        <v/>
      </c>
      <c r="AN128" s="1" t="str">
        <f t="shared" si="17"/>
        <v/>
      </c>
      <c r="AO128" s="1" t="str">
        <f t="shared" si="17"/>
        <v/>
      </c>
      <c r="AP128" s="1" t="str">
        <f t="shared" si="17"/>
        <v/>
      </c>
    </row>
    <row r="129" spans="1:42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" t="str" cm="1">
        <f t="array" ref="AA129">IF(
   SUMPRODUCT(($C$9:$G$9="CO1")*ISNUMBER($C$10:$G$10)*ISNUMBER(C129:G129)) +
   SUMPRODUCT(($H$9:$Z$9="CO1")*ISNUMBER($H$10:$Z$10)*ISNUMBER(H129:Z129)) = 0,
   "",
   IFERROR(
     (
       IF(
         SUMPRODUCT(($C$9:$G$9="CO1")*ISNUMBER($C$10:$G$10)*ISNUMBER(C129:G129)) = 0,
         0,
         SUMPRODUCT(($C$9:$G$9="CO1")*ISNUMBER($C$10:$G$10)*ISNUMBER(C129:G129)*C129:G129) /
         SUMPRODUCT(($C$9:$G$9="CO1")*ISNUMBER($C$10:$G$10)*ISNUMBER(C129:G129)*$C$10:$G$10) * 0.15
       ) +
       IF(
         SUMPRODUCT(($H$9:$Z$9="CO1")*ISNUMBER($H$10:$Z$10)*ISNUMBER(H129:Z129)) = 0,
         0,
         SUMPRODUCT(($H$9:$Z$9="CO1")*ISNUMBER($H$10:$Z$10)*ISNUMBER(H129:Z129)*H129:Z129) /
         SUMPRODUCT(($H$9:$Z$9="CO1")*ISNUMBER($H$10:$Z$10)*ISNUMBER(H129:Z129)*$H$10:$Z$10) * 0.85
       )
     ) * 100,
     ""
   )
)</f>
        <v/>
      </c>
      <c r="AB129" s="1" t="str" cm="1">
        <f t="array" ref="AB129">IF(
   SUMPRODUCT(($C$9:$G$9="CO2")*ISNUMBER($C$10:$G$10)*ISNUMBER(C129:G129)) +
   SUMPRODUCT(($H$9:$Z$9="CO2")*ISNUMBER($H$10:$Z$10)*ISNUMBER(H129:Z129)) = 0,
   "",
   IFERROR(
     (
       IF(
         SUMPRODUCT(($C$9:$G$9="CO2")*ISNUMBER($C$10:$G$10)*ISNUMBER(C129:G129)) = 0,
         0,
         SUMPRODUCT(($C$9:$G$9="CO2")*ISNUMBER($C$10:$G$10)*ISNUMBER(C129:G129)*C129:G129) /
         SUMPRODUCT(($C$9:$G$9="CO2")*ISNUMBER($C$10:$G$10)*ISNUMBER(C129:G129)*$C$10:$G$10) * 0.15
       ) +
       IF(
         SUMPRODUCT(($H$9:$Z$9="CO2")*ISNUMBER($H$10:$Z$10)*ISNUMBER(H129:Z129)) = 0,
         0,
         SUMPRODUCT(($H$9:$Z$9="CO2")*ISNUMBER($H$10:$Z$10)*ISNUMBER(H129:Z129)*H129:Z129) /
         SUMPRODUCT(($H$9:$Z$9="CO2")*ISNUMBER($H$10:$Z$10)*ISNUMBER(H129:Z129)*$H$10:$Z$10) * 0.85
       )
     ) * 100,
     ""
   )
)</f>
        <v/>
      </c>
      <c r="AC129" s="1" t="str" cm="1">
        <f t="array" ref="AC129">IF(
   SUMPRODUCT(($C$9:$G$9="CO3")*ISNUMBER($C$10:$G$10)*ISNUMBER(C129:G129)) +
   SUMPRODUCT(($H$9:$Z$9="CO3")*ISNUMBER($H$10:$Z$10)*ISNUMBER(H129:Z129)) = 0,
   "",
   IFERROR(
     (
       IF(
         SUMPRODUCT(($C$9:$G$9="CO3")*ISNUMBER($C$10:$G$10)*ISNUMBER(C129:G129)) = 0,
         0,
         SUMPRODUCT(($C$9:$G$9="CO3")*ISNUMBER($C$10:$G$10)*ISNUMBER(C129:G129)*C129:G129) /
         SUMPRODUCT(($C$9:$G$9="CO3")*ISNUMBER($C$10:$G$10)*ISNUMBER(C129:G129)*$C$10:$G$10) * 0.15
       ) +
       IF(
         SUMPRODUCT(($H$9:$Z$9="CO3")*ISNUMBER($H$10:$Z$10)*ISNUMBER(H129:Z129)) = 0,
         0,
         SUMPRODUCT(($H$9:$Z$9="CO3")*ISNUMBER($H$10:$Z$10)*ISNUMBER(H129:Z129)*H129:Z129) /
         SUMPRODUCT(($H$9:$Z$9="CO3")*ISNUMBER($H$10:$Z$10)*ISNUMBER(H129:Z129)*$H$10:$Z$10) * 0.85
       )
     ) * 100,
     ""
   )
)</f>
        <v/>
      </c>
      <c r="AD129" s="1" t="str" cm="1">
        <f t="array" ref="AD129">IF(
   SUMPRODUCT(($C$9:$G$9="CO4")*ISNUMBER($C$10:$G$10)*ISNUMBER(C129:G129)) +
   SUMPRODUCT(($H$9:$Z$9="CO4")*ISNUMBER($H$10:$Z$10)*ISNUMBER(H129:Z129)) = 0,
   "",
   IFERROR(
     (
       IF(
         SUMPRODUCT(($C$9:$G$9="CO4")*ISNUMBER($C$10:$G$10)*ISNUMBER(C129:G129)) = 0,
         0,
         SUMPRODUCT(($C$9:$G$9="CO4")*ISNUMBER($C$10:$G$10)*ISNUMBER(C129:G129)*C129:G129) /
         SUMPRODUCT(($C$9:$G$9="CO4")*ISNUMBER($C$10:$G$10)*ISNUMBER(C129:G129)*$C$10:$G$10) * 0.15
       ) +
       IF(
         SUMPRODUCT(($H$9:$Z$9="CO4")*ISNUMBER($H$10:$Z$10)*ISNUMBER(H129:Z129)) = 0,
         0,
         SUMPRODUCT(($H$9:$Z$9="CO4")*ISNUMBER($H$10:$Z$10)*ISNUMBER(H129:Z129)*H129:Z129) /
         SUMPRODUCT(($H$9:$Z$9="CO4")*ISNUMBER($H$10:$Z$10)*ISNUMBER(H129:Z129)*$H$10:$Z$10) * 0.85
       )
     ) * 100,
     ""
   )
)</f>
        <v/>
      </c>
      <c r="AE129" s="1" t="str" cm="1">
        <f t="array" ref="AE129">IF(
   SUMPRODUCT(($C$9:$G$9="CO5")*ISNUMBER($C$10:$G$10)*ISNUMBER(C129:G129)) +
   SUMPRODUCT(($H$9:$Z$9="CO5")*ISNUMBER($H$10:$Z$10)*ISNUMBER(H129:Z129)) = 0,
   "",
   IFERROR(
     (
       IF(
         SUMPRODUCT(($C$9:$G$9="CO5")*ISNUMBER($C$10:$G$10)*ISNUMBER(C129:G129)) = 0,
         0,
         SUMPRODUCT(($C$9:$G$9="CO5")*ISNUMBER($C$10:$G$10)*ISNUMBER(C129:G129)*C129:G129) /
         SUMPRODUCT(($C$9:$G$9="CO5")*ISNUMBER($C$10:$G$10)*ISNUMBER(C129:G129)*$C$10:$G$10) * 0.15
       ) +
       IF(
         SUMPRODUCT(($H$9:$Z$9="CO5")*ISNUMBER($H$10:$Z$10)*ISNUMBER(H129:Z129)) = 0,
         0,
         SUMPRODUCT(($H$9:$Z$9="CO5")*ISNUMBER($H$10:$Z$10)*ISNUMBER(H129:Z129)*H129:Z129) /
         SUMPRODUCT(($H$9:$Z$9="CO5")*ISNUMBER($H$10:$Z$10)*ISNUMBER(H129:Z129)*$H$10:$Z$10) * 0.85
       )
     ) * 100,
     ""
   )
)</f>
        <v/>
      </c>
      <c r="AF129" s="1" t="str" cm="1">
        <f t="array" ref="AF129">IF(
   SUMPRODUCT(($C$9:$G$9="CO6")*ISNUMBER($C$10:$G$10)*ISNUMBER(C129:G129)) +
   SUMPRODUCT(($H$9:$Z$9="CO6")*ISNUMBER($H$10:$Z$10)*ISNUMBER(H129:Z129)) = 0,
   "",
   IFERROR(
     (
       IF(
         SUMPRODUCT(($C$9:$G$9="CO6")*ISNUMBER($C$10:$G$10)*ISNUMBER(C129:G129)) = 0,
         0,
         SUMPRODUCT(($C$9:$G$9="CO6")*ISNUMBER($C$10:$G$10)*ISNUMBER(C129:G129)*C129:G129) /
         SUMPRODUCT(($C$9:$G$9="CO6")*ISNUMBER($C$10:$G$10)*ISNUMBER(C129:G129)*$C$10:$G$10) * 0.15
       ) +
       IF(
         SUMPRODUCT(($H$9:$Z$9="CO6")*ISNUMBER($H$10:$Z$10)*ISNUMBER(H129:Z129)) = 0,
         0,
         SUMPRODUCT(($H$9:$Z$9="CO6")*ISNUMBER($H$10:$Z$10)*ISNUMBER(H129:Z129)*H129:Z129) /
         SUMPRODUCT(($H$9:$Z$9="CO6")*ISNUMBER($H$10:$Z$10)*ISNUMBER(H129:Z129)*$H$10:$Z$10) * 0.85
       )
     ) * 100,
     ""
   )
)</f>
        <v/>
      </c>
      <c r="AG129" s="1" t="str" cm="1">
        <f t="array" ref="AG129">IF(
   SUMPRODUCT(($C$9:$G$9="CO7")*ISNUMBER($C$10:$G$10)*ISNUMBER(C129:G129)) +
   SUMPRODUCT(($H$9:$Z$9="CO7")*ISNUMBER($H$10:$Z$10)*ISNUMBER(H129:Z129)) = 0,
   "",
   IFERROR(
     (
       IF(
         SUMPRODUCT(($C$9:$G$9="CO7")*ISNUMBER($C$10:$G$10)*ISNUMBER(C129:G129)) = 0,
         0,
         SUMPRODUCT(($C$9:$G$9="CO7")*ISNUMBER($C$10:$G$10)*ISNUMBER(C129:G129)*C129:G129) /
         SUMPRODUCT(($C$9:$G$9="CO7")*ISNUMBER($C$10:$G$10)*ISNUMBER(C129:G129)*$C$10:$G$10) * 0.15
       ) +
       IF(
         SUMPRODUCT(($H$9:$Z$9="CO7")*ISNUMBER($H$10:$Z$10)*ISNUMBER(H129:Z129)) = 0,
         0,
         SUMPRODUCT(($H$9:$Z$9="CO7")*ISNUMBER($H$10:$Z$10)*ISNUMBER(H129:Z129)*H129:Z129) /
         SUMPRODUCT(($H$9:$Z$9="CO7")*ISNUMBER($H$10:$Z$10)*ISNUMBER(H129:Z129)*$H$10:$Z$10) * 0.85
       )
     ) * 100,
     ""
   )
)</f>
        <v/>
      </c>
      <c r="AH129" s="3" t="str" cm="1">
        <f t="array" ref="AH129">IF(
   SUMPRODUCT(($C$9:$G$9="CO8")*ISNUMBER($C$10:$G$10)*ISNUMBER(C129:G129)) +
   SUMPRODUCT(($H$9:$Z$9="CO8")*ISNUMBER($H$10:$Z$10)*ISNUMBER(H129:Z129)) = 0,
   "",
   IFERROR(
     (
       IF(
         SUMPRODUCT(($C$9:$G$9="CO8")*ISNUMBER($C$10:$G$10)*ISNUMBER(C129:G129)) = 0,
         0,
         SUMPRODUCT(($C$9:$G$9="CO8")*ISNUMBER($C$10:$G$10)*ISNUMBER(C129:G129)*C129:G129) /
         SUMPRODUCT(($C$9:$G$9="CO8")*ISNUMBER($C$10:$G$10)*ISNUMBER(C129:G129)*$C$10:$G$10) * 0.15
       ) +
       IF(
         SUMPRODUCT(($H$9:$Z$9="CO8")*ISNUMBER($H$10:$Z$10)*ISNUMBER(H129:Z129)) = 0,
         0,
         SUMPRODUCT(($H$9:$Z$9="CO8")*ISNUMBER($H$10:$Z$10)*ISNUMBER(H129:Z129)*H129:Z129) /
         SUMPRODUCT(($H$9:$Z$9="CO8")*ISNUMBER($H$10:$Z$10)*ISNUMBER(H129:Z129)*$H$10:$Z$10) * 0.85
       )
     ) * 100,
     ""
   )
)</f>
        <v/>
      </c>
      <c r="AI129" s="1" t="str">
        <f t="shared" si="17"/>
        <v/>
      </c>
      <c r="AJ129" s="1" t="str">
        <f t="shared" si="17"/>
        <v/>
      </c>
      <c r="AK129" s="1" t="str">
        <f t="shared" si="17"/>
        <v/>
      </c>
      <c r="AL129" s="1" t="str">
        <f t="shared" si="17"/>
        <v/>
      </c>
      <c r="AM129" s="1" t="str">
        <f t="shared" si="17"/>
        <v/>
      </c>
      <c r="AN129" s="1" t="str">
        <f t="shared" si="17"/>
        <v/>
      </c>
      <c r="AO129" s="1" t="str">
        <f t="shared" si="17"/>
        <v/>
      </c>
      <c r="AP129" s="1" t="str">
        <f t="shared" si="17"/>
        <v/>
      </c>
    </row>
    <row r="130" spans="1:42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" t="str" cm="1">
        <f t="array" ref="AA130">IF(
   SUMPRODUCT(($C$9:$G$9="CO1")*ISNUMBER($C$10:$G$10)*ISNUMBER(C130:G130)) +
   SUMPRODUCT(($H$9:$Z$9="CO1")*ISNUMBER($H$10:$Z$10)*ISNUMBER(H130:Z130)) = 0,
   "",
   IFERROR(
     (
       IF(
         SUMPRODUCT(($C$9:$G$9="CO1")*ISNUMBER($C$10:$G$10)*ISNUMBER(C130:G130)) = 0,
         0,
         SUMPRODUCT(($C$9:$G$9="CO1")*ISNUMBER($C$10:$G$10)*ISNUMBER(C130:G130)*C130:G130) /
         SUMPRODUCT(($C$9:$G$9="CO1")*ISNUMBER($C$10:$G$10)*ISNUMBER(C130:G130)*$C$10:$G$10) * 0.15
       ) +
       IF(
         SUMPRODUCT(($H$9:$Z$9="CO1")*ISNUMBER($H$10:$Z$10)*ISNUMBER(H130:Z130)) = 0,
         0,
         SUMPRODUCT(($H$9:$Z$9="CO1")*ISNUMBER($H$10:$Z$10)*ISNUMBER(H130:Z130)*H130:Z130) /
         SUMPRODUCT(($H$9:$Z$9="CO1")*ISNUMBER($H$10:$Z$10)*ISNUMBER(H130:Z130)*$H$10:$Z$10) * 0.85
       )
     ) * 100,
     ""
   )
)</f>
        <v/>
      </c>
      <c r="AB130" s="1" t="str" cm="1">
        <f t="array" ref="AB130">IF(
   SUMPRODUCT(($C$9:$G$9="CO2")*ISNUMBER($C$10:$G$10)*ISNUMBER(C130:G130)) +
   SUMPRODUCT(($H$9:$Z$9="CO2")*ISNUMBER($H$10:$Z$10)*ISNUMBER(H130:Z130)) = 0,
   "",
   IFERROR(
     (
       IF(
         SUMPRODUCT(($C$9:$G$9="CO2")*ISNUMBER($C$10:$G$10)*ISNUMBER(C130:G130)) = 0,
         0,
         SUMPRODUCT(($C$9:$G$9="CO2")*ISNUMBER($C$10:$G$10)*ISNUMBER(C130:G130)*C130:G130) /
         SUMPRODUCT(($C$9:$G$9="CO2")*ISNUMBER($C$10:$G$10)*ISNUMBER(C130:G130)*$C$10:$G$10) * 0.15
       ) +
       IF(
         SUMPRODUCT(($H$9:$Z$9="CO2")*ISNUMBER($H$10:$Z$10)*ISNUMBER(H130:Z130)) = 0,
         0,
         SUMPRODUCT(($H$9:$Z$9="CO2")*ISNUMBER($H$10:$Z$10)*ISNUMBER(H130:Z130)*H130:Z130) /
         SUMPRODUCT(($H$9:$Z$9="CO2")*ISNUMBER($H$10:$Z$10)*ISNUMBER(H130:Z130)*$H$10:$Z$10) * 0.85
       )
     ) * 100,
     ""
   )
)</f>
        <v/>
      </c>
      <c r="AC130" s="1" t="str" cm="1">
        <f t="array" ref="AC130">IF(
   SUMPRODUCT(($C$9:$G$9="CO3")*ISNUMBER($C$10:$G$10)*ISNUMBER(C130:G130)) +
   SUMPRODUCT(($H$9:$Z$9="CO3")*ISNUMBER($H$10:$Z$10)*ISNUMBER(H130:Z130)) = 0,
   "",
   IFERROR(
     (
       IF(
         SUMPRODUCT(($C$9:$G$9="CO3")*ISNUMBER($C$10:$G$10)*ISNUMBER(C130:G130)) = 0,
         0,
         SUMPRODUCT(($C$9:$G$9="CO3")*ISNUMBER($C$10:$G$10)*ISNUMBER(C130:G130)*C130:G130) /
         SUMPRODUCT(($C$9:$G$9="CO3")*ISNUMBER($C$10:$G$10)*ISNUMBER(C130:G130)*$C$10:$G$10) * 0.15
       ) +
       IF(
         SUMPRODUCT(($H$9:$Z$9="CO3")*ISNUMBER($H$10:$Z$10)*ISNUMBER(H130:Z130)) = 0,
         0,
         SUMPRODUCT(($H$9:$Z$9="CO3")*ISNUMBER($H$10:$Z$10)*ISNUMBER(H130:Z130)*H130:Z130) /
         SUMPRODUCT(($H$9:$Z$9="CO3")*ISNUMBER($H$10:$Z$10)*ISNUMBER(H130:Z130)*$H$10:$Z$10) * 0.85
       )
     ) * 100,
     ""
   )
)</f>
        <v/>
      </c>
      <c r="AD130" s="1" t="str" cm="1">
        <f t="array" ref="AD130">IF(
   SUMPRODUCT(($C$9:$G$9="CO4")*ISNUMBER($C$10:$G$10)*ISNUMBER(C130:G130)) +
   SUMPRODUCT(($H$9:$Z$9="CO4")*ISNUMBER($H$10:$Z$10)*ISNUMBER(H130:Z130)) = 0,
   "",
   IFERROR(
     (
       IF(
         SUMPRODUCT(($C$9:$G$9="CO4")*ISNUMBER($C$10:$G$10)*ISNUMBER(C130:G130)) = 0,
         0,
         SUMPRODUCT(($C$9:$G$9="CO4")*ISNUMBER($C$10:$G$10)*ISNUMBER(C130:G130)*C130:G130) /
         SUMPRODUCT(($C$9:$G$9="CO4")*ISNUMBER($C$10:$G$10)*ISNUMBER(C130:G130)*$C$10:$G$10) * 0.15
       ) +
       IF(
         SUMPRODUCT(($H$9:$Z$9="CO4")*ISNUMBER($H$10:$Z$10)*ISNUMBER(H130:Z130)) = 0,
         0,
         SUMPRODUCT(($H$9:$Z$9="CO4")*ISNUMBER($H$10:$Z$10)*ISNUMBER(H130:Z130)*H130:Z130) /
         SUMPRODUCT(($H$9:$Z$9="CO4")*ISNUMBER($H$10:$Z$10)*ISNUMBER(H130:Z130)*$H$10:$Z$10) * 0.85
       )
     ) * 100,
     ""
   )
)</f>
        <v/>
      </c>
      <c r="AE130" s="1" t="str" cm="1">
        <f t="array" ref="AE130">IF(
   SUMPRODUCT(($C$9:$G$9="CO5")*ISNUMBER($C$10:$G$10)*ISNUMBER(C130:G130)) +
   SUMPRODUCT(($H$9:$Z$9="CO5")*ISNUMBER($H$10:$Z$10)*ISNUMBER(H130:Z130)) = 0,
   "",
   IFERROR(
     (
       IF(
         SUMPRODUCT(($C$9:$G$9="CO5")*ISNUMBER($C$10:$G$10)*ISNUMBER(C130:G130)) = 0,
         0,
         SUMPRODUCT(($C$9:$G$9="CO5")*ISNUMBER($C$10:$G$10)*ISNUMBER(C130:G130)*C130:G130) /
         SUMPRODUCT(($C$9:$G$9="CO5")*ISNUMBER($C$10:$G$10)*ISNUMBER(C130:G130)*$C$10:$G$10) * 0.15
       ) +
       IF(
         SUMPRODUCT(($H$9:$Z$9="CO5")*ISNUMBER($H$10:$Z$10)*ISNUMBER(H130:Z130)) = 0,
         0,
         SUMPRODUCT(($H$9:$Z$9="CO5")*ISNUMBER($H$10:$Z$10)*ISNUMBER(H130:Z130)*H130:Z130) /
         SUMPRODUCT(($H$9:$Z$9="CO5")*ISNUMBER($H$10:$Z$10)*ISNUMBER(H130:Z130)*$H$10:$Z$10) * 0.85
       )
     ) * 100,
     ""
   )
)</f>
        <v/>
      </c>
      <c r="AF130" s="1" t="str" cm="1">
        <f t="array" ref="AF130">IF(
   SUMPRODUCT(($C$9:$G$9="CO6")*ISNUMBER($C$10:$G$10)*ISNUMBER(C130:G130)) +
   SUMPRODUCT(($H$9:$Z$9="CO6")*ISNUMBER($H$10:$Z$10)*ISNUMBER(H130:Z130)) = 0,
   "",
   IFERROR(
     (
       IF(
         SUMPRODUCT(($C$9:$G$9="CO6")*ISNUMBER($C$10:$G$10)*ISNUMBER(C130:G130)) = 0,
         0,
         SUMPRODUCT(($C$9:$G$9="CO6")*ISNUMBER($C$10:$G$10)*ISNUMBER(C130:G130)*C130:G130) /
         SUMPRODUCT(($C$9:$G$9="CO6")*ISNUMBER($C$10:$G$10)*ISNUMBER(C130:G130)*$C$10:$G$10) * 0.15
       ) +
       IF(
         SUMPRODUCT(($H$9:$Z$9="CO6")*ISNUMBER($H$10:$Z$10)*ISNUMBER(H130:Z130)) = 0,
         0,
         SUMPRODUCT(($H$9:$Z$9="CO6")*ISNUMBER($H$10:$Z$10)*ISNUMBER(H130:Z130)*H130:Z130) /
         SUMPRODUCT(($H$9:$Z$9="CO6")*ISNUMBER($H$10:$Z$10)*ISNUMBER(H130:Z130)*$H$10:$Z$10) * 0.85
       )
     ) * 100,
     ""
   )
)</f>
        <v/>
      </c>
      <c r="AG130" s="1" t="str" cm="1">
        <f t="array" ref="AG130">IF(
   SUMPRODUCT(($C$9:$G$9="CO7")*ISNUMBER($C$10:$G$10)*ISNUMBER(C130:G130)) +
   SUMPRODUCT(($H$9:$Z$9="CO7")*ISNUMBER($H$10:$Z$10)*ISNUMBER(H130:Z130)) = 0,
   "",
   IFERROR(
     (
       IF(
         SUMPRODUCT(($C$9:$G$9="CO7")*ISNUMBER($C$10:$G$10)*ISNUMBER(C130:G130)) = 0,
         0,
         SUMPRODUCT(($C$9:$G$9="CO7")*ISNUMBER($C$10:$G$10)*ISNUMBER(C130:G130)*C130:G130) /
         SUMPRODUCT(($C$9:$G$9="CO7")*ISNUMBER($C$10:$G$10)*ISNUMBER(C130:G130)*$C$10:$G$10) * 0.15
       ) +
       IF(
         SUMPRODUCT(($H$9:$Z$9="CO7")*ISNUMBER($H$10:$Z$10)*ISNUMBER(H130:Z130)) = 0,
         0,
         SUMPRODUCT(($H$9:$Z$9="CO7")*ISNUMBER($H$10:$Z$10)*ISNUMBER(H130:Z130)*H130:Z130) /
         SUMPRODUCT(($H$9:$Z$9="CO7")*ISNUMBER($H$10:$Z$10)*ISNUMBER(H130:Z130)*$H$10:$Z$10) * 0.85
       )
     ) * 100,
     ""
   )
)</f>
        <v/>
      </c>
      <c r="AH130" s="3" t="str" cm="1">
        <f t="array" ref="AH130">IF(
   SUMPRODUCT(($C$9:$G$9="CO8")*ISNUMBER($C$10:$G$10)*ISNUMBER(C130:G130)) +
   SUMPRODUCT(($H$9:$Z$9="CO8")*ISNUMBER($H$10:$Z$10)*ISNUMBER(H130:Z130)) = 0,
   "",
   IFERROR(
     (
       IF(
         SUMPRODUCT(($C$9:$G$9="CO8")*ISNUMBER($C$10:$G$10)*ISNUMBER(C130:G130)) = 0,
         0,
         SUMPRODUCT(($C$9:$G$9="CO8")*ISNUMBER($C$10:$G$10)*ISNUMBER(C130:G130)*C130:G130) /
         SUMPRODUCT(($C$9:$G$9="CO8")*ISNUMBER($C$10:$G$10)*ISNUMBER(C130:G130)*$C$10:$G$10) * 0.15
       ) +
       IF(
         SUMPRODUCT(($H$9:$Z$9="CO8")*ISNUMBER($H$10:$Z$10)*ISNUMBER(H130:Z130)) = 0,
         0,
         SUMPRODUCT(($H$9:$Z$9="CO8")*ISNUMBER($H$10:$Z$10)*ISNUMBER(H130:Z130)*H130:Z130) /
         SUMPRODUCT(($H$9:$Z$9="CO8")*ISNUMBER($H$10:$Z$10)*ISNUMBER(H130:Z130)*$H$10:$Z$10) * 0.85
       )
     ) * 100,
     ""
   )
)</f>
        <v/>
      </c>
      <c r="AI130" s="1" t="str">
        <f t="shared" si="17"/>
        <v/>
      </c>
      <c r="AJ130" s="1" t="str">
        <f t="shared" si="17"/>
        <v/>
      </c>
      <c r="AK130" s="1" t="str">
        <f t="shared" si="17"/>
        <v/>
      </c>
      <c r="AL130" s="1" t="str">
        <f t="shared" si="17"/>
        <v/>
      </c>
      <c r="AM130" s="1" t="str">
        <f t="shared" si="17"/>
        <v/>
      </c>
      <c r="AN130" s="1" t="str">
        <f t="shared" si="17"/>
        <v/>
      </c>
      <c r="AO130" s="1" t="str">
        <f t="shared" si="17"/>
        <v/>
      </c>
      <c r="AP130" s="1" t="str">
        <f t="shared" si="17"/>
        <v/>
      </c>
    </row>
    <row r="131" spans="1:42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" t="str" cm="1">
        <f t="array" ref="AA131">IF(
   SUMPRODUCT(($C$9:$G$9="CO1")*ISNUMBER($C$10:$G$10)*ISNUMBER(C131:G131)) +
   SUMPRODUCT(($H$9:$Z$9="CO1")*ISNUMBER($H$10:$Z$10)*ISNUMBER(H131:Z131)) = 0,
   "",
   IFERROR(
     (
       IF(
         SUMPRODUCT(($C$9:$G$9="CO1")*ISNUMBER($C$10:$G$10)*ISNUMBER(C131:G131)) = 0,
         0,
         SUMPRODUCT(($C$9:$G$9="CO1")*ISNUMBER($C$10:$G$10)*ISNUMBER(C131:G131)*C131:G131) /
         SUMPRODUCT(($C$9:$G$9="CO1")*ISNUMBER($C$10:$G$10)*ISNUMBER(C131:G131)*$C$10:$G$10) * 0.15
       ) +
       IF(
         SUMPRODUCT(($H$9:$Z$9="CO1")*ISNUMBER($H$10:$Z$10)*ISNUMBER(H131:Z131)) = 0,
         0,
         SUMPRODUCT(($H$9:$Z$9="CO1")*ISNUMBER($H$10:$Z$10)*ISNUMBER(H131:Z131)*H131:Z131) /
         SUMPRODUCT(($H$9:$Z$9="CO1")*ISNUMBER($H$10:$Z$10)*ISNUMBER(H131:Z131)*$H$10:$Z$10) * 0.85
       )
     ) * 100,
     ""
   )
)</f>
        <v/>
      </c>
      <c r="AB131" s="1" t="str" cm="1">
        <f t="array" ref="AB131">IF(
   SUMPRODUCT(($C$9:$G$9="CO2")*ISNUMBER($C$10:$G$10)*ISNUMBER(C131:G131)) +
   SUMPRODUCT(($H$9:$Z$9="CO2")*ISNUMBER($H$10:$Z$10)*ISNUMBER(H131:Z131)) = 0,
   "",
   IFERROR(
     (
       IF(
         SUMPRODUCT(($C$9:$G$9="CO2")*ISNUMBER($C$10:$G$10)*ISNUMBER(C131:G131)) = 0,
         0,
         SUMPRODUCT(($C$9:$G$9="CO2")*ISNUMBER($C$10:$G$10)*ISNUMBER(C131:G131)*C131:G131) /
         SUMPRODUCT(($C$9:$G$9="CO2")*ISNUMBER($C$10:$G$10)*ISNUMBER(C131:G131)*$C$10:$G$10) * 0.15
       ) +
       IF(
         SUMPRODUCT(($H$9:$Z$9="CO2")*ISNUMBER($H$10:$Z$10)*ISNUMBER(H131:Z131)) = 0,
         0,
         SUMPRODUCT(($H$9:$Z$9="CO2")*ISNUMBER($H$10:$Z$10)*ISNUMBER(H131:Z131)*H131:Z131) /
         SUMPRODUCT(($H$9:$Z$9="CO2")*ISNUMBER($H$10:$Z$10)*ISNUMBER(H131:Z131)*$H$10:$Z$10) * 0.85
       )
     ) * 100,
     ""
   )
)</f>
        <v/>
      </c>
      <c r="AC131" s="1" t="str" cm="1">
        <f t="array" ref="AC131">IF(
   SUMPRODUCT(($C$9:$G$9="CO3")*ISNUMBER($C$10:$G$10)*ISNUMBER(C131:G131)) +
   SUMPRODUCT(($H$9:$Z$9="CO3")*ISNUMBER($H$10:$Z$10)*ISNUMBER(H131:Z131)) = 0,
   "",
   IFERROR(
     (
       IF(
         SUMPRODUCT(($C$9:$G$9="CO3")*ISNUMBER($C$10:$G$10)*ISNUMBER(C131:G131)) = 0,
         0,
         SUMPRODUCT(($C$9:$G$9="CO3")*ISNUMBER($C$10:$G$10)*ISNUMBER(C131:G131)*C131:G131) /
         SUMPRODUCT(($C$9:$G$9="CO3")*ISNUMBER($C$10:$G$10)*ISNUMBER(C131:G131)*$C$10:$G$10) * 0.15
       ) +
       IF(
         SUMPRODUCT(($H$9:$Z$9="CO3")*ISNUMBER($H$10:$Z$10)*ISNUMBER(H131:Z131)) = 0,
         0,
         SUMPRODUCT(($H$9:$Z$9="CO3")*ISNUMBER($H$10:$Z$10)*ISNUMBER(H131:Z131)*H131:Z131) /
         SUMPRODUCT(($H$9:$Z$9="CO3")*ISNUMBER($H$10:$Z$10)*ISNUMBER(H131:Z131)*$H$10:$Z$10) * 0.85
       )
     ) * 100,
     ""
   )
)</f>
        <v/>
      </c>
      <c r="AD131" s="1" t="str" cm="1">
        <f t="array" ref="AD131">IF(
   SUMPRODUCT(($C$9:$G$9="CO4")*ISNUMBER($C$10:$G$10)*ISNUMBER(C131:G131)) +
   SUMPRODUCT(($H$9:$Z$9="CO4")*ISNUMBER($H$10:$Z$10)*ISNUMBER(H131:Z131)) = 0,
   "",
   IFERROR(
     (
       IF(
         SUMPRODUCT(($C$9:$G$9="CO4")*ISNUMBER($C$10:$G$10)*ISNUMBER(C131:G131)) = 0,
         0,
         SUMPRODUCT(($C$9:$G$9="CO4")*ISNUMBER($C$10:$G$10)*ISNUMBER(C131:G131)*C131:G131) /
         SUMPRODUCT(($C$9:$G$9="CO4")*ISNUMBER($C$10:$G$10)*ISNUMBER(C131:G131)*$C$10:$G$10) * 0.15
       ) +
       IF(
         SUMPRODUCT(($H$9:$Z$9="CO4")*ISNUMBER($H$10:$Z$10)*ISNUMBER(H131:Z131)) = 0,
         0,
         SUMPRODUCT(($H$9:$Z$9="CO4")*ISNUMBER($H$10:$Z$10)*ISNUMBER(H131:Z131)*H131:Z131) /
         SUMPRODUCT(($H$9:$Z$9="CO4")*ISNUMBER($H$10:$Z$10)*ISNUMBER(H131:Z131)*$H$10:$Z$10) * 0.85
       )
     ) * 100,
     ""
   )
)</f>
        <v/>
      </c>
      <c r="AE131" s="1" t="str" cm="1">
        <f t="array" ref="AE131">IF(
   SUMPRODUCT(($C$9:$G$9="CO5")*ISNUMBER($C$10:$G$10)*ISNUMBER(C131:G131)) +
   SUMPRODUCT(($H$9:$Z$9="CO5")*ISNUMBER($H$10:$Z$10)*ISNUMBER(H131:Z131)) = 0,
   "",
   IFERROR(
     (
       IF(
         SUMPRODUCT(($C$9:$G$9="CO5")*ISNUMBER($C$10:$G$10)*ISNUMBER(C131:G131)) = 0,
         0,
         SUMPRODUCT(($C$9:$G$9="CO5")*ISNUMBER($C$10:$G$10)*ISNUMBER(C131:G131)*C131:G131) /
         SUMPRODUCT(($C$9:$G$9="CO5")*ISNUMBER($C$10:$G$10)*ISNUMBER(C131:G131)*$C$10:$G$10) * 0.15
       ) +
       IF(
         SUMPRODUCT(($H$9:$Z$9="CO5")*ISNUMBER($H$10:$Z$10)*ISNUMBER(H131:Z131)) = 0,
         0,
         SUMPRODUCT(($H$9:$Z$9="CO5")*ISNUMBER($H$10:$Z$10)*ISNUMBER(H131:Z131)*H131:Z131) /
         SUMPRODUCT(($H$9:$Z$9="CO5")*ISNUMBER($H$10:$Z$10)*ISNUMBER(H131:Z131)*$H$10:$Z$10) * 0.85
       )
     ) * 100,
     ""
   )
)</f>
        <v/>
      </c>
      <c r="AF131" s="1" t="str" cm="1">
        <f t="array" ref="AF131">IF(
   SUMPRODUCT(($C$9:$G$9="CO6")*ISNUMBER($C$10:$G$10)*ISNUMBER(C131:G131)) +
   SUMPRODUCT(($H$9:$Z$9="CO6")*ISNUMBER($H$10:$Z$10)*ISNUMBER(H131:Z131)) = 0,
   "",
   IFERROR(
     (
       IF(
         SUMPRODUCT(($C$9:$G$9="CO6")*ISNUMBER($C$10:$G$10)*ISNUMBER(C131:G131)) = 0,
         0,
         SUMPRODUCT(($C$9:$G$9="CO6")*ISNUMBER($C$10:$G$10)*ISNUMBER(C131:G131)*C131:G131) /
         SUMPRODUCT(($C$9:$G$9="CO6")*ISNUMBER($C$10:$G$10)*ISNUMBER(C131:G131)*$C$10:$G$10) * 0.15
       ) +
       IF(
         SUMPRODUCT(($H$9:$Z$9="CO6")*ISNUMBER($H$10:$Z$10)*ISNUMBER(H131:Z131)) = 0,
         0,
         SUMPRODUCT(($H$9:$Z$9="CO6")*ISNUMBER($H$10:$Z$10)*ISNUMBER(H131:Z131)*H131:Z131) /
         SUMPRODUCT(($H$9:$Z$9="CO6")*ISNUMBER($H$10:$Z$10)*ISNUMBER(H131:Z131)*$H$10:$Z$10) * 0.85
       )
     ) * 100,
     ""
   )
)</f>
        <v/>
      </c>
      <c r="AG131" s="1" t="str" cm="1">
        <f t="array" ref="AG131">IF(
   SUMPRODUCT(($C$9:$G$9="CO7")*ISNUMBER($C$10:$G$10)*ISNUMBER(C131:G131)) +
   SUMPRODUCT(($H$9:$Z$9="CO7")*ISNUMBER($H$10:$Z$10)*ISNUMBER(H131:Z131)) = 0,
   "",
   IFERROR(
     (
       IF(
         SUMPRODUCT(($C$9:$G$9="CO7")*ISNUMBER($C$10:$G$10)*ISNUMBER(C131:G131)) = 0,
         0,
         SUMPRODUCT(($C$9:$G$9="CO7")*ISNUMBER($C$10:$G$10)*ISNUMBER(C131:G131)*C131:G131) /
         SUMPRODUCT(($C$9:$G$9="CO7")*ISNUMBER($C$10:$G$10)*ISNUMBER(C131:G131)*$C$10:$G$10) * 0.15
       ) +
       IF(
         SUMPRODUCT(($H$9:$Z$9="CO7")*ISNUMBER($H$10:$Z$10)*ISNUMBER(H131:Z131)) = 0,
         0,
         SUMPRODUCT(($H$9:$Z$9="CO7")*ISNUMBER($H$10:$Z$10)*ISNUMBER(H131:Z131)*H131:Z131) /
         SUMPRODUCT(($H$9:$Z$9="CO7")*ISNUMBER($H$10:$Z$10)*ISNUMBER(H131:Z131)*$H$10:$Z$10) * 0.85
       )
     ) * 100,
     ""
   )
)</f>
        <v/>
      </c>
      <c r="AH131" s="3" t="str" cm="1">
        <f t="array" ref="AH131">IF(
   SUMPRODUCT(($C$9:$G$9="CO8")*ISNUMBER($C$10:$G$10)*ISNUMBER(C131:G131)) +
   SUMPRODUCT(($H$9:$Z$9="CO8")*ISNUMBER($H$10:$Z$10)*ISNUMBER(H131:Z131)) = 0,
   "",
   IFERROR(
     (
       IF(
         SUMPRODUCT(($C$9:$G$9="CO8")*ISNUMBER($C$10:$G$10)*ISNUMBER(C131:G131)) = 0,
         0,
         SUMPRODUCT(($C$9:$G$9="CO8")*ISNUMBER($C$10:$G$10)*ISNUMBER(C131:G131)*C131:G131) /
         SUMPRODUCT(($C$9:$G$9="CO8")*ISNUMBER($C$10:$G$10)*ISNUMBER(C131:G131)*$C$10:$G$10) * 0.15
       ) +
       IF(
         SUMPRODUCT(($H$9:$Z$9="CO8")*ISNUMBER($H$10:$Z$10)*ISNUMBER(H131:Z131)) = 0,
         0,
         SUMPRODUCT(($H$9:$Z$9="CO8")*ISNUMBER($H$10:$Z$10)*ISNUMBER(H131:Z131)*H131:Z131) /
         SUMPRODUCT(($H$9:$Z$9="CO8")*ISNUMBER($H$10:$Z$10)*ISNUMBER(H131:Z131)*$H$10:$Z$10) * 0.85
       )
     ) * 100,
     ""
   )
)</f>
        <v/>
      </c>
      <c r="AI131" s="1" t="str">
        <f t="shared" si="17"/>
        <v/>
      </c>
      <c r="AJ131" s="1" t="str">
        <f t="shared" si="17"/>
        <v/>
      </c>
      <c r="AK131" s="1" t="str">
        <f t="shared" si="17"/>
        <v/>
      </c>
      <c r="AL131" s="1" t="str">
        <f t="shared" si="17"/>
        <v/>
      </c>
      <c r="AM131" s="1" t="str">
        <f t="shared" si="17"/>
        <v/>
      </c>
      <c r="AN131" s="1" t="str">
        <f t="shared" si="17"/>
        <v/>
      </c>
      <c r="AO131" s="1" t="str">
        <f t="shared" si="17"/>
        <v/>
      </c>
      <c r="AP131" s="1" t="str">
        <f t="shared" si="17"/>
        <v/>
      </c>
    </row>
    <row r="132" spans="1:42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" t="str" cm="1">
        <f t="array" ref="AA132">IF(
   SUMPRODUCT(($C$9:$G$9="CO1")*ISNUMBER($C$10:$G$10)*ISNUMBER(C132:G132)) +
   SUMPRODUCT(($H$9:$Z$9="CO1")*ISNUMBER($H$10:$Z$10)*ISNUMBER(H132:Z132)) = 0,
   "",
   IFERROR(
     (
       IF(
         SUMPRODUCT(($C$9:$G$9="CO1")*ISNUMBER($C$10:$G$10)*ISNUMBER(C132:G132)) = 0,
         0,
         SUMPRODUCT(($C$9:$G$9="CO1")*ISNUMBER($C$10:$G$10)*ISNUMBER(C132:G132)*C132:G132) /
         SUMPRODUCT(($C$9:$G$9="CO1")*ISNUMBER($C$10:$G$10)*ISNUMBER(C132:G132)*$C$10:$G$10) * 0.15
       ) +
       IF(
         SUMPRODUCT(($H$9:$Z$9="CO1")*ISNUMBER($H$10:$Z$10)*ISNUMBER(H132:Z132)) = 0,
         0,
         SUMPRODUCT(($H$9:$Z$9="CO1")*ISNUMBER($H$10:$Z$10)*ISNUMBER(H132:Z132)*H132:Z132) /
         SUMPRODUCT(($H$9:$Z$9="CO1")*ISNUMBER($H$10:$Z$10)*ISNUMBER(H132:Z132)*$H$10:$Z$10) * 0.85
       )
     ) * 100,
     ""
   )
)</f>
        <v/>
      </c>
      <c r="AB132" s="1" t="str" cm="1">
        <f t="array" ref="AB132">IF(
   SUMPRODUCT(($C$9:$G$9="CO2")*ISNUMBER($C$10:$G$10)*ISNUMBER(C132:G132)) +
   SUMPRODUCT(($H$9:$Z$9="CO2")*ISNUMBER($H$10:$Z$10)*ISNUMBER(H132:Z132)) = 0,
   "",
   IFERROR(
     (
       IF(
         SUMPRODUCT(($C$9:$G$9="CO2")*ISNUMBER($C$10:$G$10)*ISNUMBER(C132:G132)) = 0,
         0,
         SUMPRODUCT(($C$9:$G$9="CO2")*ISNUMBER($C$10:$G$10)*ISNUMBER(C132:G132)*C132:G132) /
         SUMPRODUCT(($C$9:$G$9="CO2")*ISNUMBER($C$10:$G$10)*ISNUMBER(C132:G132)*$C$10:$G$10) * 0.15
       ) +
       IF(
         SUMPRODUCT(($H$9:$Z$9="CO2")*ISNUMBER($H$10:$Z$10)*ISNUMBER(H132:Z132)) = 0,
         0,
         SUMPRODUCT(($H$9:$Z$9="CO2")*ISNUMBER($H$10:$Z$10)*ISNUMBER(H132:Z132)*H132:Z132) /
         SUMPRODUCT(($H$9:$Z$9="CO2")*ISNUMBER($H$10:$Z$10)*ISNUMBER(H132:Z132)*$H$10:$Z$10) * 0.85
       )
     ) * 100,
     ""
   )
)</f>
        <v/>
      </c>
      <c r="AC132" s="1" t="str" cm="1">
        <f t="array" ref="AC132">IF(
   SUMPRODUCT(($C$9:$G$9="CO3")*ISNUMBER($C$10:$G$10)*ISNUMBER(C132:G132)) +
   SUMPRODUCT(($H$9:$Z$9="CO3")*ISNUMBER($H$10:$Z$10)*ISNUMBER(H132:Z132)) = 0,
   "",
   IFERROR(
     (
       IF(
         SUMPRODUCT(($C$9:$G$9="CO3")*ISNUMBER($C$10:$G$10)*ISNUMBER(C132:G132)) = 0,
         0,
         SUMPRODUCT(($C$9:$G$9="CO3")*ISNUMBER($C$10:$G$10)*ISNUMBER(C132:G132)*C132:G132) /
         SUMPRODUCT(($C$9:$G$9="CO3")*ISNUMBER($C$10:$G$10)*ISNUMBER(C132:G132)*$C$10:$G$10) * 0.15
       ) +
       IF(
         SUMPRODUCT(($H$9:$Z$9="CO3")*ISNUMBER($H$10:$Z$10)*ISNUMBER(H132:Z132)) = 0,
         0,
         SUMPRODUCT(($H$9:$Z$9="CO3")*ISNUMBER($H$10:$Z$10)*ISNUMBER(H132:Z132)*H132:Z132) /
         SUMPRODUCT(($H$9:$Z$9="CO3")*ISNUMBER($H$10:$Z$10)*ISNUMBER(H132:Z132)*$H$10:$Z$10) * 0.85
       )
     ) * 100,
     ""
   )
)</f>
        <v/>
      </c>
      <c r="AD132" s="1" t="str" cm="1">
        <f t="array" ref="AD132">IF(
   SUMPRODUCT(($C$9:$G$9="CO4")*ISNUMBER($C$10:$G$10)*ISNUMBER(C132:G132)) +
   SUMPRODUCT(($H$9:$Z$9="CO4")*ISNUMBER($H$10:$Z$10)*ISNUMBER(H132:Z132)) = 0,
   "",
   IFERROR(
     (
       IF(
         SUMPRODUCT(($C$9:$G$9="CO4")*ISNUMBER($C$10:$G$10)*ISNUMBER(C132:G132)) = 0,
         0,
         SUMPRODUCT(($C$9:$G$9="CO4")*ISNUMBER($C$10:$G$10)*ISNUMBER(C132:G132)*C132:G132) /
         SUMPRODUCT(($C$9:$G$9="CO4")*ISNUMBER($C$10:$G$10)*ISNUMBER(C132:G132)*$C$10:$G$10) * 0.15
       ) +
       IF(
         SUMPRODUCT(($H$9:$Z$9="CO4")*ISNUMBER($H$10:$Z$10)*ISNUMBER(H132:Z132)) = 0,
         0,
         SUMPRODUCT(($H$9:$Z$9="CO4")*ISNUMBER($H$10:$Z$10)*ISNUMBER(H132:Z132)*H132:Z132) /
         SUMPRODUCT(($H$9:$Z$9="CO4")*ISNUMBER($H$10:$Z$10)*ISNUMBER(H132:Z132)*$H$10:$Z$10) * 0.85
       )
     ) * 100,
     ""
   )
)</f>
        <v/>
      </c>
      <c r="AE132" s="1" t="str" cm="1">
        <f t="array" ref="AE132">IF(
   SUMPRODUCT(($C$9:$G$9="CO5")*ISNUMBER($C$10:$G$10)*ISNUMBER(C132:G132)) +
   SUMPRODUCT(($H$9:$Z$9="CO5")*ISNUMBER($H$10:$Z$10)*ISNUMBER(H132:Z132)) = 0,
   "",
   IFERROR(
     (
       IF(
         SUMPRODUCT(($C$9:$G$9="CO5")*ISNUMBER($C$10:$G$10)*ISNUMBER(C132:G132)) = 0,
         0,
         SUMPRODUCT(($C$9:$G$9="CO5")*ISNUMBER($C$10:$G$10)*ISNUMBER(C132:G132)*C132:G132) /
         SUMPRODUCT(($C$9:$G$9="CO5")*ISNUMBER($C$10:$G$10)*ISNUMBER(C132:G132)*$C$10:$G$10) * 0.15
       ) +
       IF(
         SUMPRODUCT(($H$9:$Z$9="CO5")*ISNUMBER($H$10:$Z$10)*ISNUMBER(H132:Z132)) = 0,
         0,
         SUMPRODUCT(($H$9:$Z$9="CO5")*ISNUMBER($H$10:$Z$10)*ISNUMBER(H132:Z132)*H132:Z132) /
         SUMPRODUCT(($H$9:$Z$9="CO5")*ISNUMBER($H$10:$Z$10)*ISNUMBER(H132:Z132)*$H$10:$Z$10) * 0.85
       )
     ) * 100,
     ""
   )
)</f>
        <v/>
      </c>
      <c r="AF132" s="1" t="str" cm="1">
        <f t="array" ref="AF132">IF(
   SUMPRODUCT(($C$9:$G$9="CO6")*ISNUMBER($C$10:$G$10)*ISNUMBER(C132:G132)) +
   SUMPRODUCT(($H$9:$Z$9="CO6")*ISNUMBER($H$10:$Z$10)*ISNUMBER(H132:Z132)) = 0,
   "",
   IFERROR(
     (
       IF(
         SUMPRODUCT(($C$9:$G$9="CO6")*ISNUMBER($C$10:$G$10)*ISNUMBER(C132:G132)) = 0,
         0,
         SUMPRODUCT(($C$9:$G$9="CO6")*ISNUMBER($C$10:$G$10)*ISNUMBER(C132:G132)*C132:G132) /
         SUMPRODUCT(($C$9:$G$9="CO6")*ISNUMBER($C$10:$G$10)*ISNUMBER(C132:G132)*$C$10:$G$10) * 0.15
       ) +
       IF(
         SUMPRODUCT(($H$9:$Z$9="CO6")*ISNUMBER($H$10:$Z$10)*ISNUMBER(H132:Z132)) = 0,
         0,
         SUMPRODUCT(($H$9:$Z$9="CO6")*ISNUMBER($H$10:$Z$10)*ISNUMBER(H132:Z132)*H132:Z132) /
         SUMPRODUCT(($H$9:$Z$9="CO6")*ISNUMBER($H$10:$Z$10)*ISNUMBER(H132:Z132)*$H$10:$Z$10) * 0.85
       )
     ) * 100,
     ""
   )
)</f>
        <v/>
      </c>
      <c r="AG132" s="1" t="str" cm="1">
        <f t="array" ref="AG132">IF(
   SUMPRODUCT(($C$9:$G$9="CO7")*ISNUMBER($C$10:$G$10)*ISNUMBER(C132:G132)) +
   SUMPRODUCT(($H$9:$Z$9="CO7")*ISNUMBER($H$10:$Z$10)*ISNUMBER(H132:Z132)) = 0,
   "",
   IFERROR(
     (
       IF(
         SUMPRODUCT(($C$9:$G$9="CO7")*ISNUMBER($C$10:$G$10)*ISNUMBER(C132:G132)) = 0,
         0,
         SUMPRODUCT(($C$9:$G$9="CO7")*ISNUMBER($C$10:$G$10)*ISNUMBER(C132:G132)*C132:G132) /
         SUMPRODUCT(($C$9:$G$9="CO7")*ISNUMBER($C$10:$G$10)*ISNUMBER(C132:G132)*$C$10:$G$10) * 0.15
       ) +
       IF(
         SUMPRODUCT(($H$9:$Z$9="CO7")*ISNUMBER($H$10:$Z$10)*ISNUMBER(H132:Z132)) = 0,
         0,
         SUMPRODUCT(($H$9:$Z$9="CO7")*ISNUMBER($H$10:$Z$10)*ISNUMBER(H132:Z132)*H132:Z132) /
         SUMPRODUCT(($H$9:$Z$9="CO7")*ISNUMBER($H$10:$Z$10)*ISNUMBER(H132:Z132)*$H$10:$Z$10) * 0.85
       )
     ) * 100,
     ""
   )
)</f>
        <v/>
      </c>
      <c r="AH132" s="3" t="str" cm="1">
        <f t="array" ref="AH132">IF(
   SUMPRODUCT(($C$9:$G$9="CO8")*ISNUMBER($C$10:$G$10)*ISNUMBER(C132:G132)) +
   SUMPRODUCT(($H$9:$Z$9="CO8")*ISNUMBER($H$10:$Z$10)*ISNUMBER(H132:Z132)) = 0,
   "",
   IFERROR(
     (
       IF(
         SUMPRODUCT(($C$9:$G$9="CO8")*ISNUMBER($C$10:$G$10)*ISNUMBER(C132:G132)) = 0,
         0,
         SUMPRODUCT(($C$9:$G$9="CO8")*ISNUMBER($C$10:$G$10)*ISNUMBER(C132:G132)*C132:G132) /
         SUMPRODUCT(($C$9:$G$9="CO8")*ISNUMBER($C$10:$G$10)*ISNUMBER(C132:G132)*$C$10:$G$10) * 0.15
       ) +
       IF(
         SUMPRODUCT(($H$9:$Z$9="CO8")*ISNUMBER($H$10:$Z$10)*ISNUMBER(H132:Z132)) = 0,
         0,
         SUMPRODUCT(($H$9:$Z$9="CO8")*ISNUMBER($H$10:$Z$10)*ISNUMBER(H132:Z132)*H132:Z132) /
         SUMPRODUCT(($H$9:$Z$9="CO8")*ISNUMBER($H$10:$Z$10)*ISNUMBER(H132:Z132)*$H$10:$Z$10) * 0.85
       )
     ) * 100,
     ""
   )
)</f>
        <v/>
      </c>
      <c r="AI132" s="1" t="str">
        <f t="shared" si="17"/>
        <v/>
      </c>
      <c r="AJ132" s="1" t="str">
        <f t="shared" si="17"/>
        <v/>
      </c>
      <c r="AK132" s="1" t="str">
        <f t="shared" si="17"/>
        <v/>
      </c>
      <c r="AL132" s="1" t="str">
        <f t="shared" si="17"/>
        <v/>
      </c>
      <c r="AM132" s="1" t="str">
        <f t="shared" si="17"/>
        <v/>
      </c>
      <c r="AN132" s="1" t="str">
        <f t="shared" si="17"/>
        <v/>
      </c>
      <c r="AO132" s="1" t="str">
        <f t="shared" si="17"/>
        <v/>
      </c>
      <c r="AP132" s="1" t="str">
        <f t="shared" si="17"/>
        <v/>
      </c>
    </row>
    <row r="133" spans="1:42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" t="str" cm="1">
        <f t="array" ref="AA133">IF(
   SUMPRODUCT(($C$9:$G$9="CO1")*ISNUMBER($C$10:$G$10)*ISNUMBER(C133:G133)) +
   SUMPRODUCT(($H$9:$Z$9="CO1")*ISNUMBER($H$10:$Z$10)*ISNUMBER(H133:Z133)) = 0,
   "",
   IFERROR(
     (
       IF(
         SUMPRODUCT(($C$9:$G$9="CO1")*ISNUMBER($C$10:$G$10)*ISNUMBER(C133:G133)) = 0,
         0,
         SUMPRODUCT(($C$9:$G$9="CO1")*ISNUMBER($C$10:$G$10)*ISNUMBER(C133:G133)*C133:G133) /
         SUMPRODUCT(($C$9:$G$9="CO1")*ISNUMBER($C$10:$G$10)*ISNUMBER(C133:G133)*$C$10:$G$10) * 0.15
       ) +
       IF(
         SUMPRODUCT(($H$9:$Z$9="CO1")*ISNUMBER($H$10:$Z$10)*ISNUMBER(H133:Z133)) = 0,
         0,
         SUMPRODUCT(($H$9:$Z$9="CO1")*ISNUMBER($H$10:$Z$10)*ISNUMBER(H133:Z133)*H133:Z133) /
         SUMPRODUCT(($H$9:$Z$9="CO1")*ISNUMBER($H$10:$Z$10)*ISNUMBER(H133:Z133)*$H$10:$Z$10) * 0.85
       )
     ) * 100,
     ""
   )
)</f>
        <v/>
      </c>
      <c r="AB133" s="1" t="str" cm="1">
        <f t="array" ref="AB133">IF(
   SUMPRODUCT(($C$9:$G$9="CO2")*ISNUMBER($C$10:$G$10)*ISNUMBER(C133:G133)) +
   SUMPRODUCT(($H$9:$Z$9="CO2")*ISNUMBER($H$10:$Z$10)*ISNUMBER(H133:Z133)) = 0,
   "",
   IFERROR(
     (
       IF(
         SUMPRODUCT(($C$9:$G$9="CO2")*ISNUMBER($C$10:$G$10)*ISNUMBER(C133:G133)) = 0,
         0,
         SUMPRODUCT(($C$9:$G$9="CO2")*ISNUMBER($C$10:$G$10)*ISNUMBER(C133:G133)*C133:G133) /
         SUMPRODUCT(($C$9:$G$9="CO2")*ISNUMBER($C$10:$G$10)*ISNUMBER(C133:G133)*$C$10:$G$10) * 0.15
       ) +
       IF(
         SUMPRODUCT(($H$9:$Z$9="CO2")*ISNUMBER($H$10:$Z$10)*ISNUMBER(H133:Z133)) = 0,
         0,
         SUMPRODUCT(($H$9:$Z$9="CO2")*ISNUMBER($H$10:$Z$10)*ISNUMBER(H133:Z133)*H133:Z133) /
         SUMPRODUCT(($H$9:$Z$9="CO2")*ISNUMBER($H$10:$Z$10)*ISNUMBER(H133:Z133)*$H$10:$Z$10) * 0.85
       )
     ) * 100,
     ""
   )
)</f>
        <v/>
      </c>
      <c r="AC133" s="1" t="str" cm="1">
        <f t="array" ref="AC133">IF(
   SUMPRODUCT(($C$9:$G$9="CO3")*ISNUMBER($C$10:$G$10)*ISNUMBER(C133:G133)) +
   SUMPRODUCT(($H$9:$Z$9="CO3")*ISNUMBER($H$10:$Z$10)*ISNUMBER(H133:Z133)) = 0,
   "",
   IFERROR(
     (
       IF(
         SUMPRODUCT(($C$9:$G$9="CO3")*ISNUMBER($C$10:$G$10)*ISNUMBER(C133:G133)) = 0,
         0,
         SUMPRODUCT(($C$9:$G$9="CO3")*ISNUMBER($C$10:$G$10)*ISNUMBER(C133:G133)*C133:G133) /
         SUMPRODUCT(($C$9:$G$9="CO3")*ISNUMBER($C$10:$G$10)*ISNUMBER(C133:G133)*$C$10:$G$10) * 0.15
       ) +
       IF(
         SUMPRODUCT(($H$9:$Z$9="CO3")*ISNUMBER($H$10:$Z$10)*ISNUMBER(H133:Z133)) = 0,
         0,
         SUMPRODUCT(($H$9:$Z$9="CO3")*ISNUMBER($H$10:$Z$10)*ISNUMBER(H133:Z133)*H133:Z133) /
         SUMPRODUCT(($H$9:$Z$9="CO3")*ISNUMBER($H$10:$Z$10)*ISNUMBER(H133:Z133)*$H$10:$Z$10) * 0.85
       )
     ) * 100,
     ""
   )
)</f>
        <v/>
      </c>
      <c r="AD133" s="1" t="str" cm="1">
        <f t="array" ref="AD133">IF(
   SUMPRODUCT(($C$9:$G$9="CO4")*ISNUMBER($C$10:$G$10)*ISNUMBER(C133:G133)) +
   SUMPRODUCT(($H$9:$Z$9="CO4")*ISNUMBER($H$10:$Z$10)*ISNUMBER(H133:Z133)) = 0,
   "",
   IFERROR(
     (
       IF(
         SUMPRODUCT(($C$9:$G$9="CO4")*ISNUMBER($C$10:$G$10)*ISNUMBER(C133:G133)) = 0,
         0,
         SUMPRODUCT(($C$9:$G$9="CO4")*ISNUMBER($C$10:$G$10)*ISNUMBER(C133:G133)*C133:G133) /
         SUMPRODUCT(($C$9:$G$9="CO4")*ISNUMBER($C$10:$G$10)*ISNUMBER(C133:G133)*$C$10:$G$10) * 0.15
       ) +
       IF(
         SUMPRODUCT(($H$9:$Z$9="CO4")*ISNUMBER($H$10:$Z$10)*ISNUMBER(H133:Z133)) = 0,
         0,
         SUMPRODUCT(($H$9:$Z$9="CO4")*ISNUMBER($H$10:$Z$10)*ISNUMBER(H133:Z133)*H133:Z133) /
         SUMPRODUCT(($H$9:$Z$9="CO4")*ISNUMBER($H$10:$Z$10)*ISNUMBER(H133:Z133)*$H$10:$Z$10) * 0.85
       )
     ) * 100,
     ""
   )
)</f>
        <v/>
      </c>
      <c r="AE133" s="1" t="str" cm="1">
        <f t="array" ref="AE133">IF(
   SUMPRODUCT(($C$9:$G$9="CO5")*ISNUMBER($C$10:$G$10)*ISNUMBER(C133:G133)) +
   SUMPRODUCT(($H$9:$Z$9="CO5")*ISNUMBER($H$10:$Z$10)*ISNUMBER(H133:Z133)) = 0,
   "",
   IFERROR(
     (
       IF(
         SUMPRODUCT(($C$9:$G$9="CO5")*ISNUMBER($C$10:$G$10)*ISNUMBER(C133:G133)) = 0,
         0,
         SUMPRODUCT(($C$9:$G$9="CO5")*ISNUMBER($C$10:$G$10)*ISNUMBER(C133:G133)*C133:G133) /
         SUMPRODUCT(($C$9:$G$9="CO5")*ISNUMBER($C$10:$G$10)*ISNUMBER(C133:G133)*$C$10:$G$10) * 0.15
       ) +
       IF(
         SUMPRODUCT(($H$9:$Z$9="CO5")*ISNUMBER($H$10:$Z$10)*ISNUMBER(H133:Z133)) = 0,
         0,
         SUMPRODUCT(($H$9:$Z$9="CO5")*ISNUMBER($H$10:$Z$10)*ISNUMBER(H133:Z133)*H133:Z133) /
         SUMPRODUCT(($H$9:$Z$9="CO5")*ISNUMBER($H$10:$Z$10)*ISNUMBER(H133:Z133)*$H$10:$Z$10) * 0.85
       )
     ) * 100,
     ""
   )
)</f>
        <v/>
      </c>
      <c r="AF133" s="1" t="str" cm="1">
        <f t="array" ref="AF133">IF(
   SUMPRODUCT(($C$9:$G$9="CO6")*ISNUMBER($C$10:$G$10)*ISNUMBER(C133:G133)) +
   SUMPRODUCT(($H$9:$Z$9="CO6")*ISNUMBER($H$10:$Z$10)*ISNUMBER(H133:Z133)) = 0,
   "",
   IFERROR(
     (
       IF(
         SUMPRODUCT(($C$9:$G$9="CO6")*ISNUMBER($C$10:$G$10)*ISNUMBER(C133:G133)) = 0,
         0,
         SUMPRODUCT(($C$9:$G$9="CO6")*ISNUMBER($C$10:$G$10)*ISNUMBER(C133:G133)*C133:G133) /
         SUMPRODUCT(($C$9:$G$9="CO6")*ISNUMBER($C$10:$G$10)*ISNUMBER(C133:G133)*$C$10:$G$10) * 0.15
       ) +
       IF(
         SUMPRODUCT(($H$9:$Z$9="CO6")*ISNUMBER($H$10:$Z$10)*ISNUMBER(H133:Z133)) = 0,
         0,
         SUMPRODUCT(($H$9:$Z$9="CO6")*ISNUMBER($H$10:$Z$10)*ISNUMBER(H133:Z133)*H133:Z133) /
         SUMPRODUCT(($H$9:$Z$9="CO6")*ISNUMBER($H$10:$Z$10)*ISNUMBER(H133:Z133)*$H$10:$Z$10) * 0.85
       )
     ) * 100,
     ""
   )
)</f>
        <v/>
      </c>
      <c r="AG133" s="1" t="str" cm="1">
        <f t="array" ref="AG133">IF(
   SUMPRODUCT(($C$9:$G$9="CO7")*ISNUMBER($C$10:$G$10)*ISNUMBER(C133:G133)) +
   SUMPRODUCT(($H$9:$Z$9="CO7")*ISNUMBER($H$10:$Z$10)*ISNUMBER(H133:Z133)) = 0,
   "",
   IFERROR(
     (
       IF(
         SUMPRODUCT(($C$9:$G$9="CO7")*ISNUMBER($C$10:$G$10)*ISNUMBER(C133:G133)) = 0,
         0,
         SUMPRODUCT(($C$9:$G$9="CO7")*ISNUMBER($C$10:$G$10)*ISNUMBER(C133:G133)*C133:G133) /
         SUMPRODUCT(($C$9:$G$9="CO7")*ISNUMBER($C$10:$G$10)*ISNUMBER(C133:G133)*$C$10:$G$10) * 0.15
       ) +
       IF(
         SUMPRODUCT(($H$9:$Z$9="CO7")*ISNUMBER($H$10:$Z$10)*ISNUMBER(H133:Z133)) = 0,
         0,
         SUMPRODUCT(($H$9:$Z$9="CO7")*ISNUMBER($H$10:$Z$10)*ISNUMBER(H133:Z133)*H133:Z133) /
         SUMPRODUCT(($H$9:$Z$9="CO7")*ISNUMBER($H$10:$Z$10)*ISNUMBER(H133:Z133)*$H$10:$Z$10) * 0.85
       )
     ) * 100,
     ""
   )
)</f>
        <v/>
      </c>
      <c r="AH133" s="3" t="str" cm="1">
        <f t="array" ref="AH133">IF(
   SUMPRODUCT(($C$9:$G$9="CO8")*ISNUMBER($C$10:$G$10)*ISNUMBER(C133:G133)) +
   SUMPRODUCT(($H$9:$Z$9="CO8")*ISNUMBER($H$10:$Z$10)*ISNUMBER(H133:Z133)) = 0,
   "",
   IFERROR(
     (
       IF(
         SUMPRODUCT(($C$9:$G$9="CO8")*ISNUMBER($C$10:$G$10)*ISNUMBER(C133:G133)) = 0,
         0,
         SUMPRODUCT(($C$9:$G$9="CO8")*ISNUMBER($C$10:$G$10)*ISNUMBER(C133:G133)*C133:G133) /
         SUMPRODUCT(($C$9:$G$9="CO8")*ISNUMBER($C$10:$G$10)*ISNUMBER(C133:G133)*$C$10:$G$10) * 0.15
       ) +
       IF(
         SUMPRODUCT(($H$9:$Z$9="CO8")*ISNUMBER($H$10:$Z$10)*ISNUMBER(H133:Z133)) = 0,
         0,
         SUMPRODUCT(($H$9:$Z$9="CO8")*ISNUMBER($H$10:$Z$10)*ISNUMBER(H133:Z133)*H133:Z133) /
         SUMPRODUCT(($H$9:$Z$9="CO8")*ISNUMBER($H$10:$Z$10)*ISNUMBER(H133:Z133)*$H$10:$Z$10) * 0.85
       )
     ) * 100,
     ""
   )
)</f>
        <v/>
      </c>
      <c r="AI133" s="1" t="str">
        <f t="shared" si="17"/>
        <v/>
      </c>
      <c r="AJ133" s="1" t="str">
        <f t="shared" si="17"/>
        <v/>
      </c>
      <c r="AK133" s="1" t="str">
        <f t="shared" si="17"/>
        <v/>
      </c>
      <c r="AL133" s="1" t="str">
        <f t="shared" si="17"/>
        <v/>
      </c>
      <c r="AM133" s="1" t="str">
        <f t="shared" si="17"/>
        <v/>
      </c>
      <c r="AN133" s="1" t="str">
        <f t="shared" si="17"/>
        <v/>
      </c>
      <c r="AO133" s="1" t="str">
        <f t="shared" si="17"/>
        <v/>
      </c>
      <c r="AP133" s="1" t="str">
        <f t="shared" si="17"/>
        <v/>
      </c>
    </row>
    <row r="134" spans="1:42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" t="str" cm="1">
        <f t="array" ref="AA134">IF(
   SUMPRODUCT(($C$9:$G$9="CO1")*ISNUMBER($C$10:$G$10)*ISNUMBER(C134:G134)) +
   SUMPRODUCT(($H$9:$Z$9="CO1")*ISNUMBER($H$10:$Z$10)*ISNUMBER(H134:Z134)) = 0,
   "",
   IFERROR(
     (
       IF(
         SUMPRODUCT(($C$9:$G$9="CO1")*ISNUMBER($C$10:$G$10)*ISNUMBER(C134:G134)) = 0,
         0,
         SUMPRODUCT(($C$9:$G$9="CO1")*ISNUMBER($C$10:$G$10)*ISNUMBER(C134:G134)*C134:G134) /
         SUMPRODUCT(($C$9:$G$9="CO1")*ISNUMBER($C$10:$G$10)*ISNUMBER(C134:G134)*$C$10:$G$10) * 0.15
       ) +
       IF(
         SUMPRODUCT(($H$9:$Z$9="CO1")*ISNUMBER($H$10:$Z$10)*ISNUMBER(H134:Z134)) = 0,
         0,
         SUMPRODUCT(($H$9:$Z$9="CO1")*ISNUMBER($H$10:$Z$10)*ISNUMBER(H134:Z134)*H134:Z134) /
         SUMPRODUCT(($H$9:$Z$9="CO1")*ISNUMBER($H$10:$Z$10)*ISNUMBER(H134:Z134)*$H$10:$Z$10) * 0.85
       )
     ) * 100,
     ""
   )
)</f>
        <v/>
      </c>
      <c r="AB134" s="1" t="str" cm="1">
        <f t="array" ref="AB134">IF(
   SUMPRODUCT(($C$9:$G$9="CO2")*ISNUMBER($C$10:$G$10)*ISNUMBER(C134:G134)) +
   SUMPRODUCT(($H$9:$Z$9="CO2")*ISNUMBER($H$10:$Z$10)*ISNUMBER(H134:Z134)) = 0,
   "",
   IFERROR(
     (
       IF(
         SUMPRODUCT(($C$9:$G$9="CO2")*ISNUMBER($C$10:$G$10)*ISNUMBER(C134:G134)) = 0,
         0,
         SUMPRODUCT(($C$9:$G$9="CO2")*ISNUMBER($C$10:$G$10)*ISNUMBER(C134:G134)*C134:G134) /
         SUMPRODUCT(($C$9:$G$9="CO2")*ISNUMBER($C$10:$G$10)*ISNUMBER(C134:G134)*$C$10:$G$10) * 0.15
       ) +
       IF(
         SUMPRODUCT(($H$9:$Z$9="CO2")*ISNUMBER($H$10:$Z$10)*ISNUMBER(H134:Z134)) = 0,
         0,
         SUMPRODUCT(($H$9:$Z$9="CO2")*ISNUMBER($H$10:$Z$10)*ISNUMBER(H134:Z134)*H134:Z134) /
         SUMPRODUCT(($H$9:$Z$9="CO2")*ISNUMBER($H$10:$Z$10)*ISNUMBER(H134:Z134)*$H$10:$Z$10) * 0.85
       )
     ) * 100,
     ""
   )
)</f>
        <v/>
      </c>
      <c r="AC134" s="1" t="str" cm="1">
        <f t="array" ref="AC134">IF(
   SUMPRODUCT(($C$9:$G$9="CO3")*ISNUMBER($C$10:$G$10)*ISNUMBER(C134:G134)) +
   SUMPRODUCT(($H$9:$Z$9="CO3")*ISNUMBER($H$10:$Z$10)*ISNUMBER(H134:Z134)) = 0,
   "",
   IFERROR(
     (
       IF(
         SUMPRODUCT(($C$9:$G$9="CO3")*ISNUMBER($C$10:$G$10)*ISNUMBER(C134:G134)) = 0,
         0,
         SUMPRODUCT(($C$9:$G$9="CO3")*ISNUMBER($C$10:$G$10)*ISNUMBER(C134:G134)*C134:G134) /
         SUMPRODUCT(($C$9:$G$9="CO3")*ISNUMBER($C$10:$G$10)*ISNUMBER(C134:G134)*$C$10:$G$10) * 0.15
       ) +
       IF(
         SUMPRODUCT(($H$9:$Z$9="CO3")*ISNUMBER($H$10:$Z$10)*ISNUMBER(H134:Z134)) = 0,
         0,
         SUMPRODUCT(($H$9:$Z$9="CO3")*ISNUMBER($H$10:$Z$10)*ISNUMBER(H134:Z134)*H134:Z134) /
         SUMPRODUCT(($H$9:$Z$9="CO3")*ISNUMBER($H$10:$Z$10)*ISNUMBER(H134:Z134)*$H$10:$Z$10) * 0.85
       )
     ) * 100,
     ""
   )
)</f>
        <v/>
      </c>
      <c r="AD134" s="1" t="str" cm="1">
        <f t="array" ref="AD134">IF(
   SUMPRODUCT(($C$9:$G$9="CO4")*ISNUMBER($C$10:$G$10)*ISNUMBER(C134:G134)) +
   SUMPRODUCT(($H$9:$Z$9="CO4")*ISNUMBER($H$10:$Z$10)*ISNUMBER(H134:Z134)) = 0,
   "",
   IFERROR(
     (
       IF(
         SUMPRODUCT(($C$9:$G$9="CO4")*ISNUMBER($C$10:$G$10)*ISNUMBER(C134:G134)) = 0,
         0,
         SUMPRODUCT(($C$9:$G$9="CO4")*ISNUMBER($C$10:$G$10)*ISNUMBER(C134:G134)*C134:G134) /
         SUMPRODUCT(($C$9:$G$9="CO4")*ISNUMBER($C$10:$G$10)*ISNUMBER(C134:G134)*$C$10:$G$10) * 0.15
       ) +
       IF(
         SUMPRODUCT(($H$9:$Z$9="CO4")*ISNUMBER($H$10:$Z$10)*ISNUMBER(H134:Z134)) = 0,
         0,
         SUMPRODUCT(($H$9:$Z$9="CO4")*ISNUMBER($H$10:$Z$10)*ISNUMBER(H134:Z134)*H134:Z134) /
         SUMPRODUCT(($H$9:$Z$9="CO4")*ISNUMBER($H$10:$Z$10)*ISNUMBER(H134:Z134)*$H$10:$Z$10) * 0.85
       )
     ) * 100,
     ""
   )
)</f>
        <v/>
      </c>
      <c r="AE134" s="1" t="str" cm="1">
        <f t="array" ref="AE134">IF(
   SUMPRODUCT(($C$9:$G$9="CO5")*ISNUMBER($C$10:$G$10)*ISNUMBER(C134:G134)) +
   SUMPRODUCT(($H$9:$Z$9="CO5")*ISNUMBER($H$10:$Z$10)*ISNUMBER(H134:Z134)) = 0,
   "",
   IFERROR(
     (
       IF(
         SUMPRODUCT(($C$9:$G$9="CO5")*ISNUMBER($C$10:$G$10)*ISNUMBER(C134:G134)) = 0,
         0,
         SUMPRODUCT(($C$9:$G$9="CO5")*ISNUMBER($C$10:$G$10)*ISNUMBER(C134:G134)*C134:G134) /
         SUMPRODUCT(($C$9:$G$9="CO5")*ISNUMBER($C$10:$G$10)*ISNUMBER(C134:G134)*$C$10:$G$10) * 0.15
       ) +
       IF(
         SUMPRODUCT(($H$9:$Z$9="CO5")*ISNUMBER($H$10:$Z$10)*ISNUMBER(H134:Z134)) = 0,
         0,
         SUMPRODUCT(($H$9:$Z$9="CO5")*ISNUMBER($H$10:$Z$10)*ISNUMBER(H134:Z134)*H134:Z134) /
         SUMPRODUCT(($H$9:$Z$9="CO5")*ISNUMBER($H$10:$Z$10)*ISNUMBER(H134:Z134)*$H$10:$Z$10) * 0.85
       )
     ) * 100,
     ""
   )
)</f>
        <v/>
      </c>
      <c r="AF134" s="1" t="str" cm="1">
        <f t="array" ref="AF134">IF(
   SUMPRODUCT(($C$9:$G$9="CO6")*ISNUMBER($C$10:$G$10)*ISNUMBER(C134:G134)) +
   SUMPRODUCT(($H$9:$Z$9="CO6")*ISNUMBER($H$10:$Z$10)*ISNUMBER(H134:Z134)) = 0,
   "",
   IFERROR(
     (
       IF(
         SUMPRODUCT(($C$9:$G$9="CO6")*ISNUMBER($C$10:$G$10)*ISNUMBER(C134:G134)) = 0,
         0,
         SUMPRODUCT(($C$9:$G$9="CO6")*ISNUMBER($C$10:$G$10)*ISNUMBER(C134:G134)*C134:G134) /
         SUMPRODUCT(($C$9:$G$9="CO6")*ISNUMBER($C$10:$G$10)*ISNUMBER(C134:G134)*$C$10:$G$10) * 0.15
       ) +
       IF(
         SUMPRODUCT(($H$9:$Z$9="CO6")*ISNUMBER($H$10:$Z$10)*ISNUMBER(H134:Z134)) = 0,
         0,
         SUMPRODUCT(($H$9:$Z$9="CO6")*ISNUMBER($H$10:$Z$10)*ISNUMBER(H134:Z134)*H134:Z134) /
         SUMPRODUCT(($H$9:$Z$9="CO6")*ISNUMBER($H$10:$Z$10)*ISNUMBER(H134:Z134)*$H$10:$Z$10) * 0.85
       )
     ) * 100,
     ""
   )
)</f>
        <v/>
      </c>
      <c r="AG134" s="1" t="str" cm="1">
        <f t="array" ref="AG134">IF(
   SUMPRODUCT(($C$9:$G$9="CO7")*ISNUMBER($C$10:$G$10)*ISNUMBER(C134:G134)) +
   SUMPRODUCT(($H$9:$Z$9="CO7")*ISNUMBER($H$10:$Z$10)*ISNUMBER(H134:Z134)) = 0,
   "",
   IFERROR(
     (
       IF(
         SUMPRODUCT(($C$9:$G$9="CO7")*ISNUMBER($C$10:$G$10)*ISNUMBER(C134:G134)) = 0,
         0,
         SUMPRODUCT(($C$9:$G$9="CO7")*ISNUMBER($C$10:$G$10)*ISNUMBER(C134:G134)*C134:G134) /
         SUMPRODUCT(($C$9:$G$9="CO7")*ISNUMBER($C$10:$G$10)*ISNUMBER(C134:G134)*$C$10:$G$10) * 0.15
       ) +
       IF(
         SUMPRODUCT(($H$9:$Z$9="CO7")*ISNUMBER($H$10:$Z$10)*ISNUMBER(H134:Z134)) = 0,
         0,
         SUMPRODUCT(($H$9:$Z$9="CO7")*ISNUMBER($H$10:$Z$10)*ISNUMBER(H134:Z134)*H134:Z134) /
         SUMPRODUCT(($H$9:$Z$9="CO7")*ISNUMBER($H$10:$Z$10)*ISNUMBER(H134:Z134)*$H$10:$Z$10) * 0.85
       )
     ) * 100,
     ""
   )
)</f>
        <v/>
      </c>
      <c r="AH134" s="3" t="str" cm="1">
        <f t="array" ref="AH134">IF(
   SUMPRODUCT(($C$9:$G$9="CO8")*ISNUMBER($C$10:$G$10)*ISNUMBER(C134:G134)) +
   SUMPRODUCT(($H$9:$Z$9="CO8")*ISNUMBER($H$10:$Z$10)*ISNUMBER(H134:Z134)) = 0,
   "",
   IFERROR(
     (
       IF(
         SUMPRODUCT(($C$9:$G$9="CO8")*ISNUMBER($C$10:$G$10)*ISNUMBER(C134:G134)) = 0,
         0,
         SUMPRODUCT(($C$9:$G$9="CO8")*ISNUMBER($C$10:$G$10)*ISNUMBER(C134:G134)*C134:G134) /
         SUMPRODUCT(($C$9:$G$9="CO8")*ISNUMBER($C$10:$G$10)*ISNUMBER(C134:G134)*$C$10:$G$10) * 0.15
       ) +
       IF(
         SUMPRODUCT(($H$9:$Z$9="CO8")*ISNUMBER($H$10:$Z$10)*ISNUMBER(H134:Z134)) = 0,
         0,
         SUMPRODUCT(($H$9:$Z$9="CO8")*ISNUMBER($H$10:$Z$10)*ISNUMBER(H134:Z134)*H134:Z134) /
         SUMPRODUCT(($H$9:$Z$9="CO8")*ISNUMBER($H$10:$Z$10)*ISNUMBER(H134:Z134)*$H$10:$Z$10) * 0.85
       )
     ) * 100,
     ""
   )
)</f>
        <v/>
      </c>
      <c r="AI134" s="1" t="str">
        <f t="shared" si="17"/>
        <v/>
      </c>
      <c r="AJ134" s="1" t="str">
        <f t="shared" si="17"/>
        <v/>
      </c>
      <c r="AK134" s="1" t="str">
        <f t="shared" si="17"/>
        <v/>
      </c>
      <c r="AL134" s="1" t="str">
        <f t="shared" si="17"/>
        <v/>
      </c>
      <c r="AM134" s="1" t="str">
        <f t="shared" si="17"/>
        <v/>
      </c>
      <c r="AN134" s="1" t="str">
        <f t="shared" si="17"/>
        <v/>
      </c>
      <c r="AO134" s="1" t="str">
        <f t="shared" si="17"/>
        <v/>
      </c>
      <c r="AP134" s="1" t="str">
        <f t="shared" si="17"/>
        <v/>
      </c>
    </row>
    <row r="135" spans="1:42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" t="str" cm="1">
        <f t="array" ref="AA135">IF(
   SUMPRODUCT(($C$9:$G$9="CO1")*ISNUMBER($C$10:$G$10)*ISNUMBER(C135:G135)) +
   SUMPRODUCT(($H$9:$Z$9="CO1")*ISNUMBER($H$10:$Z$10)*ISNUMBER(H135:Z135)) = 0,
   "",
   IFERROR(
     (
       IF(
         SUMPRODUCT(($C$9:$G$9="CO1")*ISNUMBER($C$10:$G$10)*ISNUMBER(C135:G135)) = 0,
         0,
         SUMPRODUCT(($C$9:$G$9="CO1")*ISNUMBER($C$10:$G$10)*ISNUMBER(C135:G135)*C135:G135) /
         SUMPRODUCT(($C$9:$G$9="CO1")*ISNUMBER($C$10:$G$10)*ISNUMBER(C135:G135)*$C$10:$G$10) * 0.15
       ) +
       IF(
         SUMPRODUCT(($H$9:$Z$9="CO1")*ISNUMBER($H$10:$Z$10)*ISNUMBER(H135:Z135)) = 0,
         0,
         SUMPRODUCT(($H$9:$Z$9="CO1")*ISNUMBER($H$10:$Z$10)*ISNUMBER(H135:Z135)*H135:Z135) /
         SUMPRODUCT(($H$9:$Z$9="CO1")*ISNUMBER($H$10:$Z$10)*ISNUMBER(H135:Z135)*$H$10:$Z$10) * 0.85
       )
     ) * 100,
     ""
   )
)</f>
        <v/>
      </c>
      <c r="AB135" s="1" t="str" cm="1">
        <f t="array" ref="AB135">IF(
   SUMPRODUCT(($C$9:$G$9="CO2")*ISNUMBER($C$10:$G$10)*ISNUMBER(C135:G135)) +
   SUMPRODUCT(($H$9:$Z$9="CO2")*ISNUMBER($H$10:$Z$10)*ISNUMBER(H135:Z135)) = 0,
   "",
   IFERROR(
     (
       IF(
         SUMPRODUCT(($C$9:$G$9="CO2")*ISNUMBER($C$10:$G$10)*ISNUMBER(C135:G135)) = 0,
         0,
         SUMPRODUCT(($C$9:$G$9="CO2")*ISNUMBER($C$10:$G$10)*ISNUMBER(C135:G135)*C135:G135) /
         SUMPRODUCT(($C$9:$G$9="CO2")*ISNUMBER($C$10:$G$10)*ISNUMBER(C135:G135)*$C$10:$G$10) * 0.15
       ) +
       IF(
         SUMPRODUCT(($H$9:$Z$9="CO2")*ISNUMBER($H$10:$Z$10)*ISNUMBER(H135:Z135)) = 0,
         0,
         SUMPRODUCT(($H$9:$Z$9="CO2")*ISNUMBER($H$10:$Z$10)*ISNUMBER(H135:Z135)*H135:Z135) /
         SUMPRODUCT(($H$9:$Z$9="CO2")*ISNUMBER($H$10:$Z$10)*ISNUMBER(H135:Z135)*$H$10:$Z$10) * 0.85
       )
     ) * 100,
     ""
   )
)</f>
        <v/>
      </c>
      <c r="AC135" s="1" t="str" cm="1">
        <f t="array" ref="AC135">IF(
   SUMPRODUCT(($C$9:$G$9="CO3")*ISNUMBER($C$10:$G$10)*ISNUMBER(C135:G135)) +
   SUMPRODUCT(($H$9:$Z$9="CO3")*ISNUMBER($H$10:$Z$10)*ISNUMBER(H135:Z135)) = 0,
   "",
   IFERROR(
     (
       IF(
         SUMPRODUCT(($C$9:$G$9="CO3")*ISNUMBER($C$10:$G$10)*ISNUMBER(C135:G135)) = 0,
         0,
         SUMPRODUCT(($C$9:$G$9="CO3")*ISNUMBER($C$10:$G$10)*ISNUMBER(C135:G135)*C135:G135) /
         SUMPRODUCT(($C$9:$G$9="CO3")*ISNUMBER($C$10:$G$10)*ISNUMBER(C135:G135)*$C$10:$G$10) * 0.15
       ) +
       IF(
         SUMPRODUCT(($H$9:$Z$9="CO3")*ISNUMBER($H$10:$Z$10)*ISNUMBER(H135:Z135)) = 0,
         0,
         SUMPRODUCT(($H$9:$Z$9="CO3")*ISNUMBER($H$10:$Z$10)*ISNUMBER(H135:Z135)*H135:Z135) /
         SUMPRODUCT(($H$9:$Z$9="CO3")*ISNUMBER($H$10:$Z$10)*ISNUMBER(H135:Z135)*$H$10:$Z$10) * 0.85
       )
     ) * 100,
     ""
   )
)</f>
        <v/>
      </c>
      <c r="AD135" s="1" t="str" cm="1">
        <f t="array" ref="AD135">IF(
   SUMPRODUCT(($C$9:$G$9="CO4")*ISNUMBER($C$10:$G$10)*ISNUMBER(C135:G135)) +
   SUMPRODUCT(($H$9:$Z$9="CO4")*ISNUMBER($H$10:$Z$10)*ISNUMBER(H135:Z135)) = 0,
   "",
   IFERROR(
     (
       IF(
         SUMPRODUCT(($C$9:$G$9="CO4")*ISNUMBER($C$10:$G$10)*ISNUMBER(C135:G135)) = 0,
         0,
         SUMPRODUCT(($C$9:$G$9="CO4")*ISNUMBER($C$10:$G$10)*ISNUMBER(C135:G135)*C135:G135) /
         SUMPRODUCT(($C$9:$G$9="CO4")*ISNUMBER($C$10:$G$10)*ISNUMBER(C135:G135)*$C$10:$G$10) * 0.15
       ) +
       IF(
         SUMPRODUCT(($H$9:$Z$9="CO4")*ISNUMBER($H$10:$Z$10)*ISNUMBER(H135:Z135)) = 0,
         0,
         SUMPRODUCT(($H$9:$Z$9="CO4")*ISNUMBER($H$10:$Z$10)*ISNUMBER(H135:Z135)*H135:Z135) /
         SUMPRODUCT(($H$9:$Z$9="CO4")*ISNUMBER($H$10:$Z$10)*ISNUMBER(H135:Z135)*$H$10:$Z$10) * 0.85
       )
     ) * 100,
     ""
   )
)</f>
        <v/>
      </c>
      <c r="AE135" s="1" t="str" cm="1">
        <f t="array" ref="AE135">IF(
   SUMPRODUCT(($C$9:$G$9="CO5")*ISNUMBER($C$10:$G$10)*ISNUMBER(C135:G135)) +
   SUMPRODUCT(($H$9:$Z$9="CO5")*ISNUMBER($H$10:$Z$10)*ISNUMBER(H135:Z135)) = 0,
   "",
   IFERROR(
     (
       IF(
         SUMPRODUCT(($C$9:$G$9="CO5")*ISNUMBER($C$10:$G$10)*ISNUMBER(C135:G135)) = 0,
         0,
         SUMPRODUCT(($C$9:$G$9="CO5")*ISNUMBER($C$10:$G$10)*ISNUMBER(C135:G135)*C135:G135) /
         SUMPRODUCT(($C$9:$G$9="CO5")*ISNUMBER($C$10:$G$10)*ISNUMBER(C135:G135)*$C$10:$G$10) * 0.15
       ) +
       IF(
         SUMPRODUCT(($H$9:$Z$9="CO5")*ISNUMBER($H$10:$Z$10)*ISNUMBER(H135:Z135)) = 0,
         0,
         SUMPRODUCT(($H$9:$Z$9="CO5")*ISNUMBER($H$10:$Z$10)*ISNUMBER(H135:Z135)*H135:Z135) /
         SUMPRODUCT(($H$9:$Z$9="CO5")*ISNUMBER($H$10:$Z$10)*ISNUMBER(H135:Z135)*$H$10:$Z$10) * 0.85
       )
     ) * 100,
     ""
   )
)</f>
        <v/>
      </c>
      <c r="AF135" s="1" t="str" cm="1">
        <f t="array" ref="AF135">IF(
   SUMPRODUCT(($C$9:$G$9="CO6")*ISNUMBER($C$10:$G$10)*ISNUMBER(C135:G135)) +
   SUMPRODUCT(($H$9:$Z$9="CO6")*ISNUMBER($H$10:$Z$10)*ISNUMBER(H135:Z135)) = 0,
   "",
   IFERROR(
     (
       IF(
         SUMPRODUCT(($C$9:$G$9="CO6")*ISNUMBER($C$10:$G$10)*ISNUMBER(C135:G135)) = 0,
         0,
         SUMPRODUCT(($C$9:$G$9="CO6")*ISNUMBER($C$10:$G$10)*ISNUMBER(C135:G135)*C135:G135) /
         SUMPRODUCT(($C$9:$G$9="CO6")*ISNUMBER($C$10:$G$10)*ISNUMBER(C135:G135)*$C$10:$G$10) * 0.15
       ) +
       IF(
         SUMPRODUCT(($H$9:$Z$9="CO6")*ISNUMBER($H$10:$Z$10)*ISNUMBER(H135:Z135)) = 0,
         0,
         SUMPRODUCT(($H$9:$Z$9="CO6")*ISNUMBER($H$10:$Z$10)*ISNUMBER(H135:Z135)*H135:Z135) /
         SUMPRODUCT(($H$9:$Z$9="CO6")*ISNUMBER($H$10:$Z$10)*ISNUMBER(H135:Z135)*$H$10:$Z$10) * 0.85
       )
     ) * 100,
     ""
   )
)</f>
        <v/>
      </c>
      <c r="AG135" s="1" t="str" cm="1">
        <f t="array" ref="AG135">IF(
   SUMPRODUCT(($C$9:$G$9="CO7")*ISNUMBER($C$10:$G$10)*ISNUMBER(C135:G135)) +
   SUMPRODUCT(($H$9:$Z$9="CO7")*ISNUMBER($H$10:$Z$10)*ISNUMBER(H135:Z135)) = 0,
   "",
   IFERROR(
     (
       IF(
         SUMPRODUCT(($C$9:$G$9="CO7")*ISNUMBER($C$10:$G$10)*ISNUMBER(C135:G135)) = 0,
         0,
         SUMPRODUCT(($C$9:$G$9="CO7")*ISNUMBER($C$10:$G$10)*ISNUMBER(C135:G135)*C135:G135) /
         SUMPRODUCT(($C$9:$G$9="CO7")*ISNUMBER($C$10:$G$10)*ISNUMBER(C135:G135)*$C$10:$G$10) * 0.15
       ) +
       IF(
         SUMPRODUCT(($H$9:$Z$9="CO7")*ISNUMBER($H$10:$Z$10)*ISNUMBER(H135:Z135)) = 0,
         0,
         SUMPRODUCT(($H$9:$Z$9="CO7")*ISNUMBER($H$10:$Z$10)*ISNUMBER(H135:Z135)*H135:Z135) /
         SUMPRODUCT(($H$9:$Z$9="CO7")*ISNUMBER($H$10:$Z$10)*ISNUMBER(H135:Z135)*$H$10:$Z$10) * 0.85
       )
     ) * 100,
     ""
   )
)</f>
        <v/>
      </c>
      <c r="AH135" s="3" t="str" cm="1">
        <f t="array" ref="AH135">IF(
   SUMPRODUCT(($C$9:$G$9="CO8")*ISNUMBER($C$10:$G$10)*ISNUMBER(C135:G135)) +
   SUMPRODUCT(($H$9:$Z$9="CO8")*ISNUMBER($H$10:$Z$10)*ISNUMBER(H135:Z135)) = 0,
   "",
   IFERROR(
     (
       IF(
         SUMPRODUCT(($C$9:$G$9="CO8")*ISNUMBER($C$10:$G$10)*ISNUMBER(C135:G135)) = 0,
         0,
         SUMPRODUCT(($C$9:$G$9="CO8")*ISNUMBER($C$10:$G$10)*ISNUMBER(C135:G135)*C135:G135) /
         SUMPRODUCT(($C$9:$G$9="CO8")*ISNUMBER($C$10:$G$10)*ISNUMBER(C135:G135)*$C$10:$G$10) * 0.15
       ) +
       IF(
         SUMPRODUCT(($H$9:$Z$9="CO8")*ISNUMBER($H$10:$Z$10)*ISNUMBER(H135:Z135)) = 0,
         0,
         SUMPRODUCT(($H$9:$Z$9="CO8")*ISNUMBER($H$10:$Z$10)*ISNUMBER(H135:Z135)*H135:Z135) /
         SUMPRODUCT(($H$9:$Z$9="CO8")*ISNUMBER($H$10:$Z$10)*ISNUMBER(H135:Z135)*$H$10:$Z$10) * 0.85
       )
     ) * 100,
     ""
   )
)</f>
        <v/>
      </c>
      <c r="AI135" s="1" t="str">
        <f t="shared" si="17"/>
        <v/>
      </c>
      <c r="AJ135" s="1" t="str">
        <f t="shared" si="17"/>
        <v/>
      </c>
      <c r="AK135" s="1" t="str">
        <f t="shared" si="17"/>
        <v/>
      </c>
      <c r="AL135" s="1" t="str">
        <f t="shared" si="17"/>
        <v/>
      </c>
      <c r="AM135" s="1" t="str">
        <f t="shared" si="17"/>
        <v/>
      </c>
      <c r="AN135" s="1" t="str">
        <f t="shared" si="17"/>
        <v/>
      </c>
      <c r="AO135" s="1" t="str">
        <f t="shared" si="17"/>
        <v/>
      </c>
      <c r="AP135" s="1" t="str">
        <f t="shared" si="17"/>
        <v/>
      </c>
    </row>
    <row r="136" spans="1:42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" t="str" cm="1">
        <f t="array" ref="AA136">IF(
   SUMPRODUCT(($C$9:$G$9="CO1")*ISNUMBER($C$10:$G$10)*ISNUMBER(C136:G136)) +
   SUMPRODUCT(($H$9:$Z$9="CO1")*ISNUMBER($H$10:$Z$10)*ISNUMBER(H136:Z136)) = 0,
   "",
   IFERROR(
     (
       IF(
         SUMPRODUCT(($C$9:$G$9="CO1")*ISNUMBER($C$10:$G$10)*ISNUMBER(C136:G136)) = 0,
         0,
         SUMPRODUCT(($C$9:$G$9="CO1")*ISNUMBER($C$10:$G$10)*ISNUMBER(C136:G136)*C136:G136) /
         SUMPRODUCT(($C$9:$G$9="CO1")*ISNUMBER($C$10:$G$10)*ISNUMBER(C136:G136)*$C$10:$G$10) * 0.15
       ) +
       IF(
         SUMPRODUCT(($H$9:$Z$9="CO1")*ISNUMBER($H$10:$Z$10)*ISNUMBER(H136:Z136)) = 0,
         0,
         SUMPRODUCT(($H$9:$Z$9="CO1")*ISNUMBER($H$10:$Z$10)*ISNUMBER(H136:Z136)*H136:Z136) /
         SUMPRODUCT(($H$9:$Z$9="CO1")*ISNUMBER($H$10:$Z$10)*ISNUMBER(H136:Z136)*$H$10:$Z$10) * 0.85
       )
     ) * 100,
     ""
   )
)</f>
        <v/>
      </c>
      <c r="AB136" s="1" t="str" cm="1">
        <f t="array" ref="AB136">IF(
   SUMPRODUCT(($C$9:$G$9="CO2")*ISNUMBER($C$10:$G$10)*ISNUMBER(C136:G136)) +
   SUMPRODUCT(($H$9:$Z$9="CO2")*ISNUMBER($H$10:$Z$10)*ISNUMBER(H136:Z136)) = 0,
   "",
   IFERROR(
     (
       IF(
         SUMPRODUCT(($C$9:$G$9="CO2")*ISNUMBER($C$10:$G$10)*ISNUMBER(C136:G136)) = 0,
         0,
         SUMPRODUCT(($C$9:$G$9="CO2")*ISNUMBER($C$10:$G$10)*ISNUMBER(C136:G136)*C136:G136) /
         SUMPRODUCT(($C$9:$G$9="CO2")*ISNUMBER($C$10:$G$10)*ISNUMBER(C136:G136)*$C$10:$G$10) * 0.15
       ) +
       IF(
         SUMPRODUCT(($H$9:$Z$9="CO2")*ISNUMBER($H$10:$Z$10)*ISNUMBER(H136:Z136)) = 0,
         0,
         SUMPRODUCT(($H$9:$Z$9="CO2")*ISNUMBER($H$10:$Z$10)*ISNUMBER(H136:Z136)*H136:Z136) /
         SUMPRODUCT(($H$9:$Z$9="CO2")*ISNUMBER($H$10:$Z$10)*ISNUMBER(H136:Z136)*$H$10:$Z$10) * 0.85
       )
     ) * 100,
     ""
   )
)</f>
        <v/>
      </c>
      <c r="AC136" s="1" t="str" cm="1">
        <f t="array" ref="AC136">IF(
   SUMPRODUCT(($C$9:$G$9="CO3")*ISNUMBER($C$10:$G$10)*ISNUMBER(C136:G136)) +
   SUMPRODUCT(($H$9:$Z$9="CO3")*ISNUMBER($H$10:$Z$10)*ISNUMBER(H136:Z136)) = 0,
   "",
   IFERROR(
     (
       IF(
         SUMPRODUCT(($C$9:$G$9="CO3")*ISNUMBER($C$10:$G$10)*ISNUMBER(C136:G136)) = 0,
         0,
         SUMPRODUCT(($C$9:$G$9="CO3")*ISNUMBER($C$10:$G$10)*ISNUMBER(C136:G136)*C136:G136) /
         SUMPRODUCT(($C$9:$G$9="CO3")*ISNUMBER($C$10:$G$10)*ISNUMBER(C136:G136)*$C$10:$G$10) * 0.15
       ) +
       IF(
         SUMPRODUCT(($H$9:$Z$9="CO3")*ISNUMBER($H$10:$Z$10)*ISNUMBER(H136:Z136)) = 0,
         0,
         SUMPRODUCT(($H$9:$Z$9="CO3")*ISNUMBER($H$10:$Z$10)*ISNUMBER(H136:Z136)*H136:Z136) /
         SUMPRODUCT(($H$9:$Z$9="CO3")*ISNUMBER($H$10:$Z$10)*ISNUMBER(H136:Z136)*$H$10:$Z$10) * 0.85
       )
     ) * 100,
     ""
   )
)</f>
        <v/>
      </c>
      <c r="AD136" s="1" t="str" cm="1">
        <f t="array" ref="AD136">IF(
   SUMPRODUCT(($C$9:$G$9="CO4")*ISNUMBER($C$10:$G$10)*ISNUMBER(C136:G136)) +
   SUMPRODUCT(($H$9:$Z$9="CO4")*ISNUMBER($H$10:$Z$10)*ISNUMBER(H136:Z136)) = 0,
   "",
   IFERROR(
     (
       IF(
         SUMPRODUCT(($C$9:$G$9="CO4")*ISNUMBER($C$10:$G$10)*ISNUMBER(C136:G136)) = 0,
         0,
         SUMPRODUCT(($C$9:$G$9="CO4")*ISNUMBER($C$10:$G$10)*ISNUMBER(C136:G136)*C136:G136) /
         SUMPRODUCT(($C$9:$G$9="CO4")*ISNUMBER($C$10:$G$10)*ISNUMBER(C136:G136)*$C$10:$G$10) * 0.15
       ) +
       IF(
         SUMPRODUCT(($H$9:$Z$9="CO4")*ISNUMBER($H$10:$Z$10)*ISNUMBER(H136:Z136)) = 0,
         0,
         SUMPRODUCT(($H$9:$Z$9="CO4")*ISNUMBER($H$10:$Z$10)*ISNUMBER(H136:Z136)*H136:Z136) /
         SUMPRODUCT(($H$9:$Z$9="CO4")*ISNUMBER($H$10:$Z$10)*ISNUMBER(H136:Z136)*$H$10:$Z$10) * 0.85
       )
     ) * 100,
     ""
   )
)</f>
        <v/>
      </c>
      <c r="AE136" s="1" t="str" cm="1">
        <f t="array" ref="AE136">IF(
   SUMPRODUCT(($C$9:$G$9="CO5")*ISNUMBER($C$10:$G$10)*ISNUMBER(C136:G136)) +
   SUMPRODUCT(($H$9:$Z$9="CO5")*ISNUMBER($H$10:$Z$10)*ISNUMBER(H136:Z136)) = 0,
   "",
   IFERROR(
     (
       IF(
         SUMPRODUCT(($C$9:$G$9="CO5")*ISNUMBER($C$10:$G$10)*ISNUMBER(C136:G136)) = 0,
         0,
         SUMPRODUCT(($C$9:$G$9="CO5")*ISNUMBER($C$10:$G$10)*ISNUMBER(C136:G136)*C136:G136) /
         SUMPRODUCT(($C$9:$G$9="CO5")*ISNUMBER($C$10:$G$10)*ISNUMBER(C136:G136)*$C$10:$G$10) * 0.15
       ) +
       IF(
         SUMPRODUCT(($H$9:$Z$9="CO5")*ISNUMBER($H$10:$Z$10)*ISNUMBER(H136:Z136)) = 0,
         0,
         SUMPRODUCT(($H$9:$Z$9="CO5")*ISNUMBER($H$10:$Z$10)*ISNUMBER(H136:Z136)*H136:Z136) /
         SUMPRODUCT(($H$9:$Z$9="CO5")*ISNUMBER($H$10:$Z$10)*ISNUMBER(H136:Z136)*$H$10:$Z$10) * 0.85
       )
     ) * 100,
     ""
   )
)</f>
        <v/>
      </c>
      <c r="AF136" s="1" t="str" cm="1">
        <f t="array" ref="AF136">IF(
   SUMPRODUCT(($C$9:$G$9="CO6")*ISNUMBER($C$10:$G$10)*ISNUMBER(C136:G136)) +
   SUMPRODUCT(($H$9:$Z$9="CO6")*ISNUMBER($H$10:$Z$10)*ISNUMBER(H136:Z136)) = 0,
   "",
   IFERROR(
     (
       IF(
         SUMPRODUCT(($C$9:$G$9="CO6")*ISNUMBER($C$10:$G$10)*ISNUMBER(C136:G136)) = 0,
         0,
         SUMPRODUCT(($C$9:$G$9="CO6")*ISNUMBER($C$10:$G$10)*ISNUMBER(C136:G136)*C136:G136) /
         SUMPRODUCT(($C$9:$G$9="CO6")*ISNUMBER($C$10:$G$10)*ISNUMBER(C136:G136)*$C$10:$G$10) * 0.15
       ) +
       IF(
         SUMPRODUCT(($H$9:$Z$9="CO6")*ISNUMBER($H$10:$Z$10)*ISNUMBER(H136:Z136)) = 0,
         0,
         SUMPRODUCT(($H$9:$Z$9="CO6")*ISNUMBER($H$10:$Z$10)*ISNUMBER(H136:Z136)*H136:Z136) /
         SUMPRODUCT(($H$9:$Z$9="CO6")*ISNUMBER($H$10:$Z$10)*ISNUMBER(H136:Z136)*$H$10:$Z$10) * 0.85
       )
     ) * 100,
     ""
   )
)</f>
        <v/>
      </c>
      <c r="AG136" s="1" t="str" cm="1">
        <f t="array" ref="AG136">IF(
   SUMPRODUCT(($C$9:$G$9="CO7")*ISNUMBER($C$10:$G$10)*ISNUMBER(C136:G136)) +
   SUMPRODUCT(($H$9:$Z$9="CO7")*ISNUMBER($H$10:$Z$10)*ISNUMBER(H136:Z136)) = 0,
   "",
   IFERROR(
     (
       IF(
         SUMPRODUCT(($C$9:$G$9="CO7")*ISNUMBER($C$10:$G$10)*ISNUMBER(C136:G136)) = 0,
         0,
         SUMPRODUCT(($C$9:$G$9="CO7")*ISNUMBER($C$10:$G$10)*ISNUMBER(C136:G136)*C136:G136) /
         SUMPRODUCT(($C$9:$G$9="CO7")*ISNUMBER($C$10:$G$10)*ISNUMBER(C136:G136)*$C$10:$G$10) * 0.15
       ) +
       IF(
         SUMPRODUCT(($H$9:$Z$9="CO7")*ISNUMBER($H$10:$Z$10)*ISNUMBER(H136:Z136)) = 0,
         0,
         SUMPRODUCT(($H$9:$Z$9="CO7")*ISNUMBER($H$10:$Z$10)*ISNUMBER(H136:Z136)*H136:Z136) /
         SUMPRODUCT(($H$9:$Z$9="CO7")*ISNUMBER($H$10:$Z$10)*ISNUMBER(H136:Z136)*$H$10:$Z$10) * 0.85
       )
     ) * 100,
     ""
   )
)</f>
        <v/>
      </c>
      <c r="AH136" s="3" t="str" cm="1">
        <f t="array" ref="AH136">IF(
   SUMPRODUCT(($C$9:$G$9="CO8")*ISNUMBER($C$10:$G$10)*ISNUMBER(C136:G136)) +
   SUMPRODUCT(($H$9:$Z$9="CO8")*ISNUMBER($H$10:$Z$10)*ISNUMBER(H136:Z136)) = 0,
   "",
   IFERROR(
     (
       IF(
         SUMPRODUCT(($C$9:$G$9="CO8")*ISNUMBER($C$10:$G$10)*ISNUMBER(C136:G136)) = 0,
         0,
         SUMPRODUCT(($C$9:$G$9="CO8")*ISNUMBER($C$10:$G$10)*ISNUMBER(C136:G136)*C136:G136) /
         SUMPRODUCT(($C$9:$G$9="CO8")*ISNUMBER($C$10:$G$10)*ISNUMBER(C136:G136)*$C$10:$G$10) * 0.15
       ) +
       IF(
         SUMPRODUCT(($H$9:$Z$9="CO8")*ISNUMBER($H$10:$Z$10)*ISNUMBER(H136:Z136)) = 0,
         0,
         SUMPRODUCT(($H$9:$Z$9="CO8")*ISNUMBER($H$10:$Z$10)*ISNUMBER(H136:Z136)*H136:Z136) /
         SUMPRODUCT(($H$9:$Z$9="CO8")*ISNUMBER($H$10:$Z$10)*ISNUMBER(H136:Z136)*$H$10:$Z$10) * 0.85
       )
     ) * 100,
     ""
   )
)</f>
        <v/>
      </c>
      <c r="AI136" s="1" t="str">
        <f t="shared" si="17"/>
        <v/>
      </c>
      <c r="AJ136" s="1" t="str">
        <f t="shared" si="17"/>
        <v/>
      </c>
      <c r="AK136" s="1" t="str">
        <f t="shared" si="17"/>
        <v/>
      </c>
      <c r="AL136" s="1" t="str">
        <f t="shared" si="17"/>
        <v/>
      </c>
      <c r="AM136" s="1" t="str">
        <f t="shared" si="17"/>
        <v/>
      </c>
      <c r="AN136" s="1" t="str">
        <f t="shared" si="17"/>
        <v/>
      </c>
      <c r="AO136" s="1" t="str">
        <f t="shared" si="17"/>
        <v/>
      </c>
      <c r="AP136" s="1" t="str">
        <f t="shared" si="17"/>
        <v/>
      </c>
    </row>
    <row r="137" spans="1:42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" t="str" cm="1">
        <f t="array" ref="AA137">IF(
   SUMPRODUCT(($C$9:$G$9="CO1")*ISNUMBER($C$10:$G$10)*ISNUMBER(C137:G137)) +
   SUMPRODUCT(($H$9:$Z$9="CO1")*ISNUMBER($H$10:$Z$10)*ISNUMBER(H137:Z137)) = 0,
   "",
   IFERROR(
     (
       IF(
         SUMPRODUCT(($C$9:$G$9="CO1")*ISNUMBER($C$10:$G$10)*ISNUMBER(C137:G137)) = 0,
         0,
         SUMPRODUCT(($C$9:$G$9="CO1")*ISNUMBER($C$10:$G$10)*ISNUMBER(C137:G137)*C137:G137) /
         SUMPRODUCT(($C$9:$G$9="CO1")*ISNUMBER($C$10:$G$10)*ISNUMBER(C137:G137)*$C$10:$G$10) * 0.15
       ) +
       IF(
         SUMPRODUCT(($H$9:$Z$9="CO1")*ISNUMBER($H$10:$Z$10)*ISNUMBER(H137:Z137)) = 0,
         0,
         SUMPRODUCT(($H$9:$Z$9="CO1")*ISNUMBER($H$10:$Z$10)*ISNUMBER(H137:Z137)*H137:Z137) /
         SUMPRODUCT(($H$9:$Z$9="CO1")*ISNUMBER($H$10:$Z$10)*ISNUMBER(H137:Z137)*$H$10:$Z$10) * 0.85
       )
     ) * 100,
     ""
   )
)</f>
        <v/>
      </c>
      <c r="AB137" s="1" t="str" cm="1">
        <f t="array" ref="AB137">IF(
   SUMPRODUCT(($C$9:$G$9="CO2")*ISNUMBER($C$10:$G$10)*ISNUMBER(C137:G137)) +
   SUMPRODUCT(($H$9:$Z$9="CO2")*ISNUMBER($H$10:$Z$10)*ISNUMBER(H137:Z137)) = 0,
   "",
   IFERROR(
     (
       IF(
         SUMPRODUCT(($C$9:$G$9="CO2")*ISNUMBER($C$10:$G$10)*ISNUMBER(C137:G137)) = 0,
         0,
         SUMPRODUCT(($C$9:$G$9="CO2")*ISNUMBER($C$10:$G$10)*ISNUMBER(C137:G137)*C137:G137) /
         SUMPRODUCT(($C$9:$G$9="CO2")*ISNUMBER($C$10:$G$10)*ISNUMBER(C137:G137)*$C$10:$G$10) * 0.15
       ) +
       IF(
         SUMPRODUCT(($H$9:$Z$9="CO2")*ISNUMBER($H$10:$Z$10)*ISNUMBER(H137:Z137)) = 0,
         0,
         SUMPRODUCT(($H$9:$Z$9="CO2")*ISNUMBER($H$10:$Z$10)*ISNUMBER(H137:Z137)*H137:Z137) /
         SUMPRODUCT(($H$9:$Z$9="CO2")*ISNUMBER($H$10:$Z$10)*ISNUMBER(H137:Z137)*$H$10:$Z$10) * 0.85
       )
     ) * 100,
     ""
   )
)</f>
        <v/>
      </c>
      <c r="AC137" s="1" t="str" cm="1">
        <f t="array" ref="AC137">IF(
   SUMPRODUCT(($C$9:$G$9="CO3")*ISNUMBER($C$10:$G$10)*ISNUMBER(C137:G137)) +
   SUMPRODUCT(($H$9:$Z$9="CO3")*ISNUMBER($H$10:$Z$10)*ISNUMBER(H137:Z137)) = 0,
   "",
   IFERROR(
     (
       IF(
         SUMPRODUCT(($C$9:$G$9="CO3")*ISNUMBER($C$10:$G$10)*ISNUMBER(C137:G137)) = 0,
         0,
         SUMPRODUCT(($C$9:$G$9="CO3")*ISNUMBER($C$10:$G$10)*ISNUMBER(C137:G137)*C137:G137) /
         SUMPRODUCT(($C$9:$G$9="CO3")*ISNUMBER($C$10:$G$10)*ISNUMBER(C137:G137)*$C$10:$G$10) * 0.15
       ) +
       IF(
         SUMPRODUCT(($H$9:$Z$9="CO3")*ISNUMBER($H$10:$Z$10)*ISNUMBER(H137:Z137)) = 0,
         0,
         SUMPRODUCT(($H$9:$Z$9="CO3")*ISNUMBER($H$10:$Z$10)*ISNUMBER(H137:Z137)*H137:Z137) /
         SUMPRODUCT(($H$9:$Z$9="CO3")*ISNUMBER($H$10:$Z$10)*ISNUMBER(H137:Z137)*$H$10:$Z$10) * 0.85
       )
     ) * 100,
     ""
   )
)</f>
        <v/>
      </c>
      <c r="AD137" s="1" t="str" cm="1">
        <f t="array" ref="AD137">IF(
   SUMPRODUCT(($C$9:$G$9="CO4")*ISNUMBER($C$10:$G$10)*ISNUMBER(C137:G137)) +
   SUMPRODUCT(($H$9:$Z$9="CO4")*ISNUMBER($H$10:$Z$10)*ISNUMBER(H137:Z137)) = 0,
   "",
   IFERROR(
     (
       IF(
         SUMPRODUCT(($C$9:$G$9="CO4")*ISNUMBER($C$10:$G$10)*ISNUMBER(C137:G137)) = 0,
         0,
         SUMPRODUCT(($C$9:$G$9="CO4")*ISNUMBER($C$10:$G$10)*ISNUMBER(C137:G137)*C137:G137) /
         SUMPRODUCT(($C$9:$G$9="CO4")*ISNUMBER($C$10:$G$10)*ISNUMBER(C137:G137)*$C$10:$G$10) * 0.15
       ) +
       IF(
         SUMPRODUCT(($H$9:$Z$9="CO4")*ISNUMBER($H$10:$Z$10)*ISNUMBER(H137:Z137)) = 0,
         0,
         SUMPRODUCT(($H$9:$Z$9="CO4")*ISNUMBER($H$10:$Z$10)*ISNUMBER(H137:Z137)*H137:Z137) /
         SUMPRODUCT(($H$9:$Z$9="CO4")*ISNUMBER($H$10:$Z$10)*ISNUMBER(H137:Z137)*$H$10:$Z$10) * 0.85
       )
     ) * 100,
     ""
   )
)</f>
        <v/>
      </c>
      <c r="AE137" s="1" t="str" cm="1">
        <f t="array" ref="AE137">IF(
   SUMPRODUCT(($C$9:$G$9="CO5")*ISNUMBER($C$10:$G$10)*ISNUMBER(C137:G137)) +
   SUMPRODUCT(($H$9:$Z$9="CO5")*ISNUMBER($H$10:$Z$10)*ISNUMBER(H137:Z137)) = 0,
   "",
   IFERROR(
     (
       IF(
         SUMPRODUCT(($C$9:$G$9="CO5")*ISNUMBER($C$10:$G$10)*ISNUMBER(C137:G137)) = 0,
         0,
         SUMPRODUCT(($C$9:$G$9="CO5")*ISNUMBER($C$10:$G$10)*ISNUMBER(C137:G137)*C137:G137) /
         SUMPRODUCT(($C$9:$G$9="CO5")*ISNUMBER($C$10:$G$10)*ISNUMBER(C137:G137)*$C$10:$G$10) * 0.15
       ) +
       IF(
         SUMPRODUCT(($H$9:$Z$9="CO5")*ISNUMBER($H$10:$Z$10)*ISNUMBER(H137:Z137)) = 0,
         0,
         SUMPRODUCT(($H$9:$Z$9="CO5")*ISNUMBER($H$10:$Z$10)*ISNUMBER(H137:Z137)*H137:Z137) /
         SUMPRODUCT(($H$9:$Z$9="CO5")*ISNUMBER($H$10:$Z$10)*ISNUMBER(H137:Z137)*$H$10:$Z$10) * 0.85
       )
     ) * 100,
     ""
   )
)</f>
        <v/>
      </c>
      <c r="AF137" s="1" t="str" cm="1">
        <f t="array" ref="AF137">IF(
   SUMPRODUCT(($C$9:$G$9="CO6")*ISNUMBER($C$10:$G$10)*ISNUMBER(C137:G137)) +
   SUMPRODUCT(($H$9:$Z$9="CO6")*ISNUMBER($H$10:$Z$10)*ISNUMBER(H137:Z137)) = 0,
   "",
   IFERROR(
     (
       IF(
         SUMPRODUCT(($C$9:$G$9="CO6")*ISNUMBER($C$10:$G$10)*ISNUMBER(C137:G137)) = 0,
         0,
         SUMPRODUCT(($C$9:$G$9="CO6")*ISNUMBER($C$10:$G$10)*ISNUMBER(C137:G137)*C137:G137) /
         SUMPRODUCT(($C$9:$G$9="CO6")*ISNUMBER($C$10:$G$10)*ISNUMBER(C137:G137)*$C$10:$G$10) * 0.15
       ) +
       IF(
         SUMPRODUCT(($H$9:$Z$9="CO6")*ISNUMBER($H$10:$Z$10)*ISNUMBER(H137:Z137)) = 0,
         0,
         SUMPRODUCT(($H$9:$Z$9="CO6")*ISNUMBER($H$10:$Z$10)*ISNUMBER(H137:Z137)*H137:Z137) /
         SUMPRODUCT(($H$9:$Z$9="CO6")*ISNUMBER($H$10:$Z$10)*ISNUMBER(H137:Z137)*$H$10:$Z$10) * 0.85
       )
     ) * 100,
     ""
   )
)</f>
        <v/>
      </c>
      <c r="AG137" s="1" t="str" cm="1">
        <f t="array" ref="AG137">IF(
   SUMPRODUCT(($C$9:$G$9="CO7")*ISNUMBER($C$10:$G$10)*ISNUMBER(C137:G137)) +
   SUMPRODUCT(($H$9:$Z$9="CO7")*ISNUMBER($H$10:$Z$10)*ISNUMBER(H137:Z137)) = 0,
   "",
   IFERROR(
     (
       IF(
         SUMPRODUCT(($C$9:$G$9="CO7")*ISNUMBER($C$10:$G$10)*ISNUMBER(C137:G137)) = 0,
         0,
         SUMPRODUCT(($C$9:$G$9="CO7")*ISNUMBER($C$10:$G$10)*ISNUMBER(C137:G137)*C137:G137) /
         SUMPRODUCT(($C$9:$G$9="CO7")*ISNUMBER($C$10:$G$10)*ISNUMBER(C137:G137)*$C$10:$G$10) * 0.15
       ) +
       IF(
         SUMPRODUCT(($H$9:$Z$9="CO7")*ISNUMBER($H$10:$Z$10)*ISNUMBER(H137:Z137)) = 0,
         0,
         SUMPRODUCT(($H$9:$Z$9="CO7")*ISNUMBER($H$10:$Z$10)*ISNUMBER(H137:Z137)*H137:Z137) /
         SUMPRODUCT(($H$9:$Z$9="CO7")*ISNUMBER($H$10:$Z$10)*ISNUMBER(H137:Z137)*$H$10:$Z$10) * 0.85
       )
     ) * 100,
     ""
   )
)</f>
        <v/>
      </c>
      <c r="AH137" s="3" t="str" cm="1">
        <f t="array" ref="AH137">IF(
   SUMPRODUCT(($C$9:$G$9="CO8")*ISNUMBER($C$10:$G$10)*ISNUMBER(C137:G137)) +
   SUMPRODUCT(($H$9:$Z$9="CO8")*ISNUMBER($H$10:$Z$10)*ISNUMBER(H137:Z137)) = 0,
   "",
   IFERROR(
     (
       IF(
         SUMPRODUCT(($C$9:$G$9="CO8")*ISNUMBER($C$10:$G$10)*ISNUMBER(C137:G137)) = 0,
         0,
         SUMPRODUCT(($C$9:$G$9="CO8")*ISNUMBER($C$10:$G$10)*ISNUMBER(C137:G137)*C137:G137) /
         SUMPRODUCT(($C$9:$G$9="CO8")*ISNUMBER($C$10:$G$10)*ISNUMBER(C137:G137)*$C$10:$G$10) * 0.15
       ) +
       IF(
         SUMPRODUCT(($H$9:$Z$9="CO8")*ISNUMBER($H$10:$Z$10)*ISNUMBER(H137:Z137)) = 0,
         0,
         SUMPRODUCT(($H$9:$Z$9="CO8")*ISNUMBER($H$10:$Z$10)*ISNUMBER(H137:Z137)*H137:Z137) /
         SUMPRODUCT(($H$9:$Z$9="CO8")*ISNUMBER($H$10:$Z$10)*ISNUMBER(H137:Z137)*$H$10:$Z$10) * 0.85
       )
     ) * 100,
     ""
   )
)</f>
        <v/>
      </c>
      <c r="AI137" s="1" t="str">
        <f t="shared" si="17"/>
        <v/>
      </c>
      <c r="AJ137" s="1" t="str">
        <f t="shared" si="17"/>
        <v/>
      </c>
      <c r="AK137" s="1" t="str">
        <f t="shared" si="17"/>
        <v/>
      </c>
      <c r="AL137" s="1" t="str">
        <f t="shared" si="17"/>
        <v/>
      </c>
      <c r="AM137" s="1" t="str">
        <f t="shared" si="17"/>
        <v/>
      </c>
      <c r="AN137" s="1" t="str">
        <f t="shared" si="17"/>
        <v/>
      </c>
      <c r="AO137" s="1" t="str">
        <f t="shared" si="17"/>
        <v/>
      </c>
      <c r="AP137" s="1" t="str">
        <f t="shared" si="17"/>
        <v/>
      </c>
    </row>
    <row r="138" spans="1:42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" t="str" cm="1">
        <f t="array" ref="AA138">IF(
   SUMPRODUCT(($C$9:$G$9="CO1")*ISNUMBER($C$10:$G$10)*ISNUMBER(C138:G138)) +
   SUMPRODUCT(($H$9:$Z$9="CO1")*ISNUMBER($H$10:$Z$10)*ISNUMBER(H138:Z138)) = 0,
   "",
   IFERROR(
     (
       IF(
         SUMPRODUCT(($C$9:$G$9="CO1")*ISNUMBER($C$10:$G$10)*ISNUMBER(C138:G138)) = 0,
         0,
         SUMPRODUCT(($C$9:$G$9="CO1")*ISNUMBER($C$10:$G$10)*ISNUMBER(C138:G138)*C138:G138) /
         SUMPRODUCT(($C$9:$G$9="CO1")*ISNUMBER($C$10:$G$10)*ISNUMBER(C138:G138)*$C$10:$G$10) * 0.15
       ) +
       IF(
         SUMPRODUCT(($H$9:$Z$9="CO1")*ISNUMBER($H$10:$Z$10)*ISNUMBER(H138:Z138)) = 0,
         0,
         SUMPRODUCT(($H$9:$Z$9="CO1")*ISNUMBER($H$10:$Z$10)*ISNUMBER(H138:Z138)*H138:Z138) /
         SUMPRODUCT(($H$9:$Z$9="CO1")*ISNUMBER($H$10:$Z$10)*ISNUMBER(H138:Z138)*$H$10:$Z$10) * 0.85
       )
     ) * 100,
     ""
   )
)</f>
        <v/>
      </c>
      <c r="AB138" s="1" t="str" cm="1">
        <f t="array" ref="AB138">IF(
   SUMPRODUCT(($C$9:$G$9="CO2")*ISNUMBER($C$10:$G$10)*ISNUMBER(C138:G138)) +
   SUMPRODUCT(($H$9:$Z$9="CO2")*ISNUMBER($H$10:$Z$10)*ISNUMBER(H138:Z138)) = 0,
   "",
   IFERROR(
     (
       IF(
         SUMPRODUCT(($C$9:$G$9="CO2")*ISNUMBER($C$10:$G$10)*ISNUMBER(C138:G138)) = 0,
         0,
         SUMPRODUCT(($C$9:$G$9="CO2")*ISNUMBER($C$10:$G$10)*ISNUMBER(C138:G138)*C138:G138) /
         SUMPRODUCT(($C$9:$G$9="CO2")*ISNUMBER($C$10:$G$10)*ISNUMBER(C138:G138)*$C$10:$G$10) * 0.15
       ) +
       IF(
         SUMPRODUCT(($H$9:$Z$9="CO2")*ISNUMBER($H$10:$Z$10)*ISNUMBER(H138:Z138)) = 0,
         0,
         SUMPRODUCT(($H$9:$Z$9="CO2")*ISNUMBER($H$10:$Z$10)*ISNUMBER(H138:Z138)*H138:Z138) /
         SUMPRODUCT(($H$9:$Z$9="CO2")*ISNUMBER($H$10:$Z$10)*ISNUMBER(H138:Z138)*$H$10:$Z$10) * 0.85
       )
     ) * 100,
     ""
   )
)</f>
        <v/>
      </c>
      <c r="AC138" s="1" t="str" cm="1">
        <f t="array" ref="AC138">IF(
   SUMPRODUCT(($C$9:$G$9="CO3")*ISNUMBER($C$10:$G$10)*ISNUMBER(C138:G138)) +
   SUMPRODUCT(($H$9:$Z$9="CO3")*ISNUMBER($H$10:$Z$10)*ISNUMBER(H138:Z138)) = 0,
   "",
   IFERROR(
     (
       IF(
         SUMPRODUCT(($C$9:$G$9="CO3")*ISNUMBER($C$10:$G$10)*ISNUMBER(C138:G138)) = 0,
         0,
         SUMPRODUCT(($C$9:$G$9="CO3")*ISNUMBER($C$10:$G$10)*ISNUMBER(C138:G138)*C138:G138) /
         SUMPRODUCT(($C$9:$G$9="CO3")*ISNUMBER($C$10:$G$10)*ISNUMBER(C138:G138)*$C$10:$G$10) * 0.15
       ) +
       IF(
         SUMPRODUCT(($H$9:$Z$9="CO3")*ISNUMBER($H$10:$Z$10)*ISNUMBER(H138:Z138)) = 0,
         0,
         SUMPRODUCT(($H$9:$Z$9="CO3")*ISNUMBER($H$10:$Z$10)*ISNUMBER(H138:Z138)*H138:Z138) /
         SUMPRODUCT(($H$9:$Z$9="CO3")*ISNUMBER($H$10:$Z$10)*ISNUMBER(H138:Z138)*$H$10:$Z$10) * 0.85
       )
     ) * 100,
     ""
   )
)</f>
        <v/>
      </c>
      <c r="AD138" s="1" t="str" cm="1">
        <f t="array" ref="AD138">IF(
   SUMPRODUCT(($C$9:$G$9="CO4")*ISNUMBER($C$10:$G$10)*ISNUMBER(C138:G138)) +
   SUMPRODUCT(($H$9:$Z$9="CO4")*ISNUMBER($H$10:$Z$10)*ISNUMBER(H138:Z138)) = 0,
   "",
   IFERROR(
     (
       IF(
         SUMPRODUCT(($C$9:$G$9="CO4")*ISNUMBER($C$10:$G$10)*ISNUMBER(C138:G138)) = 0,
         0,
         SUMPRODUCT(($C$9:$G$9="CO4")*ISNUMBER($C$10:$G$10)*ISNUMBER(C138:G138)*C138:G138) /
         SUMPRODUCT(($C$9:$G$9="CO4")*ISNUMBER($C$10:$G$10)*ISNUMBER(C138:G138)*$C$10:$G$10) * 0.15
       ) +
       IF(
         SUMPRODUCT(($H$9:$Z$9="CO4")*ISNUMBER($H$10:$Z$10)*ISNUMBER(H138:Z138)) = 0,
         0,
         SUMPRODUCT(($H$9:$Z$9="CO4")*ISNUMBER($H$10:$Z$10)*ISNUMBER(H138:Z138)*H138:Z138) /
         SUMPRODUCT(($H$9:$Z$9="CO4")*ISNUMBER($H$10:$Z$10)*ISNUMBER(H138:Z138)*$H$10:$Z$10) * 0.85
       )
     ) * 100,
     ""
   )
)</f>
        <v/>
      </c>
      <c r="AE138" s="1" t="str" cm="1">
        <f t="array" ref="AE138">IF(
   SUMPRODUCT(($C$9:$G$9="CO5")*ISNUMBER($C$10:$G$10)*ISNUMBER(C138:G138)) +
   SUMPRODUCT(($H$9:$Z$9="CO5")*ISNUMBER($H$10:$Z$10)*ISNUMBER(H138:Z138)) = 0,
   "",
   IFERROR(
     (
       IF(
         SUMPRODUCT(($C$9:$G$9="CO5")*ISNUMBER($C$10:$G$10)*ISNUMBER(C138:G138)) = 0,
         0,
         SUMPRODUCT(($C$9:$G$9="CO5")*ISNUMBER($C$10:$G$10)*ISNUMBER(C138:G138)*C138:G138) /
         SUMPRODUCT(($C$9:$G$9="CO5")*ISNUMBER($C$10:$G$10)*ISNUMBER(C138:G138)*$C$10:$G$10) * 0.15
       ) +
       IF(
         SUMPRODUCT(($H$9:$Z$9="CO5")*ISNUMBER($H$10:$Z$10)*ISNUMBER(H138:Z138)) = 0,
         0,
         SUMPRODUCT(($H$9:$Z$9="CO5")*ISNUMBER($H$10:$Z$10)*ISNUMBER(H138:Z138)*H138:Z138) /
         SUMPRODUCT(($H$9:$Z$9="CO5")*ISNUMBER($H$10:$Z$10)*ISNUMBER(H138:Z138)*$H$10:$Z$10) * 0.85
       )
     ) * 100,
     ""
   )
)</f>
        <v/>
      </c>
      <c r="AF138" s="1" t="str" cm="1">
        <f t="array" ref="AF138">IF(
   SUMPRODUCT(($C$9:$G$9="CO6")*ISNUMBER($C$10:$G$10)*ISNUMBER(C138:G138)) +
   SUMPRODUCT(($H$9:$Z$9="CO6")*ISNUMBER($H$10:$Z$10)*ISNUMBER(H138:Z138)) = 0,
   "",
   IFERROR(
     (
       IF(
         SUMPRODUCT(($C$9:$G$9="CO6")*ISNUMBER($C$10:$G$10)*ISNUMBER(C138:G138)) = 0,
         0,
         SUMPRODUCT(($C$9:$G$9="CO6")*ISNUMBER($C$10:$G$10)*ISNUMBER(C138:G138)*C138:G138) /
         SUMPRODUCT(($C$9:$G$9="CO6")*ISNUMBER($C$10:$G$10)*ISNUMBER(C138:G138)*$C$10:$G$10) * 0.15
       ) +
       IF(
         SUMPRODUCT(($H$9:$Z$9="CO6")*ISNUMBER($H$10:$Z$10)*ISNUMBER(H138:Z138)) = 0,
         0,
         SUMPRODUCT(($H$9:$Z$9="CO6")*ISNUMBER($H$10:$Z$10)*ISNUMBER(H138:Z138)*H138:Z138) /
         SUMPRODUCT(($H$9:$Z$9="CO6")*ISNUMBER($H$10:$Z$10)*ISNUMBER(H138:Z138)*$H$10:$Z$10) * 0.85
       )
     ) * 100,
     ""
   )
)</f>
        <v/>
      </c>
      <c r="AG138" s="1" t="str" cm="1">
        <f t="array" ref="AG138">IF(
   SUMPRODUCT(($C$9:$G$9="CO7")*ISNUMBER($C$10:$G$10)*ISNUMBER(C138:G138)) +
   SUMPRODUCT(($H$9:$Z$9="CO7")*ISNUMBER($H$10:$Z$10)*ISNUMBER(H138:Z138)) = 0,
   "",
   IFERROR(
     (
       IF(
         SUMPRODUCT(($C$9:$G$9="CO7")*ISNUMBER($C$10:$G$10)*ISNUMBER(C138:G138)) = 0,
         0,
         SUMPRODUCT(($C$9:$G$9="CO7")*ISNUMBER($C$10:$G$10)*ISNUMBER(C138:G138)*C138:G138) /
         SUMPRODUCT(($C$9:$G$9="CO7")*ISNUMBER($C$10:$G$10)*ISNUMBER(C138:G138)*$C$10:$G$10) * 0.15
       ) +
       IF(
         SUMPRODUCT(($H$9:$Z$9="CO7")*ISNUMBER($H$10:$Z$10)*ISNUMBER(H138:Z138)) = 0,
         0,
         SUMPRODUCT(($H$9:$Z$9="CO7")*ISNUMBER($H$10:$Z$10)*ISNUMBER(H138:Z138)*H138:Z138) /
         SUMPRODUCT(($H$9:$Z$9="CO7")*ISNUMBER($H$10:$Z$10)*ISNUMBER(H138:Z138)*$H$10:$Z$10) * 0.85
       )
     ) * 100,
     ""
   )
)</f>
        <v/>
      </c>
      <c r="AH138" s="3" t="str" cm="1">
        <f t="array" ref="AH138">IF(
   SUMPRODUCT(($C$9:$G$9="CO8")*ISNUMBER($C$10:$G$10)*ISNUMBER(C138:G138)) +
   SUMPRODUCT(($H$9:$Z$9="CO8")*ISNUMBER($H$10:$Z$10)*ISNUMBER(H138:Z138)) = 0,
   "",
   IFERROR(
     (
       IF(
         SUMPRODUCT(($C$9:$G$9="CO8")*ISNUMBER($C$10:$G$10)*ISNUMBER(C138:G138)) = 0,
         0,
         SUMPRODUCT(($C$9:$G$9="CO8")*ISNUMBER($C$10:$G$10)*ISNUMBER(C138:G138)*C138:G138) /
         SUMPRODUCT(($C$9:$G$9="CO8")*ISNUMBER($C$10:$G$10)*ISNUMBER(C138:G138)*$C$10:$G$10) * 0.15
       ) +
       IF(
         SUMPRODUCT(($H$9:$Z$9="CO8")*ISNUMBER($H$10:$Z$10)*ISNUMBER(H138:Z138)) = 0,
         0,
         SUMPRODUCT(($H$9:$Z$9="CO8")*ISNUMBER($H$10:$Z$10)*ISNUMBER(H138:Z138)*H138:Z138) /
         SUMPRODUCT(($H$9:$Z$9="CO8")*ISNUMBER($H$10:$Z$10)*ISNUMBER(H138:Z138)*$H$10:$Z$10) * 0.85
       )
     ) * 100,
     ""
   )
)</f>
        <v/>
      </c>
      <c r="AI138" s="1" t="str">
        <f t="shared" si="17"/>
        <v/>
      </c>
      <c r="AJ138" s="1" t="str">
        <f t="shared" si="17"/>
        <v/>
      </c>
      <c r="AK138" s="1" t="str">
        <f t="shared" si="17"/>
        <v/>
      </c>
      <c r="AL138" s="1" t="str">
        <f t="shared" si="17"/>
        <v/>
      </c>
      <c r="AM138" s="1" t="str">
        <f t="shared" si="17"/>
        <v/>
      </c>
      <c r="AN138" s="1" t="str">
        <f t="shared" si="17"/>
        <v/>
      </c>
      <c r="AO138" s="1" t="str">
        <f t="shared" si="17"/>
        <v/>
      </c>
      <c r="AP138" s="1" t="str">
        <f t="shared" si="17"/>
        <v/>
      </c>
    </row>
    <row r="139" spans="1:42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" t="str" cm="1">
        <f t="array" ref="AA139">IF(
   SUMPRODUCT(($C$9:$G$9="CO1")*ISNUMBER($C$10:$G$10)*ISNUMBER(C139:G139)) +
   SUMPRODUCT(($H$9:$Z$9="CO1")*ISNUMBER($H$10:$Z$10)*ISNUMBER(H139:Z139)) = 0,
   "",
   IFERROR(
     (
       IF(
         SUMPRODUCT(($C$9:$G$9="CO1")*ISNUMBER($C$10:$G$10)*ISNUMBER(C139:G139)) = 0,
         0,
         SUMPRODUCT(($C$9:$G$9="CO1")*ISNUMBER($C$10:$G$10)*ISNUMBER(C139:G139)*C139:G139) /
         SUMPRODUCT(($C$9:$G$9="CO1")*ISNUMBER($C$10:$G$10)*ISNUMBER(C139:G139)*$C$10:$G$10) * 0.15
       ) +
       IF(
         SUMPRODUCT(($H$9:$Z$9="CO1")*ISNUMBER($H$10:$Z$10)*ISNUMBER(H139:Z139)) = 0,
         0,
         SUMPRODUCT(($H$9:$Z$9="CO1")*ISNUMBER($H$10:$Z$10)*ISNUMBER(H139:Z139)*H139:Z139) /
         SUMPRODUCT(($H$9:$Z$9="CO1")*ISNUMBER($H$10:$Z$10)*ISNUMBER(H139:Z139)*$H$10:$Z$10) * 0.85
       )
     ) * 100,
     ""
   )
)</f>
        <v/>
      </c>
      <c r="AB139" s="1" t="str" cm="1">
        <f t="array" ref="AB139">IF(
   SUMPRODUCT(($C$9:$G$9="CO2")*ISNUMBER($C$10:$G$10)*ISNUMBER(C139:G139)) +
   SUMPRODUCT(($H$9:$Z$9="CO2")*ISNUMBER($H$10:$Z$10)*ISNUMBER(H139:Z139)) = 0,
   "",
   IFERROR(
     (
       IF(
         SUMPRODUCT(($C$9:$G$9="CO2")*ISNUMBER($C$10:$G$10)*ISNUMBER(C139:G139)) = 0,
         0,
         SUMPRODUCT(($C$9:$G$9="CO2")*ISNUMBER($C$10:$G$10)*ISNUMBER(C139:G139)*C139:G139) /
         SUMPRODUCT(($C$9:$G$9="CO2")*ISNUMBER($C$10:$G$10)*ISNUMBER(C139:G139)*$C$10:$G$10) * 0.15
       ) +
       IF(
         SUMPRODUCT(($H$9:$Z$9="CO2")*ISNUMBER($H$10:$Z$10)*ISNUMBER(H139:Z139)) = 0,
         0,
         SUMPRODUCT(($H$9:$Z$9="CO2")*ISNUMBER($H$10:$Z$10)*ISNUMBER(H139:Z139)*H139:Z139) /
         SUMPRODUCT(($H$9:$Z$9="CO2")*ISNUMBER($H$10:$Z$10)*ISNUMBER(H139:Z139)*$H$10:$Z$10) * 0.85
       )
     ) * 100,
     ""
   )
)</f>
        <v/>
      </c>
      <c r="AC139" s="1" t="str" cm="1">
        <f t="array" ref="AC139">IF(
   SUMPRODUCT(($C$9:$G$9="CO3")*ISNUMBER($C$10:$G$10)*ISNUMBER(C139:G139)) +
   SUMPRODUCT(($H$9:$Z$9="CO3")*ISNUMBER($H$10:$Z$10)*ISNUMBER(H139:Z139)) = 0,
   "",
   IFERROR(
     (
       IF(
         SUMPRODUCT(($C$9:$G$9="CO3")*ISNUMBER($C$10:$G$10)*ISNUMBER(C139:G139)) = 0,
         0,
         SUMPRODUCT(($C$9:$G$9="CO3")*ISNUMBER($C$10:$G$10)*ISNUMBER(C139:G139)*C139:G139) /
         SUMPRODUCT(($C$9:$G$9="CO3")*ISNUMBER($C$10:$G$10)*ISNUMBER(C139:G139)*$C$10:$G$10) * 0.15
       ) +
       IF(
         SUMPRODUCT(($H$9:$Z$9="CO3")*ISNUMBER($H$10:$Z$10)*ISNUMBER(H139:Z139)) = 0,
         0,
         SUMPRODUCT(($H$9:$Z$9="CO3")*ISNUMBER($H$10:$Z$10)*ISNUMBER(H139:Z139)*H139:Z139) /
         SUMPRODUCT(($H$9:$Z$9="CO3")*ISNUMBER($H$10:$Z$10)*ISNUMBER(H139:Z139)*$H$10:$Z$10) * 0.85
       )
     ) * 100,
     ""
   )
)</f>
        <v/>
      </c>
      <c r="AD139" s="1" t="str" cm="1">
        <f t="array" ref="AD139">IF(
   SUMPRODUCT(($C$9:$G$9="CO4")*ISNUMBER($C$10:$G$10)*ISNUMBER(C139:G139)) +
   SUMPRODUCT(($H$9:$Z$9="CO4")*ISNUMBER($H$10:$Z$10)*ISNUMBER(H139:Z139)) = 0,
   "",
   IFERROR(
     (
       IF(
         SUMPRODUCT(($C$9:$G$9="CO4")*ISNUMBER($C$10:$G$10)*ISNUMBER(C139:G139)) = 0,
         0,
         SUMPRODUCT(($C$9:$G$9="CO4")*ISNUMBER($C$10:$G$10)*ISNUMBER(C139:G139)*C139:G139) /
         SUMPRODUCT(($C$9:$G$9="CO4")*ISNUMBER($C$10:$G$10)*ISNUMBER(C139:G139)*$C$10:$G$10) * 0.15
       ) +
       IF(
         SUMPRODUCT(($H$9:$Z$9="CO4")*ISNUMBER($H$10:$Z$10)*ISNUMBER(H139:Z139)) = 0,
         0,
         SUMPRODUCT(($H$9:$Z$9="CO4")*ISNUMBER($H$10:$Z$10)*ISNUMBER(H139:Z139)*H139:Z139) /
         SUMPRODUCT(($H$9:$Z$9="CO4")*ISNUMBER($H$10:$Z$10)*ISNUMBER(H139:Z139)*$H$10:$Z$10) * 0.85
       )
     ) * 100,
     ""
   )
)</f>
        <v/>
      </c>
      <c r="AE139" s="1" t="str" cm="1">
        <f t="array" ref="AE139">IF(
   SUMPRODUCT(($C$9:$G$9="CO5")*ISNUMBER($C$10:$G$10)*ISNUMBER(C139:G139)) +
   SUMPRODUCT(($H$9:$Z$9="CO5")*ISNUMBER($H$10:$Z$10)*ISNUMBER(H139:Z139)) = 0,
   "",
   IFERROR(
     (
       IF(
         SUMPRODUCT(($C$9:$G$9="CO5")*ISNUMBER($C$10:$G$10)*ISNUMBER(C139:G139)) = 0,
         0,
         SUMPRODUCT(($C$9:$G$9="CO5")*ISNUMBER($C$10:$G$10)*ISNUMBER(C139:G139)*C139:G139) /
         SUMPRODUCT(($C$9:$G$9="CO5")*ISNUMBER($C$10:$G$10)*ISNUMBER(C139:G139)*$C$10:$G$10) * 0.15
       ) +
       IF(
         SUMPRODUCT(($H$9:$Z$9="CO5")*ISNUMBER($H$10:$Z$10)*ISNUMBER(H139:Z139)) = 0,
         0,
         SUMPRODUCT(($H$9:$Z$9="CO5")*ISNUMBER($H$10:$Z$10)*ISNUMBER(H139:Z139)*H139:Z139) /
         SUMPRODUCT(($H$9:$Z$9="CO5")*ISNUMBER($H$10:$Z$10)*ISNUMBER(H139:Z139)*$H$10:$Z$10) * 0.85
       )
     ) * 100,
     ""
   )
)</f>
        <v/>
      </c>
      <c r="AF139" s="1" t="str" cm="1">
        <f t="array" ref="AF139">IF(
   SUMPRODUCT(($C$9:$G$9="CO6")*ISNUMBER($C$10:$G$10)*ISNUMBER(C139:G139)) +
   SUMPRODUCT(($H$9:$Z$9="CO6")*ISNUMBER($H$10:$Z$10)*ISNUMBER(H139:Z139)) = 0,
   "",
   IFERROR(
     (
       IF(
         SUMPRODUCT(($C$9:$G$9="CO6")*ISNUMBER($C$10:$G$10)*ISNUMBER(C139:G139)) = 0,
         0,
         SUMPRODUCT(($C$9:$G$9="CO6")*ISNUMBER($C$10:$G$10)*ISNUMBER(C139:G139)*C139:G139) /
         SUMPRODUCT(($C$9:$G$9="CO6")*ISNUMBER($C$10:$G$10)*ISNUMBER(C139:G139)*$C$10:$G$10) * 0.15
       ) +
       IF(
         SUMPRODUCT(($H$9:$Z$9="CO6")*ISNUMBER($H$10:$Z$10)*ISNUMBER(H139:Z139)) = 0,
         0,
         SUMPRODUCT(($H$9:$Z$9="CO6")*ISNUMBER($H$10:$Z$10)*ISNUMBER(H139:Z139)*H139:Z139) /
         SUMPRODUCT(($H$9:$Z$9="CO6")*ISNUMBER($H$10:$Z$10)*ISNUMBER(H139:Z139)*$H$10:$Z$10) * 0.85
       )
     ) * 100,
     ""
   )
)</f>
        <v/>
      </c>
      <c r="AG139" s="1" t="str" cm="1">
        <f t="array" ref="AG139">IF(
   SUMPRODUCT(($C$9:$G$9="CO7")*ISNUMBER($C$10:$G$10)*ISNUMBER(C139:G139)) +
   SUMPRODUCT(($H$9:$Z$9="CO7")*ISNUMBER($H$10:$Z$10)*ISNUMBER(H139:Z139)) = 0,
   "",
   IFERROR(
     (
       IF(
         SUMPRODUCT(($C$9:$G$9="CO7")*ISNUMBER($C$10:$G$10)*ISNUMBER(C139:G139)) = 0,
         0,
         SUMPRODUCT(($C$9:$G$9="CO7")*ISNUMBER($C$10:$G$10)*ISNUMBER(C139:G139)*C139:G139) /
         SUMPRODUCT(($C$9:$G$9="CO7")*ISNUMBER($C$10:$G$10)*ISNUMBER(C139:G139)*$C$10:$G$10) * 0.15
       ) +
       IF(
         SUMPRODUCT(($H$9:$Z$9="CO7")*ISNUMBER($H$10:$Z$10)*ISNUMBER(H139:Z139)) = 0,
         0,
         SUMPRODUCT(($H$9:$Z$9="CO7")*ISNUMBER($H$10:$Z$10)*ISNUMBER(H139:Z139)*H139:Z139) /
         SUMPRODUCT(($H$9:$Z$9="CO7")*ISNUMBER($H$10:$Z$10)*ISNUMBER(H139:Z139)*$H$10:$Z$10) * 0.85
       )
     ) * 100,
     ""
   )
)</f>
        <v/>
      </c>
      <c r="AH139" s="3" t="str" cm="1">
        <f t="array" ref="AH139">IF(
   SUMPRODUCT(($C$9:$G$9="CO8")*ISNUMBER($C$10:$G$10)*ISNUMBER(C139:G139)) +
   SUMPRODUCT(($H$9:$Z$9="CO8")*ISNUMBER($H$10:$Z$10)*ISNUMBER(H139:Z139)) = 0,
   "",
   IFERROR(
     (
       IF(
         SUMPRODUCT(($C$9:$G$9="CO8")*ISNUMBER($C$10:$G$10)*ISNUMBER(C139:G139)) = 0,
         0,
         SUMPRODUCT(($C$9:$G$9="CO8")*ISNUMBER($C$10:$G$10)*ISNUMBER(C139:G139)*C139:G139) /
         SUMPRODUCT(($C$9:$G$9="CO8")*ISNUMBER($C$10:$G$10)*ISNUMBER(C139:G139)*$C$10:$G$10) * 0.15
       ) +
       IF(
         SUMPRODUCT(($H$9:$Z$9="CO8")*ISNUMBER($H$10:$Z$10)*ISNUMBER(H139:Z139)) = 0,
         0,
         SUMPRODUCT(($H$9:$Z$9="CO8")*ISNUMBER($H$10:$Z$10)*ISNUMBER(H139:Z139)*H139:Z139) /
         SUMPRODUCT(($H$9:$Z$9="CO8")*ISNUMBER($H$10:$Z$10)*ISNUMBER(H139:Z139)*$H$10:$Z$10) * 0.85
       )
     ) * 100,
     ""
   )
)</f>
        <v/>
      </c>
      <c r="AI139" s="1" t="str">
        <f t="shared" si="17"/>
        <v/>
      </c>
      <c r="AJ139" s="1" t="str">
        <f t="shared" si="17"/>
        <v/>
      </c>
      <c r="AK139" s="1" t="str">
        <f t="shared" si="17"/>
        <v/>
      </c>
      <c r="AL139" s="1" t="str">
        <f t="shared" si="17"/>
        <v/>
      </c>
      <c r="AM139" s="1" t="str">
        <f t="shared" si="17"/>
        <v/>
      </c>
      <c r="AN139" s="1" t="str">
        <f t="shared" si="17"/>
        <v/>
      </c>
      <c r="AO139" s="1" t="str">
        <f t="shared" si="17"/>
        <v/>
      </c>
      <c r="AP139" s="1" t="str">
        <f t="shared" si="17"/>
        <v/>
      </c>
    </row>
    <row r="140" spans="1:42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" t="str" cm="1">
        <f t="array" ref="AA140">IF(
   SUMPRODUCT(($C$9:$G$9="CO1")*ISNUMBER($C$10:$G$10)*ISNUMBER(C140:G140)) +
   SUMPRODUCT(($H$9:$Z$9="CO1")*ISNUMBER($H$10:$Z$10)*ISNUMBER(H140:Z140)) = 0,
   "",
   IFERROR(
     (
       IF(
         SUMPRODUCT(($C$9:$G$9="CO1")*ISNUMBER($C$10:$G$10)*ISNUMBER(C140:G140)) = 0,
         0,
         SUMPRODUCT(($C$9:$G$9="CO1")*ISNUMBER($C$10:$G$10)*ISNUMBER(C140:G140)*C140:G140) /
         SUMPRODUCT(($C$9:$G$9="CO1")*ISNUMBER($C$10:$G$10)*ISNUMBER(C140:G140)*$C$10:$G$10) * 0.15
       ) +
       IF(
         SUMPRODUCT(($H$9:$Z$9="CO1")*ISNUMBER($H$10:$Z$10)*ISNUMBER(H140:Z140)) = 0,
         0,
         SUMPRODUCT(($H$9:$Z$9="CO1")*ISNUMBER($H$10:$Z$10)*ISNUMBER(H140:Z140)*H140:Z140) /
         SUMPRODUCT(($H$9:$Z$9="CO1")*ISNUMBER($H$10:$Z$10)*ISNUMBER(H140:Z140)*$H$10:$Z$10) * 0.85
       )
     ) * 100,
     ""
   )
)</f>
        <v/>
      </c>
      <c r="AB140" s="1" t="str" cm="1">
        <f t="array" ref="AB140">IF(
   SUMPRODUCT(($C$9:$G$9="CO2")*ISNUMBER($C$10:$G$10)*ISNUMBER(C140:G140)) +
   SUMPRODUCT(($H$9:$Z$9="CO2")*ISNUMBER($H$10:$Z$10)*ISNUMBER(H140:Z140)) = 0,
   "",
   IFERROR(
     (
       IF(
         SUMPRODUCT(($C$9:$G$9="CO2")*ISNUMBER($C$10:$G$10)*ISNUMBER(C140:G140)) = 0,
         0,
         SUMPRODUCT(($C$9:$G$9="CO2")*ISNUMBER($C$10:$G$10)*ISNUMBER(C140:G140)*C140:G140) /
         SUMPRODUCT(($C$9:$G$9="CO2")*ISNUMBER($C$10:$G$10)*ISNUMBER(C140:G140)*$C$10:$G$10) * 0.15
       ) +
       IF(
         SUMPRODUCT(($H$9:$Z$9="CO2")*ISNUMBER($H$10:$Z$10)*ISNUMBER(H140:Z140)) = 0,
         0,
         SUMPRODUCT(($H$9:$Z$9="CO2")*ISNUMBER($H$10:$Z$10)*ISNUMBER(H140:Z140)*H140:Z140) /
         SUMPRODUCT(($H$9:$Z$9="CO2")*ISNUMBER($H$10:$Z$10)*ISNUMBER(H140:Z140)*$H$10:$Z$10) * 0.85
       )
     ) * 100,
     ""
   )
)</f>
        <v/>
      </c>
      <c r="AC140" s="1" t="str" cm="1">
        <f t="array" ref="AC140">IF(
   SUMPRODUCT(($C$9:$G$9="CO3")*ISNUMBER($C$10:$G$10)*ISNUMBER(C140:G140)) +
   SUMPRODUCT(($H$9:$Z$9="CO3")*ISNUMBER($H$10:$Z$10)*ISNUMBER(H140:Z140)) = 0,
   "",
   IFERROR(
     (
       IF(
         SUMPRODUCT(($C$9:$G$9="CO3")*ISNUMBER($C$10:$G$10)*ISNUMBER(C140:G140)) = 0,
         0,
         SUMPRODUCT(($C$9:$G$9="CO3")*ISNUMBER($C$10:$G$10)*ISNUMBER(C140:G140)*C140:G140) /
         SUMPRODUCT(($C$9:$G$9="CO3")*ISNUMBER($C$10:$G$10)*ISNUMBER(C140:G140)*$C$10:$G$10) * 0.15
       ) +
       IF(
         SUMPRODUCT(($H$9:$Z$9="CO3")*ISNUMBER($H$10:$Z$10)*ISNUMBER(H140:Z140)) = 0,
         0,
         SUMPRODUCT(($H$9:$Z$9="CO3")*ISNUMBER($H$10:$Z$10)*ISNUMBER(H140:Z140)*H140:Z140) /
         SUMPRODUCT(($H$9:$Z$9="CO3")*ISNUMBER($H$10:$Z$10)*ISNUMBER(H140:Z140)*$H$10:$Z$10) * 0.85
       )
     ) * 100,
     ""
   )
)</f>
        <v/>
      </c>
      <c r="AD140" s="1" t="str" cm="1">
        <f t="array" ref="AD140">IF(
   SUMPRODUCT(($C$9:$G$9="CO4")*ISNUMBER($C$10:$G$10)*ISNUMBER(C140:G140)) +
   SUMPRODUCT(($H$9:$Z$9="CO4")*ISNUMBER($H$10:$Z$10)*ISNUMBER(H140:Z140)) = 0,
   "",
   IFERROR(
     (
       IF(
         SUMPRODUCT(($C$9:$G$9="CO4")*ISNUMBER($C$10:$G$10)*ISNUMBER(C140:G140)) = 0,
         0,
         SUMPRODUCT(($C$9:$G$9="CO4")*ISNUMBER($C$10:$G$10)*ISNUMBER(C140:G140)*C140:G140) /
         SUMPRODUCT(($C$9:$G$9="CO4")*ISNUMBER($C$10:$G$10)*ISNUMBER(C140:G140)*$C$10:$G$10) * 0.15
       ) +
       IF(
         SUMPRODUCT(($H$9:$Z$9="CO4")*ISNUMBER($H$10:$Z$10)*ISNUMBER(H140:Z140)) = 0,
         0,
         SUMPRODUCT(($H$9:$Z$9="CO4")*ISNUMBER($H$10:$Z$10)*ISNUMBER(H140:Z140)*H140:Z140) /
         SUMPRODUCT(($H$9:$Z$9="CO4")*ISNUMBER($H$10:$Z$10)*ISNUMBER(H140:Z140)*$H$10:$Z$10) * 0.85
       )
     ) * 100,
     ""
   )
)</f>
        <v/>
      </c>
      <c r="AE140" s="1" t="str" cm="1">
        <f t="array" ref="AE140">IF(
   SUMPRODUCT(($C$9:$G$9="CO5")*ISNUMBER($C$10:$G$10)*ISNUMBER(C140:G140)) +
   SUMPRODUCT(($H$9:$Z$9="CO5")*ISNUMBER($H$10:$Z$10)*ISNUMBER(H140:Z140)) = 0,
   "",
   IFERROR(
     (
       IF(
         SUMPRODUCT(($C$9:$G$9="CO5")*ISNUMBER($C$10:$G$10)*ISNUMBER(C140:G140)) = 0,
         0,
         SUMPRODUCT(($C$9:$G$9="CO5")*ISNUMBER($C$10:$G$10)*ISNUMBER(C140:G140)*C140:G140) /
         SUMPRODUCT(($C$9:$G$9="CO5")*ISNUMBER($C$10:$G$10)*ISNUMBER(C140:G140)*$C$10:$G$10) * 0.15
       ) +
       IF(
         SUMPRODUCT(($H$9:$Z$9="CO5")*ISNUMBER($H$10:$Z$10)*ISNUMBER(H140:Z140)) = 0,
         0,
         SUMPRODUCT(($H$9:$Z$9="CO5")*ISNUMBER($H$10:$Z$10)*ISNUMBER(H140:Z140)*H140:Z140) /
         SUMPRODUCT(($H$9:$Z$9="CO5")*ISNUMBER($H$10:$Z$10)*ISNUMBER(H140:Z140)*$H$10:$Z$10) * 0.85
       )
     ) * 100,
     ""
   )
)</f>
        <v/>
      </c>
      <c r="AF140" s="1" t="str" cm="1">
        <f t="array" ref="AF140">IF(
   SUMPRODUCT(($C$9:$G$9="CO6")*ISNUMBER($C$10:$G$10)*ISNUMBER(C140:G140)) +
   SUMPRODUCT(($H$9:$Z$9="CO6")*ISNUMBER($H$10:$Z$10)*ISNUMBER(H140:Z140)) = 0,
   "",
   IFERROR(
     (
       IF(
         SUMPRODUCT(($C$9:$G$9="CO6")*ISNUMBER($C$10:$G$10)*ISNUMBER(C140:G140)) = 0,
         0,
         SUMPRODUCT(($C$9:$G$9="CO6")*ISNUMBER($C$10:$G$10)*ISNUMBER(C140:G140)*C140:G140) /
         SUMPRODUCT(($C$9:$G$9="CO6")*ISNUMBER($C$10:$G$10)*ISNUMBER(C140:G140)*$C$10:$G$10) * 0.15
       ) +
       IF(
         SUMPRODUCT(($H$9:$Z$9="CO6")*ISNUMBER($H$10:$Z$10)*ISNUMBER(H140:Z140)) = 0,
         0,
         SUMPRODUCT(($H$9:$Z$9="CO6")*ISNUMBER($H$10:$Z$10)*ISNUMBER(H140:Z140)*H140:Z140) /
         SUMPRODUCT(($H$9:$Z$9="CO6")*ISNUMBER($H$10:$Z$10)*ISNUMBER(H140:Z140)*$H$10:$Z$10) * 0.85
       )
     ) * 100,
     ""
   )
)</f>
        <v/>
      </c>
      <c r="AG140" s="1" t="str" cm="1">
        <f t="array" ref="AG140">IF(
   SUMPRODUCT(($C$9:$G$9="CO7")*ISNUMBER($C$10:$G$10)*ISNUMBER(C140:G140)) +
   SUMPRODUCT(($H$9:$Z$9="CO7")*ISNUMBER($H$10:$Z$10)*ISNUMBER(H140:Z140)) = 0,
   "",
   IFERROR(
     (
       IF(
         SUMPRODUCT(($C$9:$G$9="CO7")*ISNUMBER($C$10:$G$10)*ISNUMBER(C140:G140)) = 0,
         0,
         SUMPRODUCT(($C$9:$G$9="CO7")*ISNUMBER($C$10:$G$10)*ISNUMBER(C140:G140)*C140:G140) /
         SUMPRODUCT(($C$9:$G$9="CO7")*ISNUMBER($C$10:$G$10)*ISNUMBER(C140:G140)*$C$10:$G$10) * 0.15
       ) +
       IF(
         SUMPRODUCT(($H$9:$Z$9="CO7")*ISNUMBER($H$10:$Z$10)*ISNUMBER(H140:Z140)) = 0,
         0,
         SUMPRODUCT(($H$9:$Z$9="CO7")*ISNUMBER($H$10:$Z$10)*ISNUMBER(H140:Z140)*H140:Z140) /
         SUMPRODUCT(($H$9:$Z$9="CO7")*ISNUMBER($H$10:$Z$10)*ISNUMBER(H140:Z140)*$H$10:$Z$10) * 0.85
       )
     ) * 100,
     ""
   )
)</f>
        <v/>
      </c>
      <c r="AH140" s="3" t="str" cm="1">
        <f t="array" ref="AH140">IF(
   SUMPRODUCT(($C$9:$G$9="CO8")*ISNUMBER($C$10:$G$10)*ISNUMBER(C140:G140)) +
   SUMPRODUCT(($H$9:$Z$9="CO8")*ISNUMBER($H$10:$Z$10)*ISNUMBER(H140:Z140)) = 0,
   "",
   IFERROR(
     (
       IF(
         SUMPRODUCT(($C$9:$G$9="CO8")*ISNUMBER($C$10:$G$10)*ISNUMBER(C140:G140)) = 0,
         0,
         SUMPRODUCT(($C$9:$G$9="CO8")*ISNUMBER($C$10:$G$10)*ISNUMBER(C140:G140)*C140:G140) /
         SUMPRODUCT(($C$9:$G$9="CO8")*ISNUMBER($C$10:$G$10)*ISNUMBER(C140:G140)*$C$10:$G$10) * 0.15
       ) +
       IF(
         SUMPRODUCT(($H$9:$Z$9="CO8")*ISNUMBER($H$10:$Z$10)*ISNUMBER(H140:Z140)) = 0,
         0,
         SUMPRODUCT(($H$9:$Z$9="CO8")*ISNUMBER($H$10:$Z$10)*ISNUMBER(H140:Z140)*H140:Z140) /
         SUMPRODUCT(($H$9:$Z$9="CO8")*ISNUMBER($H$10:$Z$10)*ISNUMBER(H140:Z140)*$H$10:$Z$10) * 0.85
       )
     ) * 100,
     ""
   )
)</f>
        <v/>
      </c>
      <c r="AI140" s="1" t="str">
        <f t="shared" si="17"/>
        <v/>
      </c>
      <c r="AJ140" s="1" t="str">
        <f t="shared" si="17"/>
        <v/>
      </c>
      <c r="AK140" s="1" t="str">
        <f t="shared" si="17"/>
        <v/>
      </c>
      <c r="AL140" s="1" t="str">
        <f t="shared" si="17"/>
        <v/>
      </c>
      <c r="AM140" s="1" t="str">
        <f t="shared" si="17"/>
        <v/>
      </c>
      <c r="AN140" s="1" t="str">
        <f t="shared" si="17"/>
        <v/>
      </c>
      <c r="AO140" s="1" t="str">
        <f t="shared" si="17"/>
        <v/>
      </c>
      <c r="AP140" s="1" t="str">
        <f t="shared" si="17"/>
        <v/>
      </c>
    </row>
    <row r="141" spans="1:42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" t="str" cm="1">
        <f t="array" ref="AA141">IF(
   SUMPRODUCT(($C$9:$G$9="CO1")*ISNUMBER($C$10:$G$10)*ISNUMBER(C141:G141)) +
   SUMPRODUCT(($H$9:$Z$9="CO1")*ISNUMBER($H$10:$Z$10)*ISNUMBER(H141:Z141)) = 0,
   "",
   IFERROR(
     (
       IF(
         SUMPRODUCT(($C$9:$G$9="CO1")*ISNUMBER($C$10:$G$10)*ISNUMBER(C141:G141)) = 0,
         0,
         SUMPRODUCT(($C$9:$G$9="CO1")*ISNUMBER($C$10:$G$10)*ISNUMBER(C141:G141)*C141:G141) /
         SUMPRODUCT(($C$9:$G$9="CO1")*ISNUMBER($C$10:$G$10)*ISNUMBER(C141:G141)*$C$10:$G$10) * 0.15
       ) +
       IF(
         SUMPRODUCT(($H$9:$Z$9="CO1")*ISNUMBER($H$10:$Z$10)*ISNUMBER(H141:Z141)) = 0,
         0,
         SUMPRODUCT(($H$9:$Z$9="CO1")*ISNUMBER($H$10:$Z$10)*ISNUMBER(H141:Z141)*H141:Z141) /
         SUMPRODUCT(($H$9:$Z$9="CO1")*ISNUMBER($H$10:$Z$10)*ISNUMBER(H141:Z141)*$H$10:$Z$10) * 0.85
       )
     ) * 100,
     ""
   )
)</f>
        <v/>
      </c>
      <c r="AB141" s="1" t="str" cm="1">
        <f t="array" ref="AB141">IF(
   SUMPRODUCT(($C$9:$G$9="CO2")*ISNUMBER($C$10:$G$10)*ISNUMBER(C141:G141)) +
   SUMPRODUCT(($H$9:$Z$9="CO2")*ISNUMBER($H$10:$Z$10)*ISNUMBER(H141:Z141)) = 0,
   "",
   IFERROR(
     (
       IF(
         SUMPRODUCT(($C$9:$G$9="CO2")*ISNUMBER($C$10:$G$10)*ISNUMBER(C141:G141)) = 0,
         0,
         SUMPRODUCT(($C$9:$G$9="CO2")*ISNUMBER($C$10:$G$10)*ISNUMBER(C141:G141)*C141:G141) /
         SUMPRODUCT(($C$9:$G$9="CO2")*ISNUMBER($C$10:$G$10)*ISNUMBER(C141:G141)*$C$10:$G$10) * 0.15
       ) +
       IF(
         SUMPRODUCT(($H$9:$Z$9="CO2")*ISNUMBER($H$10:$Z$10)*ISNUMBER(H141:Z141)) = 0,
         0,
         SUMPRODUCT(($H$9:$Z$9="CO2")*ISNUMBER($H$10:$Z$10)*ISNUMBER(H141:Z141)*H141:Z141) /
         SUMPRODUCT(($H$9:$Z$9="CO2")*ISNUMBER($H$10:$Z$10)*ISNUMBER(H141:Z141)*$H$10:$Z$10) * 0.85
       )
     ) * 100,
     ""
   )
)</f>
        <v/>
      </c>
      <c r="AC141" s="1" t="str" cm="1">
        <f t="array" ref="AC141">IF(
   SUMPRODUCT(($C$9:$G$9="CO3")*ISNUMBER($C$10:$G$10)*ISNUMBER(C141:G141)) +
   SUMPRODUCT(($H$9:$Z$9="CO3")*ISNUMBER($H$10:$Z$10)*ISNUMBER(H141:Z141)) = 0,
   "",
   IFERROR(
     (
       IF(
         SUMPRODUCT(($C$9:$G$9="CO3")*ISNUMBER($C$10:$G$10)*ISNUMBER(C141:G141)) = 0,
         0,
         SUMPRODUCT(($C$9:$G$9="CO3")*ISNUMBER($C$10:$G$10)*ISNUMBER(C141:G141)*C141:G141) /
         SUMPRODUCT(($C$9:$G$9="CO3")*ISNUMBER($C$10:$G$10)*ISNUMBER(C141:G141)*$C$10:$G$10) * 0.15
       ) +
       IF(
         SUMPRODUCT(($H$9:$Z$9="CO3")*ISNUMBER($H$10:$Z$10)*ISNUMBER(H141:Z141)) = 0,
         0,
         SUMPRODUCT(($H$9:$Z$9="CO3")*ISNUMBER($H$10:$Z$10)*ISNUMBER(H141:Z141)*H141:Z141) /
         SUMPRODUCT(($H$9:$Z$9="CO3")*ISNUMBER($H$10:$Z$10)*ISNUMBER(H141:Z141)*$H$10:$Z$10) * 0.85
       )
     ) * 100,
     ""
   )
)</f>
        <v/>
      </c>
      <c r="AD141" s="1" t="str" cm="1">
        <f t="array" ref="AD141">IF(
   SUMPRODUCT(($C$9:$G$9="CO4")*ISNUMBER($C$10:$G$10)*ISNUMBER(C141:G141)) +
   SUMPRODUCT(($H$9:$Z$9="CO4")*ISNUMBER($H$10:$Z$10)*ISNUMBER(H141:Z141)) = 0,
   "",
   IFERROR(
     (
       IF(
         SUMPRODUCT(($C$9:$G$9="CO4")*ISNUMBER($C$10:$G$10)*ISNUMBER(C141:G141)) = 0,
         0,
         SUMPRODUCT(($C$9:$G$9="CO4")*ISNUMBER($C$10:$G$10)*ISNUMBER(C141:G141)*C141:G141) /
         SUMPRODUCT(($C$9:$G$9="CO4")*ISNUMBER($C$10:$G$10)*ISNUMBER(C141:G141)*$C$10:$G$10) * 0.15
       ) +
       IF(
         SUMPRODUCT(($H$9:$Z$9="CO4")*ISNUMBER($H$10:$Z$10)*ISNUMBER(H141:Z141)) = 0,
         0,
         SUMPRODUCT(($H$9:$Z$9="CO4")*ISNUMBER($H$10:$Z$10)*ISNUMBER(H141:Z141)*H141:Z141) /
         SUMPRODUCT(($H$9:$Z$9="CO4")*ISNUMBER($H$10:$Z$10)*ISNUMBER(H141:Z141)*$H$10:$Z$10) * 0.85
       )
     ) * 100,
     ""
   )
)</f>
        <v/>
      </c>
      <c r="AE141" s="1" t="str" cm="1">
        <f t="array" ref="AE141">IF(
   SUMPRODUCT(($C$9:$G$9="CO5")*ISNUMBER($C$10:$G$10)*ISNUMBER(C141:G141)) +
   SUMPRODUCT(($H$9:$Z$9="CO5")*ISNUMBER($H$10:$Z$10)*ISNUMBER(H141:Z141)) = 0,
   "",
   IFERROR(
     (
       IF(
         SUMPRODUCT(($C$9:$G$9="CO5")*ISNUMBER($C$10:$G$10)*ISNUMBER(C141:G141)) = 0,
         0,
         SUMPRODUCT(($C$9:$G$9="CO5")*ISNUMBER($C$10:$G$10)*ISNUMBER(C141:G141)*C141:G141) /
         SUMPRODUCT(($C$9:$G$9="CO5")*ISNUMBER($C$10:$G$10)*ISNUMBER(C141:G141)*$C$10:$G$10) * 0.15
       ) +
       IF(
         SUMPRODUCT(($H$9:$Z$9="CO5")*ISNUMBER($H$10:$Z$10)*ISNUMBER(H141:Z141)) = 0,
         0,
         SUMPRODUCT(($H$9:$Z$9="CO5")*ISNUMBER($H$10:$Z$10)*ISNUMBER(H141:Z141)*H141:Z141) /
         SUMPRODUCT(($H$9:$Z$9="CO5")*ISNUMBER($H$10:$Z$10)*ISNUMBER(H141:Z141)*$H$10:$Z$10) * 0.85
       )
     ) * 100,
     ""
   )
)</f>
        <v/>
      </c>
      <c r="AF141" s="1" t="str" cm="1">
        <f t="array" ref="AF141">IF(
   SUMPRODUCT(($C$9:$G$9="CO6")*ISNUMBER($C$10:$G$10)*ISNUMBER(C141:G141)) +
   SUMPRODUCT(($H$9:$Z$9="CO6")*ISNUMBER($H$10:$Z$10)*ISNUMBER(H141:Z141)) = 0,
   "",
   IFERROR(
     (
       IF(
         SUMPRODUCT(($C$9:$G$9="CO6")*ISNUMBER($C$10:$G$10)*ISNUMBER(C141:G141)) = 0,
         0,
         SUMPRODUCT(($C$9:$G$9="CO6")*ISNUMBER($C$10:$G$10)*ISNUMBER(C141:G141)*C141:G141) /
         SUMPRODUCT(($C$9:$G$9="CO6")*ISNUMBER($C$10:$G$10)*ISNUMBER(C141:G141)*$C$10:$G$10) * 0.15
       ) +
       IF(
         SUMPRODUCT(($H$9:$Z$9="CO6")*ISNUMBER($H$10:$Z$10)*ISNUMBER(H141:Z141)) = 0,
         0,
         SUMPRODUCT(($H$9:$Z$9="CO6")*ISNUMBER($H$10:$Z$10)*ISNUMBER(H141:Z141)*H141:Z141) /
         SUMPRODUCT(($H$9:$Z$9="CO6")*ISNUMBER($H$10:$Z$10)*ISNUMBER(H141:Z141)*$H$10:$Z$10) * 0.85
       )
     ) * 100,
     ""
   )
)</f>
        <v/>
      </c>
      <c r="AG141" s="1" t="str" cm="1">
        <f t="array" ref="AG141">IF(
   SUMPRODUCT(($C$9:$G$9="CO7")*ISNUMBER($C$10:$G$10)*ISNUMBER(C141:G141)) +
   SUMPRODUCT(($H$9:$Z$9="CO7")*ISNUMBER($H$10:$Z$10)*ISNUMBER(H141:Z141)) = 0,
   "",
   IFERROR(
     (
       IF(
         SUMPRODUCT(($C$9:$G$9="CO7")*ISNUMBER($C$10:$G$10)*ISNUMBER(C141:G141)) = 0,
         0,
         SUMPRODUCT(($C$9:$G$9="CO7")*ISNUMBER($C$10:$G$10)*ISNUMBER(C141:G141)*C141:G141) /
         SUMPRODUCT(($C$9:$G$9="CO7")*ISNUMBER($C$10:$G$10)*ISNUMBER(C141:G141)*$C$10:$G$10) * 0.15
       ) +
       IF(
         SUMPRODUCT(($H$9:$Z$9="CO7")*ISNUMBER($H$10:$Z$10)*ISNUMBER(H141:Z141)) = 0,
         0,
         SUMPRODUCT(($H$9:$Z$9="CO7")*ISNUMBER($H$10:$Z$10)*ISNUMBER(H141:Z141)*H141:Z141) /
         SUMPRODUCT(($H$9:$Z$9="CO7")*ISNUMBER($H$10:$Z$10)*ISNUMBER(H141:Z141)*$H$10:$Z$10) * 0.85
       )
     ) * 100,
     ""
   )
)</f>
        <v/>
      </c>
      <c r="AH141" s="3" t="str" cm="1">
        <f t="array" ref="AH141">IF(
   SUMPRODUCT(($C$9:$G$9="CO8")*ISNUMBER($C$10:$G$10)*ISNUMBER(C141:G141)) +
   SUMPRODUCT(($H$9:$Z$9="CO8")*ISNUMBER($H$10:$Z$10)*ISNUMBER(H141:Z141)) = 0,
   "",
   IFERROR(
     (
       IF(
         SUMPRODUCT(($C$9:$G$9="CO8")*ISNUMBER($C$10:$G$10)*ISNUMBER(C141:G141)) = 0,
         0,
         SUMPRODUCT(($C$9:$G$9="CO8")*ISNUMBER($C$10:$G$10)*ISNUMBER(C141:G141)*C141:G141) /
         SUMPRODUCT(($C$9:$G$9="CO8")*ISNUMBER($C$10:$G$10)*ISNUMBER(C141:G141)*$C$10:$G$10) * 0.15
       ) +
       IF(
         SUMPRODUCT(($H$9:$Z$9="CO8")*ISNUMBER($H$10:$Z$10)*ISNUMBER(H141:Z141)) = 0,
         0,
         SUMPRODUCT(($H$9:$Z$9="CO8")*ISNUMBER($H$10:$Z$10)*ISNUMBER(H141:Z141)*H141:Z141) /
         SUMPRODUCT(($H$9:$Z$9="CO8")*ISNUMBER($H$10:$Z$10)*ISNUMBER(H141:Z141)*$H$10:$Z$10) * 0.85
       )
     ) * 100,
     ""
   )
)</f>
        <v/>
      </c>
      <c r="AI141" s="1" t="str">
        <f t="shared" si="17"/>
        <v/>
      </c>
      <c r="AJ141" s="1" t="str">
        <f t="shared" si="17"/>
        <v/>
      </c>
      <c r="AK141" s="1" t="str">
        <f t="shared" si="17"/>
        <v/>
      </c>
      <c r="AL141" s="1" t="str">
        <f t="shared" si="17"/>
        <v/>
      </c>
      <c r="AM141" s="1" t="str">
        <f t="shared" si="17"/>
        <v/>
      </c>
      <c r="AN141" s="1" t="str">
        <f t="shared" si="17"/>
        <v/>
      </c>
      <c r="AO141" s="1" t="str">
        <f t="shared" si="17"/>
        <v/>
      </c>
      <c r="AP141" s="1" t="str">
        <f t="shared" si="17"/>
        <v/>
      </c>
    </row>
    <row r="142" spans="1:42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" t="str" cm="1">
        <f t="array" ref="AA142">IF(
   SUMPRODUCT(($C$9:$G$9="CO1")*ISNUMBER($C$10:$G$10)*ISNUMBER(C142:G142)) +
   SUMPRODUCT(($H$9:$Z$9="CO1")*ISNUMBER($H$10:$Z$10)*ISNUMBER(H142:Z142)) = 0,
   "",
   IFERROR(
     (
       IF(
         SUMPRODUCT(($C$9:$G$9="CO1")*ISNUMBER($C$10:$G$10)*ISNUMBER(C142:G142)) = 0,
         0,
         SUMPRODUCT(($C$9:$G$9="CO1")*ISNUMBER($C$10:$G$10)*ISNUMBER(C142:G142)*C142:G142) /
         SUMPRODUCT(($C$9:$G$9="CO1")*ISNUMBER($C$10:$G$10)*ISNUMBER(C142:G142)*$C$10:$G$10) * 0.15
       ) +
       IF(
         SUMPRODUCT(($H$9:$Z$9="CO1")*ISNUMBER($H$10:$Z$10)*ISNUMBER(H142:Z142)) = 0,
         0,
         SUMPRODUCT(($H$9:$Z$9="CO1")*ISNUMBER($H$10:$Z$10)*ISNUMBER(H142:Z142)*H142:Z142) /
         SUMPRODUCT(($H$9:$Z$9="CO1")*ISNUMBER($H$10:$Z$10)*ISNUMBER(H142:Z142)*$H$10:$Z$10) * 0.85
       )
     ) * 100,
     ""
   )
)</f>
        <v/>
      </c>
      <c r="AB142" s="1" t="str" cm="1">
        <f t="array" ref="AB142">IF(
   SUMPRODUCT(($C$9:$G$9="CO2")*ISNUMBER($C$10:$G$10)*ISNUMBER(C142:G142)) +
   SUMPRODUCT(($H$9:$Z$9="CO2")*ISNUMBER($H$10:$Z$10)*ISNUMBER(H142:Z142)) = 0,
   "",
   IFERROR(
     (
       IF(
         SUMPRODUCT(($C$9:$G$9="CO2")*ISNUMBER($C$10:$G$10)*ISNUMBER(C142:G142)) = 0,
         0,
         SUMPRODUCT(($C$9:$G$9="CO2")*ISNUMBER($C$10:$G$10)*ISNUMBER(C142:G142)*C142:G142) /
         SUMPRODUCT(($C$9:$G$9="CO2")*ISNUMBER($C$10:$G$10)*ISNUMBER(C142:G142)*$C$10:$G$10) * 0.15
       ) +
       IF(
         SUMPRODUCT(($H$9:$Z$9="CO2")*ISNUMBER($H$10:$Z$10)*ISNUMBER(H142:Z142)) = 0,
         0,
         SUMPRODUCT(($H$9:$Z$9="CO2")*ISNUMBER($H$10:$Z$10)*ISNUMBER(H142:Z142)*H142:Z142) /
         SUMPRODUCT(($H$9:$Z$9="CO2")*ISNUMBER($H$10:$Z$10)*ISNUMBER(H142:Z142)*$H$10:$Z$10) * 0.85
       )
     ) * 100,
     ""
   )
)</f>
        <v/>
      </c>
      <c r="AC142" s="1" t="str" cm="1">
        <f t="array" ref="AC142">IF(
   SUMPRODUCT(($C$9:$G$9="CO3")*ISNUMBER($C$10:$G$10)*ISNUMBER(C142:G142)) +
   SUMPRODUCT(($H$9:$Z$9="CO3")*ISNUMBER($H$10:$Z$10)*ISNUMBER(H142:Z142)) = 0,
   "",
   IFERROR(
     (
       IF(
         SUMPRODUCT(($C$9:$G$9="CO3")*ISNUMBER($C$10:$G$10)*ISNUMBER(C142:G142)) = 0,
         0,
         SUMPRODUCT(($C$9:$G$9="CO3")*ISNUMBER($C$10:$G$10)*ISNUMBER(C142:G142)*C142:G142) /
         SUMPRODUCT(($C$9:$G$9="CO3")*ISNUMBER($C$10:$G$10)*ISNUMBER(C142:G142)*$C$10:$G$10) * 0.15
       ) +
       IF(
         SUMPRODUCT(($H$9:$Z$9="CO3")*ISNUMBER($H$10:$Z$10)*ISNUMBER(H142:Z142)) = 0,
         0,
         SUMPRODUCT(($H$9:$Z$9="CO3")*ISNUMBER($H$10:$Z$10)*ISNUMBER(H142:Z142)*H142:Z142) /
         SUMPRODUCT(($H$9:$Z$9="CO3")*ISNUMBER($H$10:$Z$10)*ISNUMBER(H142:Z142)*$H$10:$Z$10) * 0.85
       )
     ) * 100,
     ""
   )
)</f>
        <v/>
      </c>
      <c r="AD142" s="1" t="str" cm="1">
        <f t="array" ref="AD142">IF(
   SUMPRODUCT(($C$9:$G$9="CO4")*ISNUMBER($C$10:$G$10)*ISNUMBER(C142:G142)) +
   SUMPRODUCT(($H$9:$Z$9="CO4")*ISNUMBER($H$10:$Z$10)*ISNUMBER(H142:Z142)) = 0,
   "",
   IFERROR(
     (
       IF(
         SUMPRODUCT(($C$9:$G$9="CO4")*ISNUMBER($C$10:$G$10)*ISNUMBER(C142:G142)) = 0,
         0,
         SUMPRODUCT(($C$9:$G$9="CO4")*ISNUMBER($C$10:$G$10)*ISNUMBER(C142:G142)*C142:G142) /
         SUMPRODUCT(($C$9:$G$9="CO4")*ISNUMBER($C$10:$G$10)*ISNUMBER(C142:G142)*$C$10:$G$10) * 0.15
       ) +
       IF(
         SUMPRODUCT(($H$9:$Z$9="CO4")*ISNUMBER($H$10:$Z$10)*ISNUMBER(H142:Z142)) = 0,
         0,
         SUMPRODUCT(($H$9:$Z$9="CO4")*ISNUMBER($H$10:$Z$10)*ISNUMBER(H142:Z142)*H142:Z142) /
         SUMPRODUCT(($H$9:$Z$9="CO4")*ISNUMBER($H$10:$Z$10)*ISNUMBER(H142:Z142)*$H$10:$Z$10) * 0.85
       )
     ) * 100,
     ""
   )
)</f>
        <v/>
      </c>
      <c r="AE142" s="1" t="str" cm="1">
        <f t="array" ref="AE142">IF(
   SUMPRODUCT(($C$9:$G$9="CO5")*ISNUMBER($C$10:$G$10)*ISNUMBER(C142:G142)) +
   SUMPRODUCT(($H$9:$Z$9="CO5")*ISNUMBER($H$10:$Z$10)*ISNUMBER(H142:Z142)) = 0,
   "",
   IFERROR(
     (
       IF(
         SUMPRODUCT(($C$9:$G$9="CO5")*ISNUMBER($C$10:$G$10)*ISNUMBER(C142:G142)) = 0,
         0,
         SUMPRODUCT(($C$9:$G$9="CO5")*ISNUMBER($C$10:$G$10)*ISNUMBER(C142:G142)*C142:G142) /
         SUMPRODUCT(($C$9:$G$9="CO5")*ISNUMBER($C$10:$G$10)*ISNUMBER(C142:G142)*$C$10:$G$10) * 0.15
       ) +
       IF(
         SUMPRODUCT(($H$9:$Z$9="CO5")*ISNUMBER($H$10:$Z$10)*ISNUMBER(H142:Z142)) = 0,
         0,
         SUMPRODUCT(($H$9:$Z$9="CO5")*ISNUMBER($H$10:$Z$10)*ISNUMBER(H142:Z142)*H142:Z142) /
         SUMPRODUCT(($H$9:$Z$9="CO5")*ISNUMBER($H$10:$Z$10)*ISNUMBER(H142:Z142)*$H$10:$Z$10) * 0.85
       )
     ) * 100,
     ""
   )
)</f>
        <v/>
      </c>
      <c r="AF142" s="1" t="str" cm="1">
        <f t="array" ref="AF142">IF(
   SUMPRODUCT(($C$9:$G$9="CO6")*ISNUMBER($C$10:$G$10)*ISNUMBER(C142:G142)) +
   SUMPRODUCT(($H$9:$Z$9="CO6")*ISNUMBER($H$10:$Z$10)*ISNUMBER(H142:Z142)) = 0,
   "",
   IFERROR(
     (
       IF(
         SUMPRODUCT(($C$9:$G$9="CO6")*ISNUMBER($C$10:$G$10)*ISNUMBER(C142:G142)) = 0,
         0,
         SUMPRODUCT(($C$9:$G$9="CO6")*ISNUMBER($C$10:$G$10)*ISNUMBER(C142:G142)*C142:G142) /
         SUMPRODUCT(($C$9:$G$9="CO6")*ISNUMBER($C$10:$G$10)*ISNUMBER(C142:G142)*$C$10:$G$10) * 0.15
       ) +
       IF(
         SUMPRODUCT(($H$9:$Z$9="CO6")*ISNUMBER($H$10:$Z$10)*ISNUMBER(H142:Z142)) = 0,
         0,
         SUMPRODUCT(($H$9:$Z$9="CO6")*ISNUMBER($H$10:$Z$10)*ISNUMBER(H142:Z142)*H142:Z142) /
         SUMPRODUCT(($H$9:$Z$9="CO6")*ISNUMBER($H$10:$Z$10)*ISNUMBER(H142:Z142)*$H$10:$Z$10) * 0.85
       )
     ) * 100,
     ""
   )
)</f>
        <v/>
      </c>
      <c r="AG142" s="1" t="str" cm="1">
        <f t="array" ref="AG142">IF(
   SUMPRODUCT(($C$9:$G$9="CO7")*ISNUMBER($C$10:$G$10)*ISNUMBER(C142:G142)) +
   SUMPRODUCT(($H$9:$Z$9="CO7")*ISNUMBER($H$10:$Z$10)*ISNUMBER(H142:Z142)) = 0,
   "",
   IFERROR(
     (
       IF(
         SUMPRODUCT(($C$9:$G$9="CO7")*ISNUMBER($C$10:$G$10)*ISNUMBER(C142:G142)) = 0,
         0,
         SUMPRODUCT(($C$9:$G$9="CO7")*ISNUMBER($C$10:$G$10)*ISNUMBER(C142:G142)*C142:G142) /
         SUMPRODUCT(($C$9:$G$9="CO7")*ISNUMBER($C$10:$G$10)*ISNUMBER(C142:G142)*$C$10:$G$10) * 0.15
       ) +
       IF(
         SUMPRODUCT(($H$9:$Z$9="CO7")*ISNUMBER($H$10:$Z$10)*ISNUMBER(H142:Z142)) = 0,
         0,
         SUMPRODUCT(($H$9:$Z$9="CO7")*ISNUMBER($H$10:$Z$10)*ISNUMBER(H142:Z142)*H142:Z142) /
         SUMPRODUCT(($H$9:$Z$9="CO7")*ISNUMBER($H$10:$Z$10)*ISNUMBER(H142:Z142)*$H$10:$Z$10) * 0.85
       )
     ) * 100,
     ""
   )
)</f>
        <v/>
      </c>
      <c r="AH142" s="3" t="str" cm="1">
        <f t="array" ref="AH142">IF(
   SUMPRODUCT(($C$9:$G$9="CO8")*ISNUMBER($C$10:$G$10)*ISNUMBER(C142:G142)) +
   SUMPRODUCT(($H$9:$Z$9="CO8")*ISNUMBER($H$10:$Z$10)*ISNUMBER(H142:Z142)) = 0,
   "",
   IFERROR(
     (
       IF(
         SUMPRODUCT(($C$9:$G$9="CO8")*ISNUMBER($C$10:$G$10)*ISNUMBER(C142:G142)) = 0,
         0,
         SUMPRODUCT(($C$9:$G$9="CO8")*ISNUMBER($C$10:$G$10)*ISNUMBER(C142:G142)*C142:G142) /
         SUMPRODUCT(($C$9:$G$9="CO8")*ISNUMBER($C$10:$G$10)*ISNUMBER(C142:G142)*$C$10:$G$10) * 0.15
       ) +
       IF(
         SUMPRODUCT(($H$9:$Z$9="CO8")*ISNUMBER($H$10:$Z$10)*ISNUMBER(H142:Z142)) = 0,
         0,
         SUMPRODUCT(($H$9:$Z$9="CO8")*ISNUMBER($H$10:$Z$10)*ISNUMBER(H142:Z142)*H142:Z142) /
         SUMPRODUCT(($H$9:$Z$9="CO8")*ISNUMBER($H$10:$Z$10)*ISNUMBER(H142:Z142)*$H$10:$Z$10) * 0.85
       )
     ) * 100,
     ""
   )
)</f>
        <v/>
      </c>
      <c r="AI142" s="1" t="str">
        <f t="shared" si="17"/>
        <v/>
      </c>
      <c r="AJ142" s="1" t="str">
        <f t="shared" si="17"/>
        <v/>
      </c>
      <c r="AK142" s="1" t="str">
        <f t="shared" si="17"/>
        <v/>
      </c>
      <c r="AL142" s="1" t="str">
        <f t="shared" si="17"/>
        <v/>
      </c>
      <c r="AM142" s="1" t="str">
        <f t="shared" si="17"/>
        <v/>
      </c>
      <c r="AN142" s="1" t="str">
        <f t="shared" si="17"/>
        <v/>
      </c>
      <c r="AO142" s="1" t="str">
        <f t="shared" si="17"/>
        <v/>
      </c>
      <c r="AP142" s="1" t="str">
        <f t="shared" si="17"/>
        <v/>
      </c>
    </row>
    <row r="143" spans="1:42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" t="str" cm="1">
        <f t="array" ref="AA143">IF(
   SUMPRODUCT(($C$9:$G$9="CO1")*ISNUMBER($C$10:$G$10)*ISNUMBER(C143:G143)) +
   SUMPRODUCT(($H$9:$Z$9="CO1")*ISNUMBER($H$10:$Z$10)*ISNUMBER(H143:Z143)) = 0,
   "",
   IFERROR(
     (
       IF(
         SUMPRODUCT(($C$9:$G$9="CO1")*ISNUMBER($C$10:$G$10)*ISNUMBER(C143:G143)) = 0,
         0,
         SUMPRODUCT(($C$9:$G$9="CO1")*ISNUMBER($C$10:$G$10)*ISNUMBER(C143:G143)*C143:G143) /
         SUMPRODUCT(($C$9:$G$9="CO1")*ISNUMBER($C$10:$G$10)*ISNUMBER(C143:G143)*$C$10:$G$10) * 0.15
       ) +
       IF(
         SUMPRODUCT(($H$9:$Z$9="CO1")*ISNUMBER($H$10:$Z$10)*ISNUMBER(H143:Z143)) = 0,
         0,
         SUMPRODUCT(($H$9:$Z$9="CO1")*ISNUMBER($H$10:$Z$10)*ISNUMBER(H143:Z143)*H143:Z143) /
         SUMPRODUCT(($H$9:$Z$9="CO1")*ISNUMBER($H$10:$Z$10)*ISNUMBER(H143:Z143)*$H$10:$Z$10) * 0.85
       )
     ) * 100,
     ""
   )
)</f>
        <v/>
      </c>
      <c r="AB143" s="1" t="str" cm="1">
        <f t="array" ref="AB143">IF(
   SUMPRODUCT(($C$9:$G$9="CO2")*ISNUMBER($C$10:$G$10)*ISNUMBER(C143:G143)) +
   SUMPRODUCT(($H$9:$Z$9="CO2")*ISNUMBER($H$10:$Z$10)*ISNUMBER(H143:Z143)) = 0,
   "",
   IFERROR(
     (
       IF(
         SUMPRODUCT(($C$9:$G$9="CO2")*ISNUMBER($C$10:$G$10)*ISNUMBER(C143:G143)) = 0,
         0,
         SUMPRODUCT(($C$9:$G$9="CO2")*ISNUMBER($C$10:$G$10)*ISNUMBER(C143:G143)*C143:G143) /
         SUMPRODUCT(($C$9:$G$9="CO2")*ISNUMBER($C$10:$G$10)*ISNUMBER(C143:G143)*$C$10:$G$10) * 0.15
       ) +
       IF(
         SUMPRODUCT(($H$9:$Z$9="CO2")*ISNUMBER($H$10:$Z$10)*ISNUMBER(H143:Z143)) = 0,
         0,
         SUMPRODUCT(($H$9:$Z$9="CO2")*ISNUMBER($H$10:$Z$10)*ISNUMBER(H143:Z143)*H143:Z143) /
         SUMPRODUCT(($H$9:$Z$9="CO2")*ISNUMBER($H$10:$Z$10)*ISNUMBER(H143:Z143)*$H$10:$Z$10) * 0.85
       )
     ) * 100,
     ""
   )
)</f>
        <v/>
      </c>
      <c r="AC143" s="1" t="str" cm="1">
        <f t="array" ref="AC143">IF(
   SUMPRODUCT(($C$9:$G$9="CO3")*ISNUMBER($C$10:$G$10)*ISNUMBER(C143:G143)) +
   SUMPRODUCT(($H$9:$Z$9="CO3")*ISNUMBER($H$10:$Z$10)*ISNUMBER(H143:Z143)) = 0,
   "",
   IFERROR(
     (
       IF(
         SUMPRODUCT(($C$9:$G$9="CO3")*ISNUMBER($C$10:$G$10)*ISNUMBER(C143:G143)) = 0,
         0,
         SUMPRODUCT(($C$9:$G$9="CO3")*ISNUMBER($C$10:$G$10)*ISNUMBER(C143:G143)*C143:G143) /
         SUMPRODUCT(($C$9:$G$9="CO3")*ISNUMBER($C$10:$G$10)*ISNUMBER(C143:G143)*$C$10:$G$10) * 0.15
       ) +
       IF(
         SUMPRODUCT(($H$9:$Z$9="CO3")*ISNUMBER($H$10:$Z$10)*ISNUMBER(H143:Z143)) = 0,
         0,
         SUMPRODUCT(($H$9:$Z$9="CO3")*ISNUMBER($H$10:$Z$10)*ISNUMBER(H143:Z143)*H143:Z143) /
         SUMPRODUCT(($H$9:$Z$9="CO3")*ISNUMBER($H$10:$Z$10)*ISNUMBER(H143:Z143)*$H$10:$Z$10) * 0.85
       )
     ) * 100,
     ""
   )
)</f>
        <v/>
      </c>
      <c r="AD143" s="1" t="str" cm="1">
        <f t="array" ref="AD143">IF(
   SUMPRODUCT(($C$9:$G$9="CO4")*ISNUMBER($C$10:$G$10)*ISNUMBER(C143:G143)) +
   SUMPRODUCT(($H$9:$Z$9="CO4")*ISNUMBER($H$10:$Z$10)*ISNUMBER(H143:Z143)) = 0,
   "",
   IFERROR(
     (
       IF(
         SUMPRODUCT(($C$9:$G$9="CO4")*ISNUMBER($C$10:$G$10)*ISNUMBER(C143:G143)) = 0,
         0,
         SUMPRODUCT(($C$9:$G$9="CO4")*ISNUMBER($C$10:$G$10)*ISNUMBER(C143:G143)*C143:G143) /
         SUMPRODUCT(($C$9:$G$9="CO4")*ISNUMBER($C$10:$G$10)*ISNUMBER(C143:G143)*$C$10:$G$10) * 0.15
       ) +
       IF(
         SUMPRODUCT(($H$9:$Z$9="CO4")*ISNUMBER($H$10:$Z$10)*ISNUMBER(H143:Z143)) = 0,
         0,
         SUMPRODUCT(($H$9:$Z$9="CO4")*ISNUMBER($H$10:$Z$10)*ISNUMBER(H143:Z143)*H143:Z143) /
         SUMPRODUCT(($H$9:$Z$9="CO4")*ISNUMBER($H$10:$Z$10)*ISNUMBER(H143:Z143)*$H$10:$Z$10) * 0.85
       )
     ) * 100,
     ""
   )
)</f>
        <v/>
      </c>
      <c r="AE143" s="1" t="str" cm="1">
        <f t="array" ref="AE143">IF(
   SUMPRODUCT(($C$9:$G$9="CO5")*ISNUMBER($C$10:$G$10)*ISNUMBER(C143:G143)) +
   SUMPRODUCT(($H$9:$Z$9="CO5")*ISNUMBER($H$10:$Z$10)*ISNUMBER(H143:Z143)) = 0,
   "",
   IFERROR(
     (
       IF(
         SUMPRODUCT(($C$9:$G$9="CO5")*ISNUMBER($C$10:$G$10)*ISNUMBER(C143:G143)) = 0,
         0,
         SUMPRODUCT(($C$9:$G$9="CO5")*ISNUMBER($C$10:$G$10)*ISNUMBER(C143:G143)*C143:G143) /
         SUMPRODUCT(($C$9:$G$9="CO5")*ISNUMBER($C$10:$G$10)*ISNUMBER(C143:G143)*$C$10:$G$10) * 0.15
       ) +
       IF(
         SUMPRODUCT(($H$9:$Z$9="CO5")*ISNUMBER($H$10:$Z$10)*ISNUMBER(H143:Z143)) = 0,
         0,
         SUMPRODUCT(($H$9:$Z$9="CO5")*ISNUMBER($H$10:$Z$10)*ISNUMBER(H143:Z143)*H143:Z143) /
         SUMPRODUCT(($H$9:$Z$9="CO5")*ISNUMBER($H$10:$Z$10)*ISNUMBER(H143:Z143)*$H$10:$Z$10) * 0.85
       )
     ) * 100,
     ""
   )
)</f>
        <v/>
      </c>
      <c r="AF143" s="1" t="str" cm="1">
        <f t="array" ref="AF143">IF(
   SUMPRODUCT(($C$9:$G$9="CO6")*ISNUMBER($C$10:$G$10)*ISNUMBER(C143:G143)) +
   SUMPRODUCT(($H$9:$Z$9="CO6")*ISNUMBER($H$10:$Z$10)*ISNUMBER(H143:Z143)) = 0,
   "",
   IFERROR(
     (
       IF(
         SUMPRODUCT(($C$9:$G$9="CO6")*ISNUMBER($C$10:$G$10)*ISNUMBER(C143:G143)) = 0,
         0,
         SUMPRODUCT(($C$9:$G$9="CO6")*ISNUMBER($C$10:$G$10)*ISNUMBER(C143:G143)*C143:G143) /
         SUMPRODUCT(($C$9:$G$9="CO6")*ISNUMBER($C$10:$G$10)*ISNUMBER(C143:G143)*$C$10:$G$10) * 0.15
       ) +
       IF(
         SUMPRODUCT(($H$9:$Z$9="CO6")*ISNUMBER($H$10:$Z$10)*ISNUMBER(H143:Z143)) = 0,
         0,
         SUMPRODUCT(($H$9:$Z$9="CO6")*ISNUMBER($H$10:$Z$10)*ISNUMBER(H143:Z143)*H143:Z143) /
         SUMPRODUCT(($H$9:$Z$9="CO6")*ISNUMBER($H$10:$Z$10)*ISNUMBER(H143:Z143)*$H$10:$Z$10) * 0.85
       )
     ) * 100,
     ""
   )
)</f>
        <v/>
      </c>
      <c r="AG143" s="1" t="str" cm="1">
        <f t="array" ref="AG143">IF(
   SUMPRODUCT(($C$9:$G$9="CO7")*ISNUMBER($C$10:$G$10)*ISNUMBER(C143:G143)) +
   SUMPRODUCT(($H$9:$Z$9="CO7")*ISNUMBER($H$10:$Z$10)*ISNUMBER(H143:Z143)) = 0,
   "",
   IFERROR(
     (
       IF(
         SUMPRODUCT(($C$9:$G$9="CO7")*ISNUMBER($C$10:$G$10)*ISNUMBER(C143:G143)) = 0,
         0,
         SUMPRODUCT(($C$9:$G$9="CO7")*ISNUMBER($C$10:$G$10)*ISNUMBER(C143:G143)*C143:G143) /
         SUMPRODUCT(($C$9:$G$9="CO7")*ISNUMBER($C$10:$G$10)*ISNUMBER(C143:G143)*$C$10:$G$10) * 0.15
       ) +
       IF(
         SUMPRODUCT(($H$9:$Z$9="CO7")*ISNUMBER($H$10:$Z$10)*ISNUMBER(H143:Z143)) = 0,
         0,
         SUMPRODUCT(($H$9:$Z$9="CO7")*ISNUMBER($H$10:$Z$10)*ISNUMBER(H143:Z143)*H143:Z143) /
         SUMPRODUCT(($H$9:$Z$9="CO7")*ISNUMBER($H$10:$Z$10)*ISNUMBER(H143:Z143)*$H$10:$Z$10) * 0.85
       )
     ) * 100,
     ""
   )
)</f>
        <v/>
      </c>
      <c r="AH143" s="3" t="str" cm="1">
        <f t="array" ref="AH143">IF(
   SUMPRODUCT(($C$9:$G$9="CO8")*ISNUMBER($C$10:$G$10)*ISNUMBER(C143:G143)) +
   SUMPRODUCT(($H$9:$Z$9="CO8")*ISNUMBER($H$10:$Z$10)*ISNUMBER(H143:Z143)) = 0,
   "",
   IFERROR(
     (
       IF(
         SUMPRODUCT(($C$9:$G$9="CO8")*ISNUMBER($C$10:$G$10)*ISNUMBER(C143:G143)) = 0,
         0,
         SUMPRODUCT(($C$9:$G$9="CO8")*ISNUMBER($C$10:$G$10)*ISNUMBER(C143:G143)*C143:G143) /
         SUMPRODUCT(($C$9:$G$9="CO8")*ISNUMBER($C$10:$G$10)*ISNUMBER(C143:G143)*$C$10:$G$10) * 0.15
       ) +
       IF(
         SUMPRODUCT(($H$9:$Z$9="CO8")*ISNUMBER($H$10:$Z$10)*ISNUMBER(H143:Z143)) = 0,
         0,
         SUMPRODUCT(($H$9:$Z$9="CO8")*ISNUMBER($H$10:$Z$10)*ISNUMBER(H143:Z143)*H143:Z143) /
         SUMPRODUCT(($H$9:$Z$9="CO8")*ISNUMBER($H$10:$Z$10)*ISNUMBER(H143:Z143)*$H$10:$Z$10) * 0.85
       )
     ) * 100,
     ""
   )
)</f>
        <v/>
      </c>
      <c r="AI143" s="1" t="str">
        <f t="shared" si="17"/>
        <v/>
      </c>
      <c r="AJ143" s="1" t="str">
        <f t="shared" si="17"/>
        <v/>
      </c>
      <c r="AK143" s="1" t="str">
        <f t="shared" si="17"/>
        <v/>
      </c>
      <c r="AL143" s="1" t="str">
        <f t="shared" si="17"/>
        <v/>
      </c>
      <c r="AM143" s="1" t="str">
        <f t="shared" si="17"/>
        <v/>
      </c>
      <c r="AN143" s="1" t="str">
        <f t="shared" si="17"/>
        <v/>
      </c>
      <c r="AO143" s="1" t="str">
        <f t="shared" si="17"/>
        <v/>
      </c>
      <c r="AP143" s="1" t="str">
        <f t="shared" si="17"/>
        <v/>
      </c>
    </row>
    <row r="144" spans="1:42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" t="str" cm="1">
        <f t="array" ref="AA144">IF(
   SUMPRODUCT(($C$9:$G$9="CO1")*ISNUMBER($C$10:$G$10)*ISNUMBER(C144:G144)) +
   SUMPRODUCT(($H$9:$Z$9="CO1")*ISNUMBER($H$10:$Z$10)*ISNUMBER(H144:Z144)) = 0,
   "",
   IFERROR(
     (
       IF(
         SUMPRODUCT(($C$9:$G$9="CO1")*ISNUMBER($C$10:$G$10)*ISNUMBER(C144:G144)) = 0,
         0,
         SUMPRODUCT(($C$9:$G$9="CO1")*ISNUMBER($C$10:$G$10)*ISNUMBER(C144:G144)*C144:G144) /
         SUMPRODUCT(($C$9:$G$9="CO1")*ISNUMBER($C$10:$G$10)*ISNUMBER(C144:G144)*$C$10:$G$10) * 0.15
       ) +
       IF(
         SUMPRODUCT(($H$9:$Z$9="CO1")*ISNUMBER($H$10:$Z$10)*ISNUMBER(H144:Z144)) = 0,
         0,
         SUMPRODUCT(($H$9:$Z$9="CO1")*ISNUMBER($H$10:$Z$10)*ISNUMBER(H144:Z144)*H144:Z144) /
         SUMPRODUCT(($H$9:$Z$9="CO1")*ISNUMBER($H$10:$Z$10)*ISNUMBER(H144:Z144)*$H$10:$Z$10) * 0.85
       )
     ) * 100,
     ""
   )
)</f>
        <v/>
      </c>
      <c r="AB144" s="1" t="str" cm="1">
        <f t="array" ref="AB144">IF(
   SUMPRODUCT(($C$9:$G$9="CO2")*ISNUMBER($C$10:$G$10)*ISNUMBER(C144:G144)) +
   SUMPRODUCT(($H$9:$Z$9="CO2")*ISNUMBER($H$10:$Z$10)*ISNUMBER(H144:Z144)) = 0,
   "",
   IFERROR(
     (
       IF(
         SUMPRODUCT(($C$9:$G$9="CO2")*ISNUMBER($C$10:$G$10)*ISNUMBER(C144:G144)) = 0,
         0,
         SUMPRODUCT(($C$9:$G$9="CO2")*ISNUMBER($C$10:$G$10)*ISNUMBER(C144:G144)*C144:G144) /
         SUMPRODUCT(($C$9:$G$9="CO2")*ISNUMBER($C$10:$G$10)*ISNUMBER(C144:G144)*$C$10:$G$10) * 0.15
       ) +
       IF(
         SUMPRODUCT(($H$9:$Z$9="CO2")*ISNUMBER($H$10:$Z$10)*ISNUMBER(H144:Z144)) = 0,
         0,
         SUMPRODUCT(($H$9:$Z$9="CO2")*ISNUMBER($H$10:$Z$10)*ISNUMBER(H144:Z144)*H144:Z144) /
         SUMPRODUCT(($H$9:$Z$9="CO2")*ISNUMBER($H$10:$Z$10)*ISNUMBER(H144:Z144)*$H$10:$Z$10) * 0.85
       )
     ) * 100,
     ""
   )
)</f>
        <v/>
      </c>
      <c r="AC144" s="1" t="str" cm="1">
        <f t="array" ref="AC144">IF(
   SUMPRODUCT(($C$9:$G$9="CO3")*ISNUMBER($C$10:$G$10)*ISNUMBER(C144:G144)) +
   SUMPRODUCT(($H$9:$Z$9="CO3")*ISNUMBER($H$10:$Z$10)*ISNUMBER(H144:Z144)) = 0,
   "",
   IFERROR(
     (
       IF(
         SUMPRODUCT(($C$9:$G$9="CO3")*ISNUMBER($C$10:$G$10)*ISNUMBER(C144:G144)) = 0,
         0,
         SUMPRODUCT(($C$9:$G$9="CO3")*ISNUMBER($C$10:$G$10)*ISNUMBER(C144:G144)*C144:G144) /
         SUMPRODUCT(($C$9:$G$9="CO3")*ISNUMBER($C$10:$G$10)*ISNUMBER(C144:G144)*$C$10:$G$10) * 0.15
       ) +
       IF(
         SUMPRODUCT(($H$9:$Z$9="CO3")*ISNUMBER($H$10:$Z$10)*ISNUMBER(H144:Z144)) = 0,
         0,
         SUMPRODUCT(($H$9:$Z$9="CO3")*ISNUMBER($H$10:$Z$10)*ISNUMBER(H144:Z144)*H144:Z144) /
         SUMPRODUCT(($H$9:$Z$9="CO3")*ISNUMBER($H$10:$Z$10)*ISNUMBER(H144:Z144)*$H$10:$Z$10) * 0.85
       )
     ) * 100,
     ""
   )
)</f>
        <v/>
      </c>
      <c r="AD144" s="1" t="str" cm="1">
        <f t="array" ref="AD144">IF(
   SUMPRODUCT(($C$9:$G$9="CO4")*ISNUMBER($C$10:$G$10)*ISNUMBER(C144:G144)) +
   SUMPRODUCT(($H$9:$Z$9="CO4")*ISNUMBER($H$10:$Z$10)*ISNUMBER(H144:Z144)) = 0,
   "",
   IFERROR(
     (
       IF(
         SUMPRODUCT(($C$9:$G$9="CO4")*ISNUMBER($C$10:$G$10)*ISNUMBER(C144:G144)) = 0,
         0,
         SUMPRODUCT(($C$9:$G$9="CO4")*ISNUMBER($C$10:$G$10)*ISNUMBER(C144:G144)*C144:G144) /
         SUMPRODUCT(($C$9:$G$9="CO4")*ISNUMBER($C$10:$G$10)*ISNUMBER(C144:G144)*$C$10:$G$10) * 0.15
       ) +
       IF(
         SUMPRODUCT(($H$9:$Z$9="CO4")*ISNUMBER($H$10:$Z$10)*ISNUMBER(H144:Z144)) = 0,
         0,
         SUMPRODUCT(($H$9:$Z$9="CO4")*ISNUMBER($H$10:$Z$10)*ISNUMBER(H144:Z144)*H144:Z144) /
         SUMPRODUCT(($H$9:$Z$9="CO4")*ISNUMBER($H$10:$Z$10)*ISNUMBER(H144:Z144)*$H$10:$Z$10) * 0.85
       )
     ) * 100,
     ""
   )
)</f>
        <v/>
      </c>
      <c r="AE144" s="1" t="str" cm="1">
        <f t="array" ref="AE144">IF(
   SUMPRODUCT(($C$9:$G$9="CO5")*ISNUMBER($C$10:$G$10)*ISNUMBER(C144:G144)) +
   SUMPRODUCT(($H$9:$Z$9="CO5")*ISNUMBER($H$10:$Z$10)*ISNUMBER(H144:Z144)) = 0,
   "",
   IFERROR(
     (
       IF(
         SUMPRODUCT(($C$9:$G$9="CO5")*ISNUMBER($C$10:$G$10)*ISNUMBER(C144:G144)) = 0,
         0,
         SUMPRODUCT(($C$9:$G$9="CO5")*ISNUMBER($C$10:$G$10)*ISNUMBER(C144:G144)*C144:G144) /
         SUMPRODUCT(($C$9:$G$9="CO5")*ISNUMBER($C$10:$G$10)*ISNUMBER(C144:G144)*$C$10:$G$10) * 0.15
       ) +
       IF(
         SUMPRODUCT(($H$9:$Z$9="CO5")*ISNUMBER($H$10:$Z$10)*ISNUMBER(H144:Z144)) = 0,
         0,
         SUMPRODUCT(($H$9:$Z$9="CO5")*ISNUMBER($H$10:$Z$10)*ISNUMBER(H144:Z144)*H144:Z144) /
         SUMPRODUCT(($H$9:$Z$9="CO5")*ISNUMBER($H$10:$Z$10)*ISNUMBER(H144:Z144)*$H$10:$Z$10) * 0.85
       )
     ) * 100,
     ""
   )
)</f>
        <v/>
      </c>
      <c r="AF144" s="1" t="str" cm="1">
        <f t="array" ref="AF144">IF(
   SUMPRODUCT(($C$9:$G$9="CO6")*ISNUMBER($C$10:$G$10)*ISNUMBER(C144:G144)) +
   SUMPRODUCT(($H$9:$Z$9="CO6")*ISNUMBER($H$10:$Z$10)*ISNUMBER(H144:Z144)) = 0,
   "",
   IFERROR(
     (
       IF(
         SUMPRODUCT(($C$9:$G$9="CO6")*ISNUMBER($C$10:$G$10)*ISNUMBER(C144:G144)) = 0,
         0,
         SUMPRODUCT(($C$9:$G$9="CO6")*ISNUMBER($C$10:$G$10)*ISNUMBER(C144:G144)*C144:G144) /
         SUMPRODUCT(($C$9:$G$9="CO6")*ISNUMBER($C$10:$G$10)*ISNUMBER(C144:G144)*$C$10:$G$10) * 0.15
       ) +
       IF(
         SUMPRODUCT(($H$9:$Z$9="CO6")*ISNUMBER($H$10:$Z$10)*ISNUMBER(H144:Z144)) = 0,
         0,
         SUMPRODUCT(($H$9:$Z$9="CO6")*ISNUMBER($H$10:$Z$10)*ISNUMBER(H144:Z144)*H144:Z144) /
         SUMPRODUCT(($H$9:$Z$9="CO6")*ISNUMBER($H$10:$Z$10)*ISNUMBER(H144:Z144)*$H$10:$Z$10) * 0.85
       )
     ) * 100,
     ""
   )
)</f>
        <v/>
      </c>
      <c r="AG144" s="1" t="str" cm="1">
        <f t="array" ref="AG144">IF(
   SUMPRODUCT(($C$9:$G$9="CO7")*ISNUMBER($C$10:$G$10)*ISNUMBER(C144:G144)) +
   SUMPRODUCT(($H$9:$Z$9="CO7")*ISNUMBER($H$10:$Z$10)*ISNUMBER(H144:Z144)) = 0,
   "",
   IFERROR(
     (
       IF(
         SUMPRODUCT(($C$9:$G$9="CO7")*ISNUMBER($C$10:$G$10)*ISNUMBER(C144:G144)) = 0,
         0,
         SUMPRODUCT(($C$9:$G$9="CO7")*ISNUMBER($C$10:$G$10)*ISNUMBER(C144:G144)*C144:G144) /
         SUMPRODUCT(($C$9:$G$9="CO7")*ISNUMBER($C$10:$G$10)*ISNUMBER(C144:G144)*$C$10:$G$10) * 0.15
       ) +
       IF(
         SUMPRODUCT(($H$9:$Z$9="CO7")*ISNUMBER($H$10:$Z$10)*ISNUMBER(H144:Z144)) = 0,
         0,
         SUMPRODUCT(($H$9:$Z$9="CO7")*ISNUMBER($H$10:$Z$10)*ISNUMBER(H144:Z144)*H144:Z144) /
         SUMPRODUCT(($H$9:$Z$9="CO7")*ISNUMBER($H$10:$Z$10)*ISNUMBER(H144:Z144)*$H$10:$Z$10) * 0.85
       )
     ) * 100,
     ""
   )
)</f>
        <v/>
      </c>
      <c r="AH144" s="3" t="str" cm="1">
        <f t="array" ref="AH144">IF(
   SUMPRODUCT(($C$9:$G$9="CO8")*ISNUMBER($C$10:$G$10)*ISNUMBER(C144:G144)) +
   SUMPRODUCT(($H$9:$Z$9="CO8")*ISNUMBER($H$10:$Z$10)*ISNUMBER(H144:Z144)) = 0,
   "",
   IFERROR(
     (
       IF(
         SUMPRODUCT(($C$9:$G$9="CO8")*ISNUMBER($C$10:$G$10)*ISNUMBER(C144:G144)) = 0,
         0,
         SUMPRODUCT(($C$9:$G$9="CO8")*ISNUMBER($C$10:$G$10)*ISNUMBER(C144:G144)*C144:G144) /
         SUMPRODUCT(($C$9:$G$9="CO8")*ISNUMBER($C$10:$G$10)*ISNUMBER(C144:G144)*$C$10:$G$10) * 0.15
       ) +
       IF(
         SUMPRODUCT(($H$9:$Z$9="CO8")*ISNUMBER($H$10:$Z$10)*ISNUMBER(H144:Z144)) = 0,
         0,
         SUMPRODUCT(($H$9:$Z$9="CO8")*ISNUMBER($H$10:$Z$10)*ISNUMBER(H144:Z144)*H144:Z144) /
         SUMPRODUCT(($H$9:$Z$9="CO8")*ISNUMBER($H$10:$Z$10)*ISNUMBER(H144:Z144)*$H$10:$Z$10) * 0.85
       )
     ) * 100,
     ""
   )
)</f>
        <v/>
      </c>
      <c r="AI144" s="1" t="str">
        <f t="shared" si="17"/>
        <v/>
      </c>
      <c r="AJ144" s="1" t="str">
        <f t="shared" si="17"/>
        <v/>
      </c>
      <c r="AK144" s="1" t="str">
        <f t="shared" si="17"/>
        <v/>
      </c>
      <c r="AL144" s="1" t="str">
        <f t="shared" si="17"/>
        <v/>
      </c>
      <c r="AM144" s="1" t="str">
        <f t="shared" si="17"/>
        <v/>
      </c>
      <c r="AN144" s="1" t="str">
        <f t="shared" si="17"/>
        <v/>
      </c>
      <c r="AO144" s="1" t="str">
        <f t="shared" si="17"/>
        <v/>
      </c>
      <c r="AP144" s="1" t="str">
        <f t="shared" si="17"/>
        <v/>
      </c>
    </row>
    <row r="145" spans="1:42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" t="str" cm="1">
        <f t="array" ref="AA145">IF(
   SUMPRODUCT(($C$9:$G$9="CO1")*ISNUMBER($C$10:$G$10)*ISNUMBER(C145:G145)) +
   SUMPRODUCT(($H$9:$Z$9="CO1")*ISNUMBER($H$10:$Z$10)*ISNUMBER(H145:Z145)) = 0,
   "",
   IFERROR(
     (
       IF(
         SUMPRODUCT(($C$9:$G$9="CO1")*ISNUMBER($C$10:$G$10)*ISNUMBER(C145:G145)) = 0,
         0,
         SUMPRODUCT(($C$9:$G$9="CO1")*ISNUMBER($C$10:$G$10)*ISNUMBER(C145:G145)*C145:G145) /
         SUMPRODUCT(($C$9:$G$9="CO1")*ISNUMBER($C$10:$G$10)*ISNUMBER(C145:G145)*$C$10:$G$10) * 0.15
       ) +
       IF(
         SUMPRODUCT(($H$9:$Z$9="CO1")*ISNUMBER($H$10:$Z$10)*ISNUMBER(H145:Z145)) = 0,
         0,
         SUMPRODUCT(($H$9:$Z$9="CO1")*ISNUMBER($H$10:$Z$10)*ISNUMBER(H145:Z145)*H145:Z145) /
         SUMPRODUCT(($H$9:$Z$9="CO1")*ISNUMBER($H$10:$Z$10)*ISNUMBER(H145:Z145)*$H$10:$Z$10) * 0.85
       )
     ) * 100,
     ""
   )
)</f>
        <v/>
      </c>
      <c r="AB145" s="1" t="str" cm="1">
        <f t="array" ref="AB145">IF(
   SUMPRODUCT(($C$9:$G$9="CO2")*ISNUMBER($C$10:$G$10)*ISNUMBER(C145:G145)) +
   SUMPRODUCT(($H$9:$Z$9="CO2")*ISNUMBER($H$10:$Z$10)*ISNUMBER(H145:Z145)) = 0,
   "",
   IFERROR(
     (
       IF(
         SUMPRODUCT(($C$9:$G$9="CO2")*ISNUMBER($C$10:$G$10)*ISNUMBER(C145:G145)) = 0,
         0,
         SUMPRODUCT(($C$9:$G$9="CO2")*ISNUMBER($C$10:$G$10)*ISNUMBER(C145:G145)*C145:G145) /
         SUMPRODUCT(($C$9:$G$9="CO2")*ISNUMBER($C$10:$G$10)*ISNUMBER(C145:G145)*$C$10:$G$10) * 0.15
       ) +
       IF(
         SUMPRODUCT(($H$9:$Z$9="CO2")*ISNUMBER($H$10:$Z$10)*ISNUMBER(H145:Z145)) = 0,
         0,
         SUMPRODUCT(($H$9:$Z$9="CO2")*ISNUMBER($H$10:$Z$10)*ISNUMBER(H145:Z145)*H145:Z145) /
         SUMPRODUCT(($H$9:$Z$9="CO2")*ISNUMBER($H$10:$Z$10)*ISNUMBER(H145:Z145)*$H$10:$Z$10) * 0.85
       )
     ) * 100,
     ""
   )
)</f>
        <v/>
      </c>
      <c r="AC145" s="1" t="str" cm="1">
        <f t="array" ref="AC145">IF(
   SUMPRODUCT(($C$9:$G$9="CO3")*ISNUMBER($C$10:$G$10)*ISNUMBER(C145:G145)) +
   SUMPRODUCT(($H$9:$Z$9="CO3")*ISNUMBER($H$10:$Z$10)*ISNUMBER(H145:Z145)) = 0,
   "",
   IFERROR(
     (
       IF(
         SUMPRODUCT(($C$9:$G$9="CO3")*ISNUMBER($C$10:$G$10)*ISNUMBER(C145:G145)) = 0,
         0,
         SUMPRODUCT(($C$9:$G$9="CO3")*ISNUMBER($C$10:$G$10)*ISNUMBER(C145:G145)*C145:G145) /
         SUMPRODUCT(($C$9:$G$9="CO3")*ISNUMBER($C$10:$G$10)*ISNUMBER(C145:G145)*$C$10:$G$10) * 0.15
       ) +
       IF(
         SUMPRODUCT(($H$9:$Z$9="CO3")*ISNUMBER($H$10:$Z$10)*ISNUMBER(H145:Z145)) = 0,
         0,
         SUMPRODUCT(($H$9:$Z$9="CO3")*ISNUMBER($H$10:$Z$10)*ISNUMBER(H145:Z145)*H145:Z145) /
         SUMPRODUCT(($H$9:$Z$9="CO3")*ISNUMBER($H$10:$Z$10)*ISNUMBER(H145:Z145)*$H$10:$Z$10) * 0.85
       )
     ) * 100,
     ""
   )
)</f>
        <v/>
      </c>
      <c r="AD145" s="1" t="str" cm="1">
        <f t="array" ref="AD145">IF(
   SUMPRODUCT(($C$9:$G$9="CO4")*ISNUMBER($C$10:$G$10)*ISNUMBER(C145:G145)) +
   SUMPRODUCT(($H$9:$Z$9="CO4")*ISNUMBER($H$10:$Z$10)*ISNUMBER(H145:Z145)) = 0,
   "",
   IFERROR(
     (
       IF(
         SUMPRODUCT(($C$9:$G$9="CO4")*ISNUMBER($C$10:$G$10)*ISNUMBER(C145:G145)) = 0,
         0,
         SUMPRODUCT(($C$9:$G$9="CO4")*ISNUMBER($C$10:$G$10)*ISNUMBER(C145:G145)*C145:G145) /
         SUMPRODUCT(($C$9:$G$9="CO4")*ISNUMBER($C$10:$G$10)*ISNUMBER(C145:G145)*$C$10:$G$10) * 0.15
       ) +
       IF(
         SUMPRODUCT(($H$9:$Z$9="CO4")*ISNUMBER($H$10:$Z$10)*ISNUMBER(H145:Z145)) = 0,
         0,
         SUMPRODUCT(($H$9:$Z$9="CO4")*ISNUMBER($H$10:$Z$10)*ISNUMBER(H145:Z145)*H145:Z145) /
         SUMPRODUCT(($H$9:$Z$9="CO4")*ISNUMBER($H$10:$Z$10)*ISNUMBER(H145:Z145)*$H$10:$Z$10) * 0.85
       )
     ) * 100,
     ""
   )
)</f>
        <v/>
      </c>
      <c r="AE145" s="1" t="str" cm="1">
        <f t="array" ref="AE145">IF(
   SUMPRODUCT(($C$9:$G$9="CO5")*ISNUMBER($C$10:$G$10)*ISNUMBER(C145:G145)) +
   SUMPRODUCT(($H$9:$Z$9="CO5")*ISNUMBER($H$10:$Z$10)*ISNUMBER(H145:Z145)) = 0,
   "",
   IFERROR(
     (
       IF(
         SUMPRODUCT(($C$9:$G$9="CO5")*ISNUMBER($C$10:$G$10)*ISNUMBER(C145:G145)) = 0,
         0,
         SUMPRODUCT(($C$9:$G$9="CO5")*ISNUMBER($C$10:$G$10)*ISNUMBER(C145:G145)*C145:G145) /
         SUMPRODUCT(($C$9:$G$9="CO5")*ISNUMBER($C$10:$G$10)*ISNUMBER(C145:G145)*$C$10:$G$10) * 0.15
       ) +
       IF(
         SUMPRODUCT(($H$9:$Z$9="CO5")*ISNUMBER($H$10:$Z$10)*ISNUMBER(H145:Z145)) = 0,
         0,
         SUMPRODUCT(($H$9:$Z$9="CO5")*ISNUMBER($H$10:$Z$10)*ISNUMBER(H145:Z145)*H145:Z145) /
         SUMPRODUCT(($H$9:$Z$9="CO5")*ISNUMBER($H$10:$Z$10)*ISNUMBER(H145:Z145)*$H$10:$Z$10) * 0.85
       )
     ) * 100,
     ""
   )
)</f>
        <v/>
      </c>
      <c r="AF145" s="1" t="str" cm="1">
        <f t="array" ref="AF145">IF(
   SUMPRODUCT(($C$9:$G$9="CO6")*ISNUMBER($C$10:$G$10)*ISNUMBER(C145:G145)) +
   SUMPRODUCT(($H$9:$Z$9="CO6")*ISNUMBER($H$10:$Z$10)*ISNUMBER(H145:Z145)) = 0,
   "",
   IFERROR(
     (
       IF(
         SUMPRODUCT(($C$9:$G$9="CO6")*ISNUMBER($C$10:$G$10)*ISNUMBER(C145:G145)) = 0,
         0,
         SUMPRODUCT(($C$9:$G$9="CO6")*ISNUMBER($C$10:$G$10)*ISNUMBER(C145:G145)*C145:G145) /
         SUMPRODUCT(($C$9:$G$9="CO6")*ISNUMBER($C$10:$G$10)*ISNUMBER(C145:G145)*$C$10:$G$10) * 0.15
       ) +
       IF(
         SUMPRODUCT(($H$9:$Z$9="CO6")*ISNUMBER($H$10:$Z$10)*ISNUMBER(H145:Z145)) = 0,
         0,
         SUMPRODUCT(($H$9:$Z$9="CO6")*ISNUMBER($H$10:$Z$10)*ISNUMBER(H145:Z145)*H145:Z145) /
         SUMPRODUCT(($H$9:$Z$9="CO6")*ISNUMBER($H$10:$Z$10)*ISNUMBER(H145:Z145)*$H$10:$Z$10) * 0.85
       )
     ) * 100,
     ""
   )
)</f>
        <v/>
      </c>
      <c r="AG145" s="1" t="str" cm="1">
        <f t="array" ref="AG145">IF(
   SUMPRODUCT(($C$9:$G$9="CO7")*ISNUMBER($C$10:$G$10)*ISNUMBER(C145:G145)) +
   SUMPRODUCT(($H$9:$Z$9="CO7")*ISNUMBER($H$10:$Z$10)*ISNUMBER(H145:Z145)) = 0,
   "",
   IFERROR(
     (
       IF(
         SUMPRODUCT(($C$9:$G$9="CO7")*ISNUMBER($C$10:$G$10)*ISNUMBER(C145:G145)) = 0,
         0,
         SUMPRODUCT(($C$9:$G$9="CO7")*ISNUMBER($C$10:$G$10)*ISNUMBER(C145:G145)*C145:G145) /
         SUMPRODUCT(($C$9:$G$9="CO7")*ISNUMBER($C$10:$G$10)*ISNUMBER(C145:G145)*$C$10:$G$10) * 0.15
       ) +
       IF(
         SUMPRODUCT(($H$9:$Z$9="CO7")*ISNUMBER($H$10:$Z$10)*ISNUMBER(H145:Z145)) = 0,
         0,
         SUMPRODUCT(($H$9:$Z$9="CO7")*ISNUMBER($H$10:$Z$10)*ISNUMBER(H145:Z145)*H145:Z145) /
         SUMPRODUCT(($H$9:$Z$9="CO7")*ISNUMBER($H$10:$Z$10)*ISNUMBER(H145:Z145)*$H$10:$Z$10) * 0.85
       )
     ) * 100,
     ""
   )
)</f>
        <v/>
      </c>
      <c r="AH145" s="3" t="str" cm="1">
        <f t="array" ref="AH145">IF(
   SUMPRODUCT(($C$9:$G$9="CO8")*ISNUMBER($C$10:$G$10)*ISNUMBER(C145:G145)) +
   SUMPRODUCT(($H$9:$Z$9="CO8")*ISNUMBER($H$10:$Z$10)*ISNUMBER(H145:Z145)) = 0,
   "",
   IFERROR(
     (
       IF(
         SUMPRODUCT(($C$9:$G$9="CO8")*ISNUMBER($C$10:$G$10)*ISNUMBER(C145:G145)) = 0,
         0,
         SUMPRODUCT(($C$9:$G$9="CO8")*ISNUMBER($C$10:$G$10)*ISNUMBER(C145:G145)*C145:G145) /
         SUMPRODUCT(($C$9:$G$9="CO8")*ISNUMBER($C$10:$G$10)*ISNUMBER(C145:G145)*$C$10:$G$10) * 0.15
       ) +
       IF(
         SUMPRODUCT(($H$9:$Z$9="CO8")*ISNUMBER($H$10:$Z$10)*ISNUMBER(H145:Z145)) = 0,
         0,
         SUMPRODUCT(($H$9:$Z$9="CO8")*ISNUMBER($H$10:$Z$10)*ISNUMBER(H145:Z145)*H145:Z145) /
         SUMPRODUCT(($H$9:$Z$9="CO8")*ISNUMBER($H$10:$Z$10)*ISNUMBER(H145:Z145)*$H$10:$Z$10) * 0.85
       )
     ) * 100,
     ""
   )
)</f>
        <v/>
      </c>
      <c r="AI145" s="1" t="str">
        <f t="shared" si="17"/>
        <v/>
      </c>
      <c r="AJ145" s="1" t="str">
        <f t="shared" si="17"/>
        <v/>
      </c>
      <c r="AK145" s="1" t="str">
        <f t="shared" si="17"/>
        <v/>
      </c>
      <c r="AL145" s="1" t="str">
        <f t="shared" si="17"/>
        <v/>
      </c>
      <c r="AM145" s="1" t="str">
        <f t="shared" si="17"/>
        <v/>
      </c>
      <c r="AN145" s="1" t="str">
        <f t="shared" si="17"/>
        <v/>
      </c>
      <c r="AO145" s="1" t="str">
        <f t="shared" si="17"/>
        <v/>
      </c>
      <c r="AP145" s="1" t="str">
        <f t="shared" si="17"/>
        <v/>
      </c>
    </row>
    <row r="146" spans="1:42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" t="str" cm="1">
        <f t="array" ref="AA146">IF(
   SUMPRODUCT(($C$9:$G$9="CO1")*ISNUMBER($C$10:$G$10)*ISNUMBER(C146:G146)) +
   SUMPRODUCT(($H$9:$Z$9="CO1")*ISNUMBER($H$10:$Z$10)*ISNUMBER(H146:Z146)) = 0,
   "",
   IFERROR(
     (
       IF(
         SUMPRODUCT(($C$9:$G$9="CO1")*ISNUMBER($C$10:$G$10)*ISNUMBER(C146:G146)) = 0,
         0,
         SUMPRODUCT(($C$9:$G$9="CO1")*ISNUMBER($C$10:$G$10)*ISNUMBER(C146:G146)*C146:G146) /
         SUMPRODUCT(($C$9:$G$9="CO1")*ISNUMBER($C$10:$G$10)*ISNUMBER(C146:G146)*$C$10:$G$10) * 0.15
       ) +
       IF(
         SUMPRODUCT(($H$9:$Z$9="CO1")*ISNUMBER($H$10:$Z$10)*ISNUMBER(H146:Z146)) = 0,
         0,
         SUMPRODUCT(($H$9:$Z$9="CO1")*ISNUMBER($H$10:$Z$10)*ISNUMBER(H146:Z146)*H146:Z146) /
         SUMPRODUCT(($H$9:$Z$9="CO1")*ISNUMBER($H$10:$Z$10)*ISNUMBER(H146:Z146)*$H$10:$Z$10) * 0.85
       )
     ) * 100,
     ""
   )
)</f>
        <v/>
      </c>
      <c r="AB146" s="1" t="str" cm="1">
        <f t="array" ref="AB146">IF(
   SUMPRODUCT(($C$9:$G$9="CO2")*ISNUMBER($C$10:$G$10)*ISNUMBER(C146:G146)) +
   SUMPRODUCT(($H$9:$Z$9="CO2")*ISNUMBER($H$10:$Z$10)*ISNUMBER(H146:Z146)) = 0,
   "",
   IFERROR(
     (
       IF(
         SUMPRODUCT(($C$9:$G$9="CO2")*ISNUMBER($C$10:$G$10)*ISNUMBER(C146:G146)) = 0,
         0,
         SUMPRODUCT(($C$9:$G$9="CO2")*ISNUMBER($C$10:$G$10)*ISNUMBER(C146:G146)*C146:G146) /
         SUMPRODUCT(($C$9:$G$9="CO2")*ISNUMBER($C$10:$G$10)*ISNUMBER(C146:G146)*$C$10:$G$10) * 0.15
       ) +
       IF(
         SUMPRODUCT(($H$9:$Z$9="CO2")*ISNUMBER($H$10:$Z$10)*ISNUMBER(H146:Z146)) = 0,
         0,
         SUMPRODUCT(($H$9:$Z$9="CO2")*ISNUMBER($H$10:$Z$10)*ISNUMBER(H146:Z146)*H146:Z146) /
         SUMPRODUCT(($H$9:$Z$9="CO2")*ISNUMBER($H$10:$Z$10)*ISNUMBER(H146:Z146)*$H$10:$Z$10) * 0.85
       )
     ) * 100,
     ""
   )
)</f>
        <v/>
      </c>
      <c r="AC146" s="1" t="str" cm="1">
        <f t="array" ref="AC146">IF(
   SUMPRODUCT(($C$9:$G$9="CO3")*ISNUMBER($C$10:$G$10)*ISNUMBER(C146:G146)) +
   SUMPRODUCT(($H$9:$Z$9="CO3")*ISNUMBER($H$10:$Z$10)*ISNUMBER(H146:Z146)) = 0,
   "",
   IFERROR(
     (
       IF(
         SUMPRODUCT(($C$9:$G$9="CO3")*ISNUMBER($C$10:$G$10)*ISNUMBER(C146:G146)) = 0,
         0,
         SUMPRODUCT(($C$9:$G$9="CO3")*ISNUMBER($C$10:$G$10)*ISNUMBER(C146:G146)*C146:G146) /
         SUMPRODUCT(($C$9:$G$9="CO3")*ISNUMBER($C$10:$G$10)*ISNUMBER(C146:G146)*$C$10:$G$10) * 0.15
       ) +
       IF(
         SUMPRODUCT(($H$9:$Z$9="CO3")*ISNUMBER($H$10:$Z$10)*ISNUMBER(H146:Z146)) = 0,
         0,
         SUMPRODUCT(($H$9:$Z$9="CO3")*ISNUMBER($H$10:$Z$10)*ISNUMBER(H146:Z146)*H146:Z146) /
         SUMPRODUCT(($H$9:$Z$9="CO3")*ISNUMBER($H$10:$Z$10)*ISNUMBER(H146:Z146)*$H$10:$Z$10) * 0.85
       )
     ) * 100,
     ""
   )
)</f>
        <v/>
      </c>
      <c r="AD146" s="1" t="str" cm="1">
        <f t="array" ref="AD146">IF(
   SUMPRODUCT(($C$9:$G$9="CO4")*ISNUMBER($C$10:$G$10)*ISNUMBER(C146:G146)) +
   SUMPRODUCT(($H$9:$Z$9="CO4")*ISNUMBER($H$10:$Z$10)*ISNUMBER(H146:Z146)) = 0,
   "",
   IFERROR(
     (
       IF(
         SUMPRODUCT(($C$9:$G$9="CO4")*ISNUMBER($C$10:$G$10)*ISNUMBER(C146:G146)) = 0,
         0,
         SUMPRODUCT(($C$9:$G$9="CO4")*ISNUMBER($C$10:$G$10)*ISNUMBER(C146:G146)*C146:G146) /
         SUMPRODUCT(($C$9:$G$9="CO4")*ISNUMBER($C$10:$G$10)*ISNUMBER(C146:G146)*$C$10:$G$10) * 0.15
       ) +
       IF(
         SUMPRODUCT(($H$9:$Z$9="CO4")*ISNUMBER($H$10:$Z$10)*ISNUMBER(H146:Z146)) = 0,
         0,
         SUMPRODUCT(($H$9:$Z$9="CO4")*ISNUMBER($H$10:$Z$10)*ISNUMBER(H146:Z146)*H146:Z146) /
         SUMPRODUCT(($H$9:$Z$9="CO4")*ISNUMBER($H$10:$Z$10)*ISNUMBER(H146:Z146)*$H$10:$Z$10) * 0.85
       )
     ) * 100,
     ""
   )
)</f>
        <v/>
      </c>
      <c r="AE146" s="1" t="str" cm="1">
        <f t="array" ref="AE146">IF(
   SUMPRODUCT(($C$9:$G$9="CO5")*ISNUMBER($C$10:$G$10)*ISNUMBER(C146:G146)) +
   SUMPRODUCT(($H$9:$Z$9="CO5")*ISNUMBER($H$10:$Z$10)*ISNUMBER(H146:Z146)) = 0,
   "",
   IFERROR(
     (
       IF(
         SUMPRODUCT(($C$9:$G$9="CO5")*ISNUMBER($C$10:$G$10)*ISNUMBER(C146:G146)) = 0,
         0,
         SUMPRODUCT(($C$9:$G$9="CO5")*ISNUMBER($C$10:$G$10)*ISNUMBER(C146:G146)*C146:G146) /
         SUMPRODUCT(($C$9:$G$9="CO5")*ISNUMBER($C$10:$G$10)*ISNUMBER(C146:G146)*$C$10:$G$10) * 0.15
       ) +
       IF(
         SUMPRODUCT(($H$9:$Z$9="CO5")*ISNUMBER($H$10:$Z$10)*ISNUMBER(H146:Z146)) = 0,
         0,
         SUMPRODUCT(($H$9:$Z$9="CO5")*ISNUMBER($H$10:$Z$10)*ISNUMBER(H146:Z146)*H146:Z146) /
         SUMPRODUCT(($H$9:$Z$9="CO5")*ISNUMBER($H$10:$Z$10)*ISNUMBER(H146:Z146)*$H$10:$Z$10) * 0.85
       )
     ) * 100,
     ""
   )
)</f>
        <v/>
      </c>
      <c r="AF146" s="1" t="str" cm="1">
        <f t="array" ref="AF146">IF(
   SUMPRODUCT(($C$9:$G$9="CO6")*ISNUMBER($C$10:$G$10)*ISNUMBER(C146:G146)) +
   SUMPRODUCT(($H$9:$Z$9="CO6")*ISNUMBER($H$10:$Z$10)*ISNUMBER(H146:Z146)) = 0,
   "",
   IFERROR(
     (
       IF(
         SUMPRODUCT(($C$9:$G$9="CO6")*ISNUMBER($C$10:$G$10)*ISNUMBER(C146:G146)) = 0,
         0,
         SUMPRODUCT(($C$9:$G$9="CO6")*ISNUMBER($C$10:$G$10)*ISNUMBER(C146:G146)*C146:G146) /
         SUMPRODUCT(($C$9:$G$9="CO6")*ISNUMBER($C$10:$G$10)*ISNUMBER(C146:G146)*$C$10:$G$10) * 0.15
       ) +
       IF(
         SUMPRODUCT(($H$9:$Z$9="CO6")*ISNUMBER($H$10:$Z$10)*ISNUMBER(H146:Z146)) = 0,
         0,
         SUMPRODUCT(($H$9:$Z$9="CO6")*ISNUMBER($H$10:$Z$10)*ISNUMBER(H146:Z146)*H146:Z146) /
         SUMPRODUCT(($H$9:$Z$9="CO6")*ISNUMBER($H$10:$Z$10)*ISNUMBER(H146:Z146)*$H$10:$Z$10) * 0.85
       )
     ) * 100,
     ""
   )
)</f>
        <v/>
      </c>
      <c r="AG146" s="1" t="str" cm="1">
        <f t="array" ref="AG146">IF(
   SUMPRODUCT(($C$9:$G$9="CO7")*ISNUMBER($C$10:$G$10)*ISNUMBER(C146:G146)) +
   SUMPRODUCT(($H$9:$Z$9="CO7")*ISNUMBER($H$10:$Z$10)*ISNUMBER(H146:Z146)) = 0,
   "",
   IFERROR(
     (
       IF(
         SUMPRODUCT(($C$9:$G$9="CO7")*ISNUMBER($C$10:$G$10)*ISNUMBER(C146:G146)) = 0,
         0,
         SUMPRODUCT(($C$9:$G$9="CO7")*ISNUMBER($C$10:$G$10)*ISNUMBER(C146:G146)*C146:G146) /
         SUMPRODUCT(($C$9:$G$9="CO7")*ISNUMBER($C$10:$G$10)*ISNUMBER(C146:G146)*$C$10:$G$10) * 0.15
       ) +
       IF(
         SUMPRODUCT(($H$9:$Z$9="CO7")*ISNUMBER($H$10:$Z$10)*ISNUMBER(H146:Z146)) = 0,
         0,
         SUMPRODUCT(($H$9:$Z$9="CO7")*ISNUMBER($H$10:$Z$10)*ISNUMBER(H146:Z146)*H146:Z146) /
         SUMPRODUCT(($H$9:$Z$9="CO7")*ISNUMBER($H$10:$Z$10)*ISNUMBER(H146:Z146)*$H$10:$Z$10) * 0.85
       )
     ) * 100,
     ""
   )
)</f>
        <v/>
      </c>
      <c r="AH146" s="3" t="str" cm="1">
        <f t="array" ref="AH146">IF(
   SUMPRODUCT(($C$9:$G$9="CO8")*ISNUMBER($C$10:$G$10)*ISNUMBER(C146:G146)) +
   SUMPRODUCT(($H$9:$Z$9="CO8")*ISNUMBER($H$10:$Z$10)*ISNUMBER(H146:Z146)) = 0,
   "",
   IFERROR(
     (
       IF(
         SUMPRODUCT(($C$9:$G$9="CO8")*ISNUMBER($C$10:$G$10)*ISNUMBER(C146:G146)) = 0,
         0,
         SUMPRODUCT(($C$9:$G$9="CO8")*ISNUMBER($C$10:$G$10)*ISNUMBER(C146:G146)*C146:G146) /
         SUMPRODUCT(($C$9:$G$9="CO8")*ISNUMBER($C$10:$G$10)*ISNUMBER(C146:G146)*$C$10:$G$10) * 0.15
       ) +
       IF(
         SUMPRODUCT(($H$9:$Z$9="CO8")*ISNUMBER($H$10:$Z$10)*ISNUMBER(H146:Z146)) = 0,
         0,
         SUMPRODUCT(($H$9:$Z$9="CO8")*ISNUMBER($H$10:$Z$10)*ISNUMBER(H146:Z146)*H146:Z146) /
         SUMPRODUCT(($H$9:$Z$9="CO8")*ISNUMBER($H$10:$Z$10)*ISNUMBER(H146:Z146)*$H$10:$Z$10) * 0.85
       )
     ) * 100,
     ""
   )
)</f>
        <v/>
      </c>
      <c r="AI146" s="1" t="str">
        <f t="shared" si="17"/>
        <v/>
      </c>
      <c r="AJ146" s="1" t="str">
        <f t="shared" si="17"/>
        <v/>
      </c>
      <c r="AK146" s="1" t="str">
        <f t="shared" si="17"/>
        <v/>
      </c>
      <c r="AL146" s="1" t="str">
        <f t="shared" si="17"/>
        <v/>
      </c>
      <c r="AM146" s="1" t="str">
        <f t="shared" si="17"/>
        <v/>
      </c>
      <c r="AN146" s="1" t="str">
        <f t="shared" si="17"/>
        <v/>
      </c>
      <c r="AO146" s="1" t="str">
        <f t="shared" si="17"/>
        <v/>
      </c>
      <c r="AP146" s="1" t="str">
        <f t="shared" si="17"/>
        <v/>
      </c>
    </row>
    <row r="147" spans="1:42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" t="str" cm="1">
        <f t="array" ref="AA147">IF(
   SUMPRODUCT(($C$9:$G$9="CO1")*ISNUMBER($C$10:$G$10)*ISNUMBER(C147:G147)) +
   SUMPRODUCT(($H$9:$Z$9="CO1")*ISNUMBER($H$10:$Z$10)*ISNUMBER(H147:Z147)) = 0,
   "",
   IFERROR(
     (
       IF(
         SUMPRODUCT(($C$9:$G$9="CO1")*ISNUMBER($C$10:$G$10)*ISNUMBER(C147:G147)) = 0,
         0,
         SUMPRODUCT(($C$9:$G$9="CO1")*ISNUMBER($C$10:$G$10)*ISNUMBER(C147:G147)*C147:G147) /
         SUMPRODUCT(($C$9:$G$9="CO1")*ISNUMBER($C$10:$G$10)*ISNUMBER(C147:G147)*$C$10:$G$10) * 0.15
       ) +
       IF(
         SUMPRODUCT(($H$9:$Z$9="CO1")*ISNUMBER($H$10:$Z$10)*ISNUMBER(H147:Z147)) = 0,
         0,
         SUMPRODUCT(($H$9:$Z$9="CO1")*ISNUMBER($H$10:$Z$10)*ISNUMBER(H147:Z147)*H147:Z147) /
         SUMPRODUCT(($H$9:$Z$9="CO1")*ISNUMBER($H$10:$Z$10)*ISNUMBER(H147:Z147)*$H$10:$Z$10) * 0.85
       )
     ) * 100,
     ""
   )
)</f>
        <v/>
      </c>
      <c r="AB147" s="1" t="str" cm="1">
        <f t="array" ref="AB147">IF(
   SUMPRODUCT(($C$9:$G$9="CO2")*ISNUMBER($C$10:$G$10)*ISNUMBER(C147:G147)) +
   SUMPRODUCT(($H$9:$Z$9="CO2")*ISNUMBER($H$10:$Z$10)*ISNUMBER(H147:Z147)) = 0,
   "",
   IFERROR(
     (
       IF(
         SUMPRODUCT(($C$9:$G$9="CO2")*ISNUMBER($C$10:$G$10)*ISNUMBER(C147:G147)) = 0,
         0,
         SUMPRODUCT(($C$9:$G$9="CO2")*ISNUMBER($C$10:$G$10)*ISNUMBER(C147:G147)*C147:G147) /
         SUMPRODUCT(($C$9:$G$9="CO2")*ISNUMBER($C$10:$G$10)*ISNUMBER(C147:G147)*$C$10:$G$10) * 0.15
       ) +
       IF(
         SUMPRODUCT(($H$9:$Z$9="CO2")*ISNUMBER($H$10:$Z$10)*ISNUMBER(H147:Z147)) = 0,
         0,
         SUMPRODUCT(($H$9:$Z$9="CO2")*ISNUMBER($H$10:$Z$10)*ISNUMBER(H147:Z147)*H147:Z147) /
         SUMPRODUCT(($H$9:$Z$9="CO2")*ISNUMBER($H$10:$Z$10)*ISNUMBER(H147:Z147)*$H$10:$Z$10) * 0.85
       )
     ) * 100,
     ""
   )
)</f>
        <v/>
      </c>
      <c r="AC147" s="1" t="str" cm="1">
        <f t="array" ref="AC147">IF(
   SUMPRODUCT(($C$9:$G$9="CO3")*ISNUMBER($C$10:$G$10)*ISNUMBER(C147:G147)) +
   SUMPRODUCT(($H$9:$Z$9="CO3")*ISNUMBER($H$10:$Z$10)*ISNUMBER(H147:Z147)) = 0,
   "",
   IFERROR(
     (
       IF(
         SUMPRODUCT(($C$9:$G$9="CO3")*ISNUMBER($C$10:$G$10)*ISNUMBER(C147:G147)) = 0,
         0,
         SUMPRODUCT(($C$9:$G$9="CO3")*ISNUMBER($C$10:$G$10)*ISNUMBER(C147:G147)*C147:G147) /
         SUMPRODUCT(($C$9:$G$9="CO3")*ISNUMBER($C$10:$G$10)*ISNUMBER(C147:G147)*$C$10:$G$10) * 0.15
       ) +
       IF(
         SUMPRODUCT(($H$9:$Z$9="CO3")*ISNUMBER($H$10:$Z$10)*ISNUMBER(H147:Z147)) = 0,
         0,
         SUMPRODUCT(($H$9:$Z$9="CO3")*ISNUMBER($H$10:$Z$10)*ISNUMBER(H147:Z147)*H147:Z147) /
         SUMPRODUCT(($H$9:$Z$9="CO3")*ISNUMBER($H$10:$Z$10)*ISNUMBER(H147:Z147)*$H$10:$Z$10) * 0.85
       )
     ) * 100,
     ""
   )
)</f>
        <v/>
      </c>
      <c r="AD147" s="1" t="str" cm="1">
        <f t="array" ref="AD147">IF(
   SUMPRODUCT(($C$9:$G$9="CO4")*ISNUMBER($C$10:$G$10)*ISNUMBER(C147:G147)) +
   SUMPRODUCT(($H$9:$Z$9="CO4")*ISNUMBER($H$10:$Z$10)*ISNUMBER(H147:Z147)) = 0,
   "",
   IFERROR(
     (
       IF(
         SUMPRODUCT(($C$9:$G$9="CO4")*ISNUMBER($C$10:$G$10)*ISNUMBER(C147:G147)) = 0,
         0,
         SUMPRODUCT(($C$9:$G$9="CO4")*ISNUMBER($C$10:$G$10)*ISNUMBER(C147:G147)*C147:G147) /
         SUMPRODUCT(($C$9:$G$9="CO4")*ISNUMBER($C$10:$G$10)*ISNUMBER(C147:G147)*$C$10:$G$10) * 0.15
       ) +
       IF(
         SUMPRODUCT(($H$9:$Z$9="CO4")*ISNUMBER($H$10:$Z$10)*ISNUMBER(H147:Z147)) = 0,
         0,
         SUMPRODUCT(($H$9:$Z$9="CO4")*ISNUMBER($H$10:$Z$10)*ISNUMBER(H147:Z147)*H147:Z147) /
         SUMPRODUCT(($H$9:$Z$9="CO4")*ISNUMBER($H$10:$Z$10)*ISNUMBER(H147:Z147)*$H$10:$Z$10) * 0.85
       )
     ) * 100,
     ""
   )
)</f>
        <v/>
      </c>
      <c r="AE147" s="1" t="str" cm="1">
        <f t="array" ref="AE147">IF(
   SUMPRODUCT(($C$9:$G$9="CO5")*ISNUMBER($C$10:$G$10)*ISNUMBER(C147:G147)) +
   SUMPRODUCT(($H$9:$Z$9="CO5")*ISNUMBER($H$10:$Z$10)*ISNUMBER(H147:Z147)) = 0,
   "",
   IFERROR(
     (
       IF(
         SUMPRODUCT(($C$9:$G$9="CO5")*ISNUMBER($C$10:$G$10)*ISNUMBER(C147:G147)) = 0,
         0,
         SUMPRODUCT(($C$9:$G$9="CO5")*ISNUMBER($C$10:$G$10)*ISNUMBER(C147:G147)*C147:G147) /
         SUMPRODUCT(($C$9:$G$9="CO5")*ISNUMBER($C$10:$G$10)*ISNUMBER(C147:G147)*$C$10:$G$10) * 0.15
       ) +
       IF(
         SUMPRODUCT(($H$9:$Z$9="CO5")*ISNUMBER($H$10:$Z$10)*ISNUMBER(H147:Z147)) = 0,
         0,
         SUMPRODUCT(($H$9:$Z$9="CO5")*ISNUMBER($H$10:$Z$10)*ISNUMBER(H147:Z147)*H147:Z147) /
         SUMPRODUCT(($H$9:$Z$9="CO5")*ISNUMBER($H$10:$Z$10)*ISNUMBER(H147:Z147)*$H$10:$Z$10) * 0.85
       )
     ) * 100,
     ""
   )
)</f>
        <v/>
      </c>
      <c r="AF147" s="1" t="str" cm="1">
        <f t="array" ref="AF147">IF(
   SUMPRODUCT(($C$9:$G$9="CO6")*ISNUMBER($C$10:$G$10)*ISNUMBER(C147:G147)) +
   SUMPRODUCT(($H$9:$Z$9="CO6")*ISNUMBER($H$10:$Z$10)*ISNUMBER(H147:Z147)) = 0,
   "",
   IFERROR(
     (
       IF(
         SUMPRODUCT(($C$9:$G$9="CO6")*ISNUMBER($C$10:$G$10)*ISNUMBER(C147:G147)) = 0,
         0,
         SUMPRODUCT(($C$9:$G$9="CO6")*ISNUMBER($C$10:$G$10)*ISNUMBER(C147:G147)*C147:G147) /
         SUMPRODUCT(($C$9:$G$9="CO6")*ISNUMBER($C$10:$G$10)*ISNUMBER(C147:G147)*$C$10:$G$10) * 0.15
       ) +
       IF(
         SUMPRODUCT(($H$9:$Z$9="CO6")*ISNUMBER($H$10:$Z$10)*ISNUMBER(H147:Z147)) = 0,
         0,
         SUMPRODUCT(($H$9:$Z$9="CO6")*ISNUMBER($H$10:$Z$10)*ISNUMBER(H147:Z147)*H147:Z147) /
         SUMPRODUCT(($H$9:$Z$9="CO6")*ISNUMBER($H$10:$Z$10)*ISNUMBER(H147:Z147)*$H$10:$Z$10) * 0.85
       )
     ) * 100,
     ""
   )
)</f>
        <v/>
      </c>
      <c r="AG147" s="1" t="str" cm="1">
        <f t="array" ref="AG147">IF(
   SUMPRODUCT(($C$9:$G$9="CO7")*ISNUMBER($C$10:$G$10)*ISNUMBER(C147:G147)) +
   SUMPRODUCT(($H$9:$Z$9="CO7")*ISNUMBER($H$10:$Z$10)*ISNUMBER(H147:Z147)) = 0,
   "",
   IFERROR(
     (
       IF(
         SUMPRODUCT(($C$9:$G$9="CO7")*ISNUMBER($C$10:$G$10)*ISNUMBER(C147:G147)) = 0,
         0,
         SUMPRODUCT(($C$9:$G$9="CO7")*ISNUMBER($C$10:$G$10)*ISNUMBER(C147:G147)*C147:G147) /
         SUMPRODUCT(($C$9:$G$9="CO7")*ISNUMBER($C$10:$G$10)*ISNUMBER(C147:G147)*$C$10:$G$10) * 0.15
       ) +
       IF(
         SUMPRODUCT(($H$9:$Z$9="CO7")*ISNUMBER($H$10:$Z$10)*ISNUMBER(H147:Z147)) = 0,
         0,
         SUMPRODUCT(($H$9:$Z$9="CO7")*ISNUMBER($H$10:$Z$10)*ISNUMBER(H147:Z147)*H147:Z147) /
         SUMPRODUCT(($H$9:$Z$9="CO7")*ISNUMBER($H$10:$Z$10)*ISNUMBER(H147:Z147)*$H$10:$Z$10) * 0.85
       )
     ) * 100,
     ""
   )
)</f>
        <v/>
      </c>
      <c r="AH147" s="3" t="str" cm="1">
        <f t="array" ref="AH147">IF(
   SUMPRODUCT(($C$9:$G$9="CO8")*ISNUMBER($C$10:$G$10)*ISNUMBER(C147:G147)) +
   SUMPRODUCT(($H$9:$Z$9="CO8")*ISNUMBER($H$10:$Z$10)*ISNUMBER(H147:Z147)) = 0,
   "",
   IFERROR(
     (
       IF(
         SUMPRODUCT(($C$9:$G$9="CO8")*ISNUMBER($C$10:$G$10)*ISNUMBER(C147:G147)) = 0,
         0,
         SUMPRODUCT(($C$9:$G$9="CO8")*ISNUMBER($C$10:$G$10)*ISNUMBER(C147:G147)*C147:G147) /
         SUMPRODUCT(($C$9:$G$9="CO8")*ISNUMBER($C$10:$G$10)*ISNUMBER(C147:G147)*$C$10:$G$10) * 0.15
       ) +
       IF(
         SUMPRODUCT(($H$9:$Z$9="CO8")*ISNUMBER($H$10:$Z$10)*ISNUMBER(H147:Z147)) = 0,
         0,
         SUMPRODUCT(($H$9:$Z$9="CO8")*ISNUMBER($H$10:$Z$10)*ISNUMBER(H147:Z147)*H147:Z147) /
         SUMPRODUCT(($H$9:$Z$9="CO8")*ISNUMBER($H$10:$Z$10)*ISNUMBER(H147:Z147)*$H$10:$Z$10) * 0.85
       )
     ) * 100,
     ""
   )
)</f>
        <v/>
      </c>
      <c r="AI147" s="1" t="str">
        <f t="shared" si="17"/>
        <v/>
      </c>
      <c r="AJ147" s="1" t="str">
        <f t="shared" si="17"/>
        <v/>
      </c>
      <c r="AK147" s="1" t="str">
        <f t="shared" si="17"/>
        <v/>
      </c>
      <c r="AL147" s="1" t="str">
        <f t="shared" si="17"/>
        <v/>
      </c>
      <c r="AM147" s="1" t="str">
        <f t="shared" si="17"/>
        <v/>
      </c>
      <c r="AN147" s="1" t="str">
        <f t="shared" si="17"/>
        <v/>
      </c>
      <c r="AO147" s="1" t="str">
        <f t="shared" si="17"/>
        <v/>
      </c>
      <c r="AP147" s="1" t="str">
        <f t="shared" si="17"/>
        <v/>
      </c>
    </row>
    <row r="148" spans="1:42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" t="str" cm="1">
        <f t="array" ref="AA148">IF(
   SUMPRODUCT(($C$9:$G$9="CO1")*ISNUMBER($C$10:$G$10)*ISNUMBER(C148:G148)) +
   SUMPRODUCT(($H$9:$Z$9="CO1")*ISNUMBER($H$10:$Z$10)*ISNUMBER(H148:Z148)) = 0,
   "",
   IFERROR(
     (
       IF(
         SUMPRODUCT(($C$9:$G$9="CO1")*ISNUMBER($C$10:$G$10)*ISNUMBER(C148:G148)) = 0,
         0,
         SUMPRODUCT(($C$9:$G$9="CO1")*ISNUMBER($C$10:$G$10)*ISNUMBER(C148:G148)*C148:G148) /
         SUMPRODUCT(($C$9:$G$9="CO1")*ISNUMBER($C$10:$G$10)*ISNUMBER(C148:G148)*$C$10:$G$10) * 0.15
       ) +
       IF(
         SUMPRODUCT(($H$9:$Z$9="CO1")*ISNUMBER($H$10:$Z$10)*ISNUMBER(H148:Z148)) = 0,
         0,
         SUMPRODUCT(($H$9:$Z$9="CO1")*ISNUMBER($H$10:$Z$10)*ISNUMBER(H148:Z148)*H148:Z148) /
         SUMPRODUCT(($H$9:$Z$9="CO1")*ISNUMBER($H$10:$Z$10)*ISNUMBER(H148:Z148)*$H$10:$Z$10) * 0.85
       )
     ) * 100,
     ""
   )
)</f>
        <v/>
      </c>
      <c r="AB148" s="1" t="str" cm="1">
        <f t="array" ref="AB148">IF(
   SUMPRODUCT(($C$9:$G$9="CO2")*ISNUMBER($C$10:$G$10)*ISNUMBER(C148:G148)) +
   SUMPRODUCT(($H$9:$Z$9="CO2")*ISNUMBER($H$10:$Z$10)*ISNUMBER(H148:Z148)) = 0,
   "",
   IFERROR(
     (
       IF(
         SUMPRODUCT(($C$9:$G$9="CO2")*ISNUMBER($C$10:$G$10)*ISNUMBER(C148:G148)) = 0,
         0,
         SUMPRODUCT(($C$9:$G$9="CO2")*ISNUMBER($C$10:$G$10)*ISNUMBER(C148:G148)*C148:G148) /
         SUMPRODUCT(($C$9:$G$9="CO2")*ISNUMBER($C$10:$G$10)*ISNUMBER(C148:G148)*$C$10:$G$10) * 0.15
       ) +
       IF(
         SUMPRODUCT(($H$9:$Z$9="CO2")*ISNUMBER($H$10:$Z$10)*ISNUMBER(H148:Z148)) = 0,
         0,
         SUMPRODUCT(($H$9:$Z$9="CO2")*ISNUMBER($H$10:$Z$10)*ISNUMBER(H148:Z148)*H148:Z148) /
         SUMPRODUCT(($H$9:$Z$9="CO2")*ISNUMBER($H$10:$Z$10)*ISNUMBER(H148:Z148)*$H$10:$Z$10) * 0.85
       )
     ) * 100,
     ""
   )
)</f>
        <v/>
      </c>
      <c r="AC148" s="1" t="str" cm="1">
        <f t="array" ref="AC148">IF(
   SUMPRODUCT(($C$9:$G$9="CO3")*ISNUMBER($C$10:$G$10)*ISNUMBER(C148:G148)) +
   SUMPRODUCT(($H$9:$Z$9="CO3")*ISNUMBER($H$10:$Z$10)*ISNUMBER(H148:Z148)) = 0,
   "",
   IFERROR(
     (
       IF(
         SUMPRODUCT(($C$9:$G$9="CO3")*ISNUMBER($C$10:$G$10)*ISNUMBER(C148:G148)) = 0,
         0,
         SUMPRODUCT(($C$9:$G$9="CO3")*ISNUMBER($C$10:$G$10)*ISNUMBER(C148:G148)*C148:G148) /
         SUMPRODUCT(($C$9:$G$9="CO3")*ISNUMBER($C$10:$G$10)*ISNUMBER(C148:G148)*$C$10:$G$10) * 0.15
       ) +
       IF(
         SUMPRODUCT(($H$9:$Z$9="CO3")*ISNUMBER($H$10:$Z$10)*ISNUMBER(H148:Z148)) = 0,
         0,
         SUMPRODUCT(($H$9:$Z$9="CO3")*ISNUMBER($H$10:$Z$10)*ISNUMBER(H148:Z148)*H148:Z148) /
         SUMPRODUCT(($H$9:$Z$9="CO3")*ISNUMBER($H$10:$Z$10)*ISNUMBER(H148:Z148)*$H$10:$Z$10) * 0.85
       )
     ) * 100,
     ""
   )
)</f>
        <v/>
      </c>
      <c r="AD148" s="1" t="str" cm="1">
        <f t="array" ref="AD148">IF(
   SUMPRODUCT(($C$9:$G$9="CO4")*ISNUMBER($C$10:$G$10)*ISNUMBER(C148:G148)) +
   SUMPRODUCT(($H$9:$Z$9="CO4")*ISNUMBER($H$10:$Z$10)*ISNUMBER(H148:Z148)) = 0,
   "",
   IFERROR(
     (
       IF(
         SUMPRODUCT(($C$9:$G$9="CO4")*ISNUMBER($C$10:$G$10)*ISNUMBER(C148:G148)) = 0,
         0,
         SUMPRODUCT(($C$9:$G$9="CO4")*ISNUMBER($C$10:$G$10)*ISNUMBER(C148:G148)*C148:G148) /
         SUMPRODUCT(($C$9:$G$9="CO4")*ISNUMBER($C$10:$G$10)*ISNUMBER(C148:G148)*$C$10:$G$10) * 0.15
       ) +
       IF(
         SUMPRODUCT(($H$9:$Z$9="CO4")*ISNUMBER($H$10:$Z$10)*ISNUMBER(H148:Z148)) = 0,
         0,
         SUMPRODUCT(($H$9:$Z$9="CO4")*ISNUMBER($H$10:$Z$10)*ISNUMBER(H148:Z148)*H148:Z148) /
         SUMPRODUCT(($H$9:$Z$9="CO4")*ISNUMBER($H$10:$Z$10)*ISNUMBER(H148:Z148)*$H$10:$Z$10) * 0.85
       )
     ) * 100,
     ""
   )
)</f>
        <v/>
      </c>
      <c r="AE148" s="1" t="str" cm="1">
        <f t="array" ref="AE148">IF(
   SUMPRODUCT(($C$9:$G$9="CO5")*ISNUMBER($C$10:$G$10)*ISNUMBER(C148:G148)) +
   SUMPRODUCT(($H$9:$Z$9="CO5")*ISNUMBER($H$10:$Z$10)*ISNUMBER(H148:Z148)) = 0,
   "",
   IFERROR(
     (
       IF(
         SUMPRODUCT(($C$9:$G$9="CO5")*ISNUMBER($C$10:$G$10)*ISNUMBER(C148:G148)) = 0,
         0,
         SUMPRODUCT(($C$9:$G$9="CO5")*ISNUMBER($C$10:$G$10)*ISNUMBER(C148:G148)*C148:G148) /
         SUMPRODUCT(($C$9:$G$9="CO5")*ISNUMBER($C$10:$G$10)*ISNUMBER(C148:G148)*$C$10:$G$10) * 0.15
       ) +
       IF(
         SUMPRODUCT(($H$9:$Z$9="CO5")*ISNUMBER($H$10:$Z$10)*ISNUMBER(H148:Z148)) = 0,
         0,
         SUMPRODUCT(($H$9:$Z$9="CO5")*ISNUMBER($H$10:$Z$10)*ISNUMBER(H148:Z148)*H148:Z148) /
         SUMPRODUCT(($H$9:$Z$9="CO5")*ISNUMBER($H$10:$Z$10)*ISNUMBER(H148:Z148)*$H$10:$Z$10) * 0.85
       )
     ) * 100,
     ""
   )
)</f>
        <v/>
      </c>
      <c r="AF148" s="1" t="str" cm="1">
        <f t="array" ref="AF148">IF(
   SUMPRODUCT(($C$9:$G$9="CO6")*ISNUMBER($C$10:$G$10)*ISNUMBER(C148:G148)) +
   SUMPRODUCT(($H$9:$Z$9="CO6")*ISNUMBER($H$10:$Z$10)*ISNUMBER(H148:Z148)) = 0,
   "",
   IFERROR(
     (
       IF(
         SUMPRODUCT(($C$9:$G$9="CO6")*ISNUMBER($C$10:$G$10)*ISNUMBER(C148:G148)) = 0,
         0,
         SUMPRODUCT(($C$9:$G$9="CO6")*ISNUMBER($C$10:$G$10)*ISNUMBER(C148:G148)*C148:G148) /
         SUMPRODUCT(($C$9:$G$9="CO6")*ISNUMBER($C$10:$G$10)*ISNUMBER(C148:G148)*$C$10:$G$10) * 0.15
       ) +
       IF(
         SUMPRODUCT(($H$9:$Z$9="CO6")*ISNUMBER($H$10:$Z$10)*ISNUMBER(H148:Z148)) = 0,
         0,
         SUMPRODUCT(($H$9:$Z$9="CO6")*ISNUMBER($H$10:$Z$10)*ISNUMBER(H148:Z148)*H148:Z148) /
         SUMPRODUCT(($H$9:$Z$9="CO6")*ISNUMBER($H$10:$Z$10)*ISNUMBER(H148:Z148)*$H$10:$Z$10) * 0.85
       )
     ) * 100,
     ""
   )
)</f>
        <v/>
      </c>
      <c r="AG148" s="1" t="str" cm="1">
        <f t="array" ref="AG148">IF(
   SUMPRODUCT(($C$9:$G$9="CO7")*ISNUMBER($C$10:$G$10)*ISNUMBER(C148:G148)) +
   SUMPRODUCT(($H$9:$Z$9="CO7")*ISNUMBER($H$10:$Z$10)*ISNUMBER(H148:Z148)) = 0,
   "",
   IFERROR(
     (
       IF(
         SUMPRODUCT(($C$9:$G$9="CO7")*ISNUMBER($C$10:$G$10)*ISNUMBER(C148:G148)) = 0,
         0,
         SUMPRODUCT(($C$9:$G$9="CO7")*ISNUMBER($C$10:$G$10)*ISNUMBER(C148:G148)*C148:G148) /
         SUMPRODUCT(($C$9:$G$9="CO7")*ISNUMBER($C$10:$G$10)*ISNUMBER(C148:G148)*$C$10:$G$10) * 0.15
       ) +
       IF(
         SUMPRODUCT(($H$9:$Z$9="CO7")*ISNUMBER($H$10:$Z$10)*ISNUMBER(H148:Z148)) = 0,
         0,
         SUMPRODUCT(($H$9:$Z$9="CO7")*ISNUMBER($H$10:$Z$10)*ISNUMBER(H148:Z148)*H148:Z148) /
         SUMPRODUCT(($H$9:$Z$9="CO7")*ISNUMBER($H$10:$Z$10)*ISNUMBER(H148:Z148)*$H$10:$Z$10) * 0.85
       )
     ) * 100,
     ""
   )
)</f>
        <v/>
      </c>
      <c r="AH148" s="3" t="str" cm="1">
        <f t="array" ref="AH148">IF(
   SUMPRODUCT(($C$9:$G$9="CO8")*ISNUMBER($C$10:$G$10)*ISNUMBER(C148:G148)) +
   SUMPRODUCT(($H$9:$Z$9="CO8")*ISNUMBER($H$10:$Z$10)*ISNUMBER(H148:Z148)) = 0,
   "",
   IFERROR(
     (
       IF(
         SUMPRODUCT(($C$9:$G$9="CO8")*ISNUMBER($C$10:$G$10)*ISNUMBER(C148:G148)) = 0,
         0,
         SUMPRODUCT(($C$9:$G$9="CO8")*ISNUMBER($C$10:$G$10)*ISNUMBER(C148:G148)*C148:G148) /
         SUMPRODUCT(($C$9:$G$9="CO8")*ISNUMBER($C$10:$G$10)*ISNUMBER(C148:G148)*$C$10:$G$10) * 0.15
       ) +
       IF(
         SUMPRODUCT(($H$9:$Z$9="CO8")*ISNUMBER($H$10:$Z$10)*ISNUMBER(H148:Z148)) = 0,
         0,
         SUMPRODUCT(($H$9:$Z$9="CO8")*ISNUMBER($H$10:$Z$10)*ISNUMBER(H148:Z148)*H148:Z148) /
         SUMPRODUCT(($H$9:$Z$9="CO8")*ISNUMBER($H$10:$Z$10)*ISNUMBER(H148:Z148)*$H$10:$Z$10) * 0.85
       )
     ) * 100,
     ""
   )
)</f>
        <v/>
      </c>
      <c r="AI148" s="1" t="str">
        <f t="shared" si="17"/>
        <v/>
      </c>
      <c r="AJ148" s="1" t="str">
        <f t="shared" si="17"/>
        <v/>
      </c>
      <c r="AK148" s="1" t="str">
        <f t="shared" si="17"/>
        <v/>
      </c>
      <c r="AL148" s="1" t="str">
        <f t="shared" si="17"/>
        <v/>
      </c>
      <c r="AM148" s="1" t="str">
        <f t="shared" si="17"/>
        <v/>
      </c>
      <c r="AN148" s="1" t="str">
        <f t="shared" si="17"/>
        <v/>
      </c>
      <c r="AO148" s="1" t="str">
        <f t="shared" si="17"/>
        <v/>
      </c>
      <c r="AP148" s="1" t="str">
        <f t="shared" si="17"/>
        <v/>
      </c>
    </row>
    <row r="149" spans="1:42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" t="str" cm="1">
        <f t="array" ref="AA149">IF(
   SUMPRODUCT(($C$9:$G$9="CO1")*ISNUMBER($C$10:$G$10)*ISNUMBER(C149:G149)) +
   SUMPRODUCT(($H$9:$Z$9="CO1")*ISNUMBER($H$10:$Z$10)*ISNUMBER(H149:Z149)) = 0,
   "",
   IFERROR(
     (
       IF(
         SUMPRODUCT(($C$9:$G$9="CO1")*ISNUMBER($C$10:$G$10)*ISNUMBER(C149:G149)) = 0,
         0,
         SUMPRODUCT(($C$9:$G$9="CO1")*ISNUMBER($C$10:$G$10)*ISNUMBER(C149:G149)*C149:G149) /
         SUMPRODUCT(($C$9:$G$9="CO1")*ISNUMBER($C$10:$G$10)*ISNUMBER(C149:G149)*$C$10:$G$10) * 0.15
       ) +
       IF(
         SUMPRODUCT(($H$9:$Z$9="CO1")*ISNUMBER($H$10:$Z$10)*ISNUMBER(H149:Z149)) = 0,
         0,
         SUMPRODUCT(($H$9:$Z$9="CO1")*ISNUMBER($H$10:$Z$10)*ISNUMBER(H149:Z149)*H149:Z149) /
         SUMPRODUCT(($H$9:$Z$9="CO1")*ISNUMBER($H$10:$Z$10)*ISNUMBER(H149:Z149)*$H$10:$Z$10) * 0.85
       )
     ) * 100,
     ""
   )
)</f>
        <v/>
      </c>
      <c r="AB149" s="1" t="str" cm="1">
        <f t="array" ref="AB149">IF(
   SUMPRODUCT(($C$9:$G$9="CO2")*ISNUMBER($C$10:$G$10)*ISNUMBER(C149:G149)) +
   SUMPRODUCT(($H$9:$Z$9="CO2")*ISNUMBER($H$10:$Z$10)*ISNUMBER(H149:Z149)) = 0,
   "",
   IFERROR(
     (
       IF(
         SUMPRODUCT(($C$9:$G$9="CO2")*ISNUMBER($C$10:$G$10)*ISNUMBER(C149:G149)) = 0,
         0,
         SUMPRODUCT(($C$9:$G$9="CO2")*ISNUMBER($C$10:$G$10)*ISNUMBER(C149:G149)*C149:G149) /
         SUMPRODUCT(($C$9:$G$9="CO2")*ISNUMBER($C$10:$G$10)*ISNUMBER(C149:G149)*$C$10:$G$10) * 0.15
       ) +
       IF(
         SUMPRODUCT(($H$9:$Z$9="CO2")*ISNUMBER($H$10:$Z$10)*ISNUMBER(H149:Z149)) = 0,
         0,
         SUMPRODUCT(($H$9:$Z$9="CO2")*ISNUMBER($H$10:$Z$10)*ISNUMBER(H149:Z149)*H149:Z149) /
         SUMPRODUCT(($H$9:$Z$9="CO2")*ISNUMBER($H$10:$Z$10)*ISNUMBER(H149:Z149)*$H$10:$Z$10) * 0.85
       )
     ) * 100,
     ""
   )
)</f>
        <v/>
      </c>
      <c r="AC149" s="1" t="str" cm="1">
        <f t="array" ref="AC149">IF(
   SUMPRODUCT(($C$9:$G$9="CO3")*ISNUMBER($C$10:$G$10)*ISNUMBER(C149:G149)) +
   SUMPRODUCT(($H$9:$Z$9="CO3")*ISNUMBER($H$10:$Z$10)*ISNUMBER(H149:Z149)) = 0,
   "",
   IFERROR(
     (
       IF(
         SUMPRODUCT(($C$9:$G$9="CO3")*ISNUMBER($C$10:$G$10)*ISNUMBER(C149:G149)) = 0,
         0,
         SUMPRODUCT(($C$9:$G$9="CO3")*ISNUMBER($C$10:$G$10)*ISNUMBER(C149:G149)*C149:G149) /
         SUMPRODUCT(($C$9:$G$9="CO3")*ISNUMBER($C$10:$G$10)*ISNUMBER(C149:G149)*$C$10:$G$10) * 0.15
       ) +
       IF(
         SUMPRODUCT(($H$9:$Z$9="CO3")*ISNUMBER($H$10:$Z$10)*ISNUMBER(H149:Z149)) = 0,
         0,
         SUMPRODUCT(($H$9:$Z$9="CO3")*ISNUMBER($H$10:$Z$10)*ISNUMBER(H149:Z149)*H149:Z149) /
         SUMPRODUCT(($H$9:$Z$9="CO3")*ISNUMBER($H$10:$Z$10)*ISNUMBER(H149:Z149)*$H$10:$Z$10) * 0.85
       )
     ) * 100,
     ""
   )
)</f>
        <v/>
      </c>
      <c r="AD149" s="1" t="str" cm="1">
        <f t="array" ref="AD149">IF(
   SUMPRODUCT(($C$9:$G$9="CO4")*ISNUMBER($C$10:$G$10)*ISNUMBER(C149:G149)) +
   SUMPRODUCT(($H$9:$Z$9="CO4")*ISNUMBER($H$10:$Z$10)*ISNUMBER(H149:Z149)) = 0,
   "",
   IFERROR(
     (
       IF(
         SUMPRODUCT(($C$9:$G$9="CO4")*ISNUMBER($C$10:$G$10)*ISNUMBER(C149:G149)) = 0,
         0,
         SUMPRODUCT(($C$9:$G$9="CO4")*ISNUMBER($C$10:$G$10)*ISNUMBER(C149:G149)*C149:G149) /
         SUMPRODUCT(($C$9:$G$9="CO4")*ISNUMBER($C$10:$G$10)*ISNUMBER(C149:G149)*$C$10:$G$10) * 0.15
       ) +
       IF(
         SUMPRODUCT(($H$9:$Z$9="CO4")*ISNUMBER($H$10:$Z$10)*ISNUMBER(H149:Z149)) = 0,
         0,
         SUMPRODUCT(($H$9:$Z$9="CO4")*ISNUMBER($H$10:$Z$10)*ISNUMBER(H149:Z149)*H149:Z149) /
         SUMPRODUCT(($H$9:$Z$9="CO4")*ISNUMBER($H$10:$Z$10)*ISNUMBER(H149:Z149)*$H$10:$Z$10) * 0.85
       )
     ) * 100,
     ""
   )
)</f>
        <v/>
      </c>
      <c r="AE149" s="1" t="str" cm="1">
        <f t="array" ref="AE149">IF(
   SUMPRODUCT(($C$9:$G$9="CO5")*ISNUMBER($C$10:$G$10)*ISNUMBER(C149:G149)) +
   SUMPRODUCT(($H$9:$Z$9="CO5")*ISNUMBER($H$10:$Z$10)*ISNUMBER(H149:Z149)) = 0,
   "",
   IFERROR(
     (
       IF(
         SUMPRODUCT(($C$9:$G$9="CO5")*ISNUMBER($C$10:$G$10)*ISNUMBER(C149:G149)) = 0,
         0,
         SUMPRODUCT(($C$9:$G$9="CO5")*ISNUMBER($C$10:$G$10)*ISNUMBER(C149:G149)*C149:G149) /
         SUMPRODUCT(($C$9:$G$9="CO5")*ISNUMBER($C$10:$G$10)*ISNUMBER(C149:G149)*$C$10:$G$10) * 0.15
       ) +
       IF(
         SUMPRODUCT(($H$9:$Z$9="CO5")*ISNUMBER($H$10:$Z$10)*ISNUMBER(H149:Z149)) = 0,
         0,
         SUMPRODUCT(($H$9:$Z$9="CO5")*ISNUMBER($H$10:$Z$10)*ISNUMBER(H149:Z149)*H149:Z149) /
         SUMPRODUCT(($H$9:$Z$9="CO5")*ISNUMBER($H$10:$Z$10)*ISNUMBER(H149:Z149)*$H$10:$Z$10) * 0.85
       )
     ) * 100,
     ""
   )
)</f>
        <v/>
      </c>
      <c r="AF149" s="1" t="str" cm="1">
        <f t="array" ref="AF149">IF(
   SUMPRODUCT(($C$9:$G$9="CO6")*ISNUMBER($C$10:$G$10)*ISNUMBER(C149:G149)) +
   SUMPRODUCT(($H$9:$Z$9="CO6")*ISNUMBER($H$10:$Z$10)*ISNUMBER(H149:Z149)) = 0,
   "",
   IFERROR(
     (
       IF(
         SUMPRODUCT(($C$9:$G$9="CO6")*ISNUMBER($C$10:$G$10)*ISNUMBER(C149:G149)) = 0,
         0,
         SUMPRODUCT(($C$9:$G$9="CO6")*ISNUMBER($C$10:$G$10)*ISNUMBER(C149:G149)*C149:G149) /
         SUMPRODUCT(($C$9:$G$9="CO6")*ISNUMBER($C$10:$G$10)*ISNUMBER(C149:G149)*$C$10:$G$10) * 0.15
       ) +
       IF(
         SUMPRODUCT(($H$9:$Z$9="CO6")*ISNUMBER($H$10:$Z$10)*ISNUMBER(H149:Z149)) = 0,
         0,
         SUMPRODUCT(($H$9:$Z$9="CO6")*ISNUMBER($H$10:$Z$10)*ISNUMBER(H149:Z149)*H149:Z149) /
         SUMPRODUCT(($H$9:$Z$9="CO6")*ISNUMBER($H$10:$Z$10)*ISNUMBER(H149:Z149)*$H$10:$Z$10) * 0.85
       )
     ) * 100,
     ""
   )
)</f>
        <v/>
      </c>
      <c r="AG149" s="1" t="str" cm="1">
        <f t="array" ref="AG149">IF(
   SUMPRODUCT(($C$9:$G$9="CO7")*ISNUMBER($C$10:$G$10)*ISNUMBER(C149:G149)) +
   SUMPRODUCT(($H$9:$Z$9="CO7")*ISNUMBER($H$10:$Z$10)*ISNUMBER(H149:Z149)) = 0,
   "",
   IFERROR(
     (
       IF(
         SUMPRODUCT(($C$9:$G$9="CO7")*ISNUMBER($C$10:$G$10)*ISNUMBER(C149:G149)) = 0,
         0,
         SUMPRODUCT(($C$9:$G$9="CO7")*ISNUMBER($C$10:$G$10)*ISNUMBER(C149:G149)*C149:G149) /
         SUMPRODUCT(($C$9:$G$9="CO7")*ISNUMBER($C$10:$G$10)*ISNUMBER(C149:G149)*$C$10:$G$10) * 0.15
       ) +
       IF(
         SUMPRODUCT(($H$9:$Z$9="CO7")*ISNUMBER($H$10:$Z$10)*ISNUMBER(H149:Z149)) = 0,
         0,
         SUMPRODUCT(($H$9:$Z$9="CO7")*ISNUMBER($H$10:$Z$10)*ISNUMBER(H149:Z149)*H149:Z149) /
         SUMPRODUCT(($H$9:$Z$9="CO7")*ISNUMBER($H$10:$Z$10)*ISNUMBER(H149:Z149)*$H$10:$Z$10) * 0.85
       )
     ) * 100,
     ""
   )
)</f>
        <v/>
      </c>
      <c r="AH149" s="3" t="str" cm="1">
        <f t="array" ref="AH149">IF(
   SUMPRODUCT(($C$9:$G$9="CO8")*ISNUMBER($C$10:$G$10)*ISNUMBER(C149:G149)) +
   SUMPRODUCT(($H$9:$Z$9="CO8")*ISNUMBER($H$10:$Z$10)*ISNUMBER(H149:Z149)) = 0,
   "",
   IFERROR(
     (
       IF(
         SUMPRODUCT(($C$9:$G$9="CO8")*ISNUMBER($C$10:$G$10)*ISNUMBER(C149:G149)) = 0,
         0,
         SUMPRODUCT(($C$9:$G$9="CO8")*ISNUMBER($C$10:$G$10)*ISNUMBER(C149:G149)*C149:G149) /
         SUMPRODUCT(($C$9:$G$9="CO8")*ISNUMBER($C$10:$G$10)*ISNUMBER(C149:G149)*$C$10:$G$10) * 0.15
       ) +
       IF(
         SUMPRODUCT(($H$9:$Z$9="CO8")*ISNUMBER($H$10:$Z$10)*ISNUMBER(H149:Z149)) = 0,
         0,
         SUMPRODUCT(($H$9:$Z$9="CO8")*ISNUMBER($H$10:$Z$10)*ISNUMBER(H149:Z149)*H149:Z149) /
         SUMPRODUCT(($H$9:$Z$9="CO8")*ISNUMBER($H$10:$Z$10)*ISNUMBER(H149:Z149)*$H$10:$Z$10) * 0.85
       )
     ) * 100,
     ""
   )
)</f>
        <v/>
      </c>
      <c r="AI149" s="1" t="str">
        <f t="shared" si="17"/>
        <v/>
      </c>
      <c r="AJ149" s="1" t="str">
        <f t="shared" si="17"/>
        <v/>
      </c>
      <c r="AK149" s="1" t="str">
        <f t="shared" si="17"/>
        <v/>
      </c>
      <c r="AL149" s="1" t="str">
        <f t="shared" si="17"/>
        <v/>
      </c>
      <c r="AM149" s="1" t="str">
        <f t="shared" si="17"/>
        <v/>
      </c>
      <c r="AN149" s="1" t="str">
        <f t="shared" si="17"/>
        <v/>
      </c>
      <c r="AO149" s="1" t="str">
        <f t="shared" si="17"/>
        <v/>
      </c>
      <c r="AP149" s="1" t="str">
        <f t="shared" si="17"/>
        <v/>
      </c>
    </row>
    <row r="150" spans="1:42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" t="str" cm="1">
        <f t="array" ref="AA150">IF(
   SUMPRODUCT(($C$9:$G$9="CO1")*ISNUMBER($C$10:$G$10)*ISNUMBER(C150:G150)) +
   SUMPRODUCT(($H$9:$Z$9="CO1")*ISNUMBER($H$10:$Z$10)*ISNUMBER(H150:Z150)) = 0,
   "",
   IFERROR(
     (
       IF(
         SUMPRODUCT(($C$9:$G$9="CO1")*ISNUMBER($C$10:$G$10)*ISNUMBER(C150:G150)) = 0,
         0,
         SUMPRODUCT(($C$9:$G$9="CO1")*ISNUMBER($C$10:$G$10)*ISNUMBER(C150:G150)*C150:G150) /
         SUMPRODUCT(($C$9:$G$9="CO1")*ISNUMBER($C$10:$G$10)*ISNUMBER(C150:G150)*$C$10:$G$10) * 0.15
       ) +
       IF(
         SUMPRODUCT(($H$9:$Z$9="CO1")*ISNUMBER($H$10:$Z$10)*ISNUMBER(H150:Z150)) = 0,
         0,
         SUMPRODUCT(($H$9:$Z$9="CO1")*ISNUMBER($H$10:$Z$10)*ISNUMBER(H150:Z150)*H150:Z150) /
         SUMPRODUCT(($H$9:$Z$9="CO1")*ISNUMBER($H$10:$Z$10)*ISNUMBER(H150:Z150)*$H$10:$Z$10) * 0.85
       )
     ) * 100,
     ""
   )
)</f>
        <v/>
      </c>
      <c r="AB150" s="1" t="str" cm="1">
        <f t="array" ref="AB150">IF(
   SUMPRODUCT(($C$9:$G$9="CO2")*ISNUMBER($C$10:$G$10)*ISNUMBER(C150:G150)) +
   SUMPRODUCT(($H$9:$Z$9="CO2")*ISNUMBER($H$10:$Z$10)*ISNUMBER(H150:Z150)) = 0,
   "",
   IFERROR(
     (
       IF(
         SUMPRODUCT(($C$9:$G$9="CO2")*ISNUMBER($C$10:$G$10)*ISNUMBER(C150:G150)) = 0,
         0,
         SUMPRODUCT(($C$9:$G$9="CO2")*ISNUMBER($C$10:$G$10)*ISNUMBER(C150:G150)*C150:G150) /
         SUMPRODUCT(($C$9:$G$9="CO2")*ISNUMBER($C$10:$G$10)*ISNUMBER(C150:G150)*$C$10:$G$10) * 0.15
       ) +
       IF(
         SUMPRODUCT(($H$9:$Z$9="CO2")*ISNUMBER($H$10:$Z$10)*ISNUMBER(H150:Z150)) = 0,
         0,
         SUMPRODUCT(($H$9:$Z$9="CO2")*ISNUMBER($H$10:$Z$10)*ISNUMBER(H150:Z150)*H150:Z150) /
         SUMPRODUCT(($H$9:$Z$9="CO2")*ISNUMBER($H$10:$Z$10)*ISNUMBER(H150:Z150)*$H$10:$Z$10) * 0.85
       )
     ) * 100,
     ""
   )
)</f>
        <v/>
      </c>
      <c r="AC150" s="1" t="str" cm="1">
        <f t="array" ref="AC150">IF(
   SUMPRODUCT(($C$9:$G$9="CO3")*ISNUMBER($C$10:$G$10)*ISNUMBER(C150:G150)) +
   SUMPRODUCT(($H$9:$Z$9="CO3")*ISNUMBER($H$10:$Z$10)*ISNUMBER(H150:Z150)) = 0,
   "",
   IFERROR(
     (
       IF(
         SUMPRODUCT(($C$9:$G$9="CO3")*ISNUMBER($C$10:$G$10)*ISNUMBER(C150:G150)) = 0,
         0,
         SUMPRODUCT(($C$9:$G$9="CO3")*ISNUMBER($C$10:$G$10)*ISNUMBER(C150:G150)*C150:G150) /
         SUMPRODUCT(($C$9:$G$9="CO3")*ISNUMBER($C$10:$G$10)*ISNUMBER(C150:G150)*$C$10:$G$10) * 0.15
       ) +
       IF(
         SUMPRODUCT(($H$9:$Z$9="CO3")*ISNUMBER($H$10:$Z$10)*ISNUMBER(H150:Z150)) = 0,
         0,
         SUMPRODUCT(($H$9:$Z$9="CO3")*ISNUMBER($H$10:$Z$10)*ISNUMBER(H150:Z150)*H150:Z150) /
         SUMPRODUCT(($H$9:$Z$9="CO3")*ISNUMBER($H$10:$Z$10)*ISNUMBER(H150:Z150)*$H$10:$Z$10) * 0.85
       )
     ) * 100,
     ""
   )
)</f>
        <v/>
      </c>
      <c r="AD150" s="1" t="str" cm="1">
        <f t="array" ref="AD150">IF(
   SUMPRODUCT(($C$9:$G$9="CO4")*ISNUMBER($C$10:$G$10)*ISNUMBER(C150:G150)) +
   SUMPRODUCT(($H$9:$Z$9="CO4")*ISNUMBER($H$10:$Z$10)*ISNUMBER(H150:Z150)) = 0,
   "",
   IFERROR(
     (
       IF(
         SUMPRODUCT(($C$9:$G$9="CO4")*ISNUMBER($C$10:$G$10)*ISNUMBER(C150:G150)) = 0,
         0,
         SUMPRODUCT(($C$9:$G$9="CO4")*ISNUMBER($C$10:$G$10)*ISNUMBER(C150:G150)*C150:G150) /
         SUMPRODUCT(($C$9:$G$9="CO4")*ISNUMBER($C$10:$G$10)*ISNUMBER(C150:G150)*$C$10:$G$10) * 0.15
       ) +
       IF(
         SUMPRODUCT(($H$9:$Z$9="CO4")*ISNUMBER($H$10:$Z$10)*ISNUMBER(H150:Z150)) = 0,
         0,
         SUMPRODUCT(($H$9:$Z$9="CO4")*ISNUMBER($H$10:$Z$10)*ISNUMBER(H150:Z150)*H150:Z150) /
         SUMPRODUCT(($H$9:$Z$9="CO4")*ISNUMBER($H$10:$Z$10)*ISNUMBER(H150:Z150)*$H$10:$Z$10) * 0.85
       )
     ) * 100,
     ""
   )
)</f>
        <v/>
      </c>
      <c r="AE150" s="1" t="str" cm="1">
        <f t="array" ref="AE150">IF(
   SUMPRODUCT(($C$9:$G$9="CO5")*ISNUMBER($C$10:$G$10)*ISNUMBER(C150:G150)) +
   SUMPRODUCT(($H$9:$Z$9="CO5")*ISNUMBER($H$10:$Z$10)*ISNUMBER(H150:Z150)) = 0,
   "",
   IFERROR(
     (
       IF(
         SUMPRODUCT(($C$9:$G$9="CO5")*ISNUMBER($C$10:$G$10)*ISNUMBER(C150:G150)) = 0,
         0,
         SUMPRODUCT(($C$9:$G$9="CO5")*ISNUMBER($C$10:$G$10)*ISNUMBER(C150:G150)*C150:G150) /
         SUMPRODUCT(($C$9:$G$9="CO5")*ISNUMBER($C$10:$G$10)*ISNUMBER(C150:G150)*$C$10:$G$10) * 0.15
       ) +
       IF(
         SUMPRODUCT(($H$9:$Z$9="CO5")*ISNUMBER($H$10:$Z$10)*ISNUMBER(H150:Z150)) = 0,
         0,
         SUMPRODUCT(($H$9:$Z$9="CO5")*ISNUMBER($H$10:$Z$10)*ISNUMBER(H150:Z150)*H150:Z150) /
         SUMPRODUCT(($H$9:$Z$9="CO5")*ISNUMBER($H$10:$Z$10)*ISNUMBER(H150:Z150)*$H$10:$Z$10) * 0.85
       )
     ) * 100,
     ""
   )
)</f>
        <v/>
      </c>
      <c r="AF150" s="1" t="str" cm="1">
        <f t="array" ref="AF150">IF(
   SUMPRODUCT(($C$9:$G$9="CO6")*ISNUMBER($C$10:$G$10)*ISNUMBER(C150:G150)) +
   SUMPRODUCT(($H$9:$Z$9="CO6")*ISNUMBER($H$10:$Z$10)*ISNUMBER(H150:Z150)) = 0,
   "",
   IFERROR(
     (
       IF(
         SUMPRODUCT(($C$9:$G$9="CO6")*ISNUMBER($C$10:$G$10)*ISNUMBER(C150:G150)) = 0,
         0,
         SUMPRODUCT(($C$9:$G$9="CO6")*ISNUMBER($C$10:$G$10)*ISNUMBER(C150:G150)*C150:G150) /
         SUMPRODUCT(($C$9:$G$9="CO6")*ISNUMBER($C$10:$G$10)*ISNUMBER(C150:G150)*$C$10:$G$10) * 0.15
       ) +
       IF(
         SUMPRODUCT(($H$9:$Z$9="CO6")*ISNUMBER($H$10:$Z$10)*ISNUMBER(H150:Z150)) = 0,
         0,
         SUMPRODUCT(($H$9:$Z$9="CO6")*ISNUMBER($H$10:$Z$10)*ISNUMBER(H150:Z150)*H150:Z150) /
         SUMPRODUCT(($H$9:$Z$9="CO6")*ISNUMBER($H$10:$Z$10)*ISNUMBER(H150:Z150)*$H$10:$Z$10) * 0.85
       )
     ) * 100,
     ""
   )
)</f>
        <v/>
      </c>
      <c r="AG150" s="1" t="str" cm="1">
        <f t="array" ref="AG150">IF(
   SUMPRODUCT(($C$9:$G$9="CO7")*ISNUMBER($C$10:$G$10)*ISNUMBER(C150:G150)) +
   SUMPRODUCT(($H$9:$Z$9="CO7")*ISNUMBER($H$10:$Z$10)*ISNUMBER(H150:Z150)) = 0,
   "",
   IFERROR(
     (
       IF(
         SUMPRODUCT(($C$9:$G$9="CO7")*ISNUMBER($C$10:$G$10)*ISNUMBER(C150:G150)) = 0,
         0,
         SUMPRODUCT(($C$9:$G$9="CO7")*ISNUMBER($C$10:$G$10)*ISNUMBER(C150:G150)*C150:G150) /
         SUMPRODUCT(($C$9:$G$9="CO7")*ISNUMBER($C$10:$G$10)*ISNUMBER(C150:G150)*$C$10:$G$10) * 0.15
       ) +
       IF(
         SUMPRODUCT(($H$9:$Z$9="CO7")*ISNUMBER($H$10:$Z$10)*ISNUMBER(H150:Z150)) = 0,
         0,
         SUMPRODUCT(($H$9:$Z$9="CO7")*ISNUMBER($H$10:$Z$10)*ISNUMBER(H150:Z150)*H150:Z150) /
         SUMPRODUCT(($H$9:$Z$9="CO7")*ISNUMBER($H$10:$Z$10)*ISNUMBER(H150:Z150)*$H$10:$Z$10) * 0.85
       )
     ) * 100,
     ""
   )
)</f>
        <v/>
      </c>
      <c r="AH150" s="3" t="str" cm="1">
        <f t="array" ref="AH150">IF(
   SUMPRODUCT(($C$9:$G$9="CO8")*ISNUMBER($C$10:$G$10)*ISNUMBER(C150:G150)) +
   SUMPRODUCT(($H$9:$Z$9="CO8")*ISNUMBER($H$10:$Z$10)*ISNUMBER(H150:Z150)) = 0,
   "",
   IFERROR(
     (
       IF(
         SUMPRODUCT(($C$9:$G$9="CO8")*ISNUMBER($C$10:$G$10)*ISNUMBER(C150:G150)) = 0,
         0,
         SUMPRODUCT(($C$9:$G$9="CO8")*ISNUMBER($C$10:$G$10)*ISNUMBER(C150:G150)*C150:G150) /
         SUMPRODUCT(($C$9:$G$9="CO8")*ISNUMBER($C$10:$G$10)*ISNUMBER(C150:G150)*$C$10:$G$10) * 0.15
       ) +
       IF(
         SUMPRODUCT(($H$9:$Z$9="CO8")*ISNUMBER($H$10:$Z$10)*ISNUMBER(H150:Z150)) = 0,
         0,
         SUMPRODUCT(($H$9:$Z$9="CO8")*ISNUMBER($H$10:$Z$10)*ISNUMBER(H150:Z150)*H150:Z150) /
         SUMPRODUCT(($H$9:$Z$9="CO8")*ISNUMBER($H$10:$Z$10)*ISNUMBER(H150:Z150)*$H$10:$Z$10) * 0.85
       )
     ) * 100,
     ""
   )
)</f>
        <v/>
      </c>
      <c r="AI150" s="1" t="str">
        <f t="shared" si="17"/>
        <v/>
      </c>
      <c r="AJ150" s="1" t="str">
        <f t="shared" si="17"/>
        <v/>
      </c>
      <c r="AK150" s="1" t="str">
        <f t="shared" si="17"/>
        <v/>
      </c>
      <c r="AL150" s="1" t="str">
        <f t="shared" si="17"/>
        <v/>
      </c>
      <c r="AM150" s="1" t="str">
        <f t="shared" si="17"/>
        <v/>
      </c>
      <c r="AN150" s="1" t="str">
        <f t="shared" si="17"/>
        <v/>
      </c>
      <c r="AO150" s="1" t="str">
        <f t="shared" si="17"/>
        <v/>
      </c>
      <c r="AP150" s="1" t="str">
        <f t="shared" si="17"/>
        <v/>
      </c>
    </row>
    <row r="151" spans="1:42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" t="str" cm="1">
        <f t="array" ref="AA151">IF(
   SUMPRODUCT(($C$9:$G$9="CO1")*ISNUMBER($C$10:$G$10)*ISNUMBER(C151:G151)) +
   SUMPRODUCT(($H$9:$Z$9="CO1")*ISNUMBER($H$10:$Z$10)*ISNUMBER(H151:Z151)) = 0,
   "",
   IFERROR(
     (
       IF(
         SUMPRODUCT(($C$9:$G$9="CO1")*ISNUMBER($C$10:$G$10)*ISNUMBER(C151:G151)) = 0,
         0,
         SUMPRODUCT(($C$9:$G$9="CO1")*ISNUMBER($C$10:$G$10)*ISNUMBER(C151:G151)*C151:G151) /
         SUMPRODUCT(($C$9:$G$9="CO1")*ISNUMBER($C$10:$G$10)*ISNUMBER(C151:G151)*$C$10:$G$10) * 0.15
       ) +
       IF(
         SUMPRODUCT(($H$9:$Z$9="CO1")*ISNUMBER($H$10:$Z$10)*ISNUMBER(H151:Z151)) = 0,
         0,
         SUMPRODUCT(($H$9:$Z$9="CO1")*ISNUMBER($H$10:$Z$10)*ISNUMBER(H151:Z151)*H151:Z151) /
         SUMPRODUCT(($H$9:$Z$9="CO1")*ISNUMBER($H$10:$Z$10)*ISNUMBER(H151:Z151)*$H$10:$Z$10) * 0.85
       )
     ) * 100,
     ""
   )
)</f>
        <v/>
      </c>
      <c r="AB151" s="1" t="str" cm="1">
        <f t="array" ref="AB151">IF(
   SUMPRODUCT(($C$9:$G$9="CO2")*ISNUMBER($C$10:$G$10)*ISNUMBER(C151:G151)) +
   SUMPRODUCT(($H$9:$Z$9="CO2")*ISNUMBER($H$10:$Z$10)*ISNUMBER(H151:Z151)) = 0,
   "",
   IFERROR(
     (
       IF(
         SUMPRODUCT(($C$9:$G$9="CO2")*ISNUMBER($C$10:$G$10)*ISNUMBER(C151:G151)) = 0,
         0,
         SUMPRODUCT(($C$9:$G$9="CO2")*ISNUMBER($C$10:$G$10)*ISNUMBER(C151:G151)*C151:G151) /
         SUMPRODUCT(($C$9:$G$9="CO2")*ISNUMBER($C$10:$G$10)*ISNUMBER(C151:G151)*$C$10:$G$10) * 0.15
       ) +
       IF(
         SUMPRODUCT(($H$9:$Z$9="CO2")*ISNUMBER($H$10:$Z$10)*ISNUMBER(H151:Z151)) = 0,
         0,
         SUMPRODUCT(($H$9:$Z$9="CO2")*ISNUMBER($H$10:$Z$10)*ISNUMBER(H151:Z151)*H151:Z151) /
         SUMPRODUCT(($H$9:$Z$9="CO2")*ISNUMBER($H$10:$Z$10)*ISNUMBER(H151:Z151)*$H$10:$Z$10) * 0.85
       )
     ) * 100,
     ""
   )
)</f>
        <v/>
      </c>
      <c r="AC151" s="1" t="str" cm="1">
        <f t="array" ref="AC151">IF(
   SUMPRODUCT(($C$9:$G$9="CO3")*ISNUMBER($C$10:$G$10)*ISNUMBER(C151:G151)) +
   SUMPRODUCT(($H$9:$Z$9="CO3")*ISNUMBER($H$10:$Z$10)*ISNUMBER(H151:Z151)) = 0,
   "",
   IFERROR(
     (
       IF(
         SUMPRODUCT(($C$9:$G$9="CO3")*ISNUMBER($C$10:$G$10)*ISNUMBER(C151:G151)) = 0,
         0,
         SUMPRODUCT(($C$9:$G$9="CO3")*ISNUMBER($C$10:$G$10)*ISNUMBER(C151:G151)*C151:G151) /
         SUMPRODUCT(($C$9:$G$9="CO3")*ISNUMBER($C$10:$G$10)*ISNUMBER(C151:G151)*$C$10:$G$10) * 0.15
       ) +
       IF(
         SUMPRODUCT(($H$9:$Z$9="CO3")*ISNUMBER($H$10:$Z$10)*ISNUMBER(H151:Z151)) = 0,
         0,
         SUMPRODUCT(($H$9:$Z$9="CO3")*ISNUMBER($H$10:$Z$10)*ISNUMBER(H151:Z151)*H151:Z151) /
         SUMPRODUCT(($H$9:$Z$9="CO3")*ISNUMBER($H$10:$Z$10)*ISNUMBER(H151:Z151)*$H$10:$Z$10) * 0.85
       )
     ) * 100,
     ""
   )
)</f>
        <v/>
      </c>
      <c r="AD151" s="1" t="str" cm="1">
        <f t="array" ref="AD151">IF(
   SUMPRODUCT(($C$9:$G$9="CO4")*ISNUMBER($C$10:$G$10)*ISNUMBER(C151:G151)) +
   SUMPRODUCT(($H$9:$Z$9="CO4")*ISNUMBER($H$10:$Z$10)*ISNUMBER(H151:Z151)) = 0,
   "",
   IFERROR(
     (
       IF(
         SUMPRODUCT(($C$9:$G$9="CO4")*ISNUMBER($C$10:$G$10)*ISNUMBER(C151:G151)) = 0,
         0,
         SUMPRODUCT(($C$9:$G$9="CO4")*ISNUMBER($C$10:$G$10)*ISNUMBER(C151:G151)*C151:G151) /
         SUMPRODUCT(($C$9:$G$9="CO4")*ISNUMBER($C$10:$G$10)*ISNUMBER(C151:G151)*$C$10:$G$10) * 0.15
       ) +
       IF(
         SUMPRODUCT(($H$9:$Z$9="CO4")*ISNUMBER($H$10:$Z$10)*ISNUMBER(H151:Z151)) = 0,
         0,
         SUMPRODUCT(($H$9:$Z$9="CO4")*ISNUMBER($H$10:$Z$10)*ISNUMBER(H151:Z151)*H151:Z151) /
         SUMPRODUCT(($H$9:$Z$9="CO4")*ISNUMBER($H$10:$Z$10)*ISNUMBER(H151:Z151)*$H$10:$Z$10) * 0.85
       )
     ) * 100,
     ""
   )
)</f>
        <v/>
      </c>
      <c r="AE151" s="1" t="str" cm="1">
        <f t="array" ref="AE151">IF(
   SUMPRODUCT(($C$9:$G$9="CO5")*ISNUMBER($C$10:$G$10)*ISNUMBER(C151:G151)) +
   SUMPRODUCT(($H$9:$Z$9="CO5")*ISNUMBER($H$10:$Z$10)*ISNUMBER(H151:Z151)) = 0,
   "",
   IFERROR(
     (
       IF(
         SUMPRODUCT(($C$9:$G$9="CO5")*ISNUMBER($C$10:$G$10)*ISNUMBER(C151:G151)) = 0,
         0,
         SUMPRODUCT(($C$9:$G$9="CO5")*ISNUMBER($C$10:$G$10)*ISNUMBER(C151:G151)*C151:G151) /
         SUMPRODUCT(($C$9:$G$9="CO5")*ISNUMBER($C$10:$G$10)*ISNUMBER(C151:G151)*$C$10:$G$10) * 0.15
       ) +
       IF(
         SUMPRODUCT(($H$9:$Z$9="CO5")*ISNUMBER($H$10:$Z$10)*ISNUMBER(H151:Z151)) = 0,
         0,
         SUMPRODUCT(($H$9:$Z$9="CO5")*ISNUMBER($H$10:$Z$10)*ISNUMBER(H151:Z151)*H151:Z151) /
         SUMPRODUCT(($H$9:$Z$9="CO5")*ISNUMBER($H$10:$Z$10)*ISNUMBER(H151:Z151)*$H$10:$Z$10) * 0.85
       )
     ) * 100,
     ""
   )
)</f>
        <v/>
      </c>
      <c r="AF151" s="1" t="str" cm="1">
        <f t="array" ref="AF151">IF(
   SUMPRODUCT(($C$9:$G$9="CO6")*ISNUMBER($C$10:$G$10)*ISNUMBER(C151:G151)) +
   SUMPRODUCT(($H$9:$Z$9="CO6")*ISNUMBER($H$10:$Z$10)*ISNUMBER(H151:Z151)) = 0,
   "",
   IFERROR(
     (
       IF(
         SUMPRODUCT(($C$9:$G$9="CO6")*ISNUMBER($C$10:$G$10)*ISNUMBER(C151:G151)) = 0,
         0,
         SUMPRODUCT(($C$9:$G$9="CO6")*ISNUMBER($C$10:$G$10)*ISNUMBER(C151:G151)*C151:G151) /
         SUMPRODUCT(($C$9:$G$9="CO6")*ISNUMBER($C$10:$G$10)*ISNUMBER(C151:G151)*$C$10:$G$10) * 0.15
       ) +
       IF(
         SUMPRODUCT(($H$9:$Z$9="CO6")*ISNUMBER($H$10:$Z$10)*ISNUMBER(H151:Z151)) = 0,
         0,
         SUMPRODUCT(($H$9:$Z$9="CO6")*ISNUMBER($H$10:$Z$10)*ISNUMBER(H151:Z151)*H151:Z151) /
         SUMPRODUCT(($H$9:$Z$9="CO6")*ISNUMBER($H$10:$Z$10)*ISNUMBER(H151:Z151)*$H$10:$Z$10) * 0.85
       )
     ) * 100,
     ""
   )
)</f>
        <v/>
      </c>
      <c r="AG151" s="1" t="str" cm="1">
        <f t="array" ref="AG151">IF(
   SUMPRODUCT(($C$9:$G$9="CO7")*ISNUMBER($C$10:$G$10)*ISNUMBER(C151:G151)) +
   SUMPRODUCT(($H$9:$Z$9="CO7")*ISNUMBER($H$10:$Z$10)*ISNUMBER(H151:Z151)) = 0,
   "",
   IFERROR(
     (
       IF(
         SUMPRODUCT(($C$9:$G$9="CO7")*ISNUMBER($C$10:$G$10)*ISNUMBER(C151:G151)) = 0,
         0,
         SUMPRODUCT(($C$9:$G$9="CO7")*ISNUMBER($C$10:$G$10)*ISNUMBER(C151:G151)*C151:G151) /
         SUMPRODUCT(($C$9:$G$9="CO7")*ISNUMBER($C$10:$G$10)*ISNUMBER(C151:G151)*$C$10:$G$10) * 0.15
       ) +
       IF(
         SUMPRODUCT(($H$9:$Z$9="CO7")*ISNUMBER($H$10:$Z$10)*ISNUMBER(H151:Z151)) = 0,
         0,
         SUMPRODUCT(($H$9:$Z$9="CO7")*ISNUMBER($H$10:$Z$10)*ISNUMBER(H151:Z151)*H151:Z151) /
         SUMPRODUCT(($H$9:$Z$9="CO7")*ISNUMBER($H$10:$Z$10)*ISNUMBER(H151:Z151)*$H$10:$Z$10) * 0.85
       )
     ) * 100,
     ""
   )
)</f>
        <v/>
      </c>
      <c r="AH151" s="3" t="str" cm="1">
        <f t="array" ref="AH151">IF(
   SUMPRODUCT(($C$9:$G$9="CO8")*ISNUMBER($C$10:$G$10)*ISNUMBER(C151:G151)) +
   SUMPRODUCT(($H$9:$Z$9="CO8")*ISNUMBER($H$10:$Z$10)*ISNUMBER(H151:Z151)) = 0,
   "",
   IFERROR(
     (
       IF(
         SUMPRODUCT(($C$9:$G$9="CO8")*ISNUMBER($C$10:$G$10)*ISNUMBER(C151:G151)) = 0,
         0,
         SUMPRODUCT(($C$9:$G$9="CO8")*ISNUMBER($C$10:$G$10)*ISNUMBER(C151:G151)*C151:G151) /
         SUMPRODUCT(($C$9:$G$9="CO8")*ISNUMBER($C$10:$G$10)*ISNUMBER(C151:G151)*$C$10:$G$10) * 0.15
       ) +
       IF(
         SUMPRODUCT(($H$9:$Z$9="CO8")*ISNUMBER($H$10:$Z$10)*ISNUMBER(H151:Z151)) = 0,
         0,
         SUMPRODUCT(($H$9:$Z$9="CO8")*ISNUMBER($H$10:$Z$10)*ISNUMBER(H151:Z151)*H151:Z151) /
         SUMPRODUCT(($H$9:$Z$9="CO8")*ISNUMBER($H$10:$Z$10)*ISNUMBER(H151:Z151)*$H$10:$Z$10) * 0.85
       )
     ) * 100,
     ""
   )
)</f>
        <v/>
      </c>
      <c r="AI151" s="1" t="str">
        <f t="shared" si="17"/>
        <v/>
      </c>
      <c r="AJ151" s="1" t="str">
        <f t="shared" si="17"/>
        <v/>
      </c>
      <c r="AK151" s="1" t="str">
        <f t="shared" si="17"/>
        <v/>
      </c>
      <c r="AL151" s="1" t="str">
        <f t="shared" si="17"/>
        <v/>
      </c>
      <c r="AM151" s="1" t="str">
        <f t="shared" si="17"/>
        <v/>
      </c>
      <c r="AN151" s="1" t="str">
        <f t="shared" si="17"/>
        <v/>
      </c>
      <c r="AO151" s="1" t="str">
        <f t="shared" si="17"/>
        <v/>
      </c>
      <c r="AP151" s="1" t="str">
        <f t="shared" si="17"/>
        <v/>
      </c>
    </row>
    <row r="152" spans="1:42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" t="str" cm="1">
        <f t="array" ref="AA152">IF(
   SUMPRODUCT(($C$9:$G$9="CO1")*ISNUMBER($C$10:$G$10)*ISNUMBER(C152:G152)) +
   SUMPRODUCT(($H$9:$Z$9="CO1")*ISNUMBER($H$10:$Z$10)*ISNUMBER(H152:Z152)) = 0,
   "",
   IFERROR(
     (
       IF(
         SUMPRODUCT(($C$9:$G$9="CO1")*ISNUMBER($C$10:$G$10)*ISNUMBER(C152:G152)) = 0,
         0,
         SUMPRODUCT(($C$9:$G$9="CO1")*ISNUMBER($C$10:$G$10)*ISNUMBER(C152:G152)*C152:G152) /
         SUMPRODUCT(($C$9:$G$9="CO1")*ISNUMBER($C$10:$G$10)*ISNUMBER(C152:G152)*$C$10:$G$10) * 0.15
       ) +
       IF(
         SUMPRODUCT(($H$9:$Z$9="CO1")*ISNUMBER($H$10:$Z$10)*ISNUMBER(H152:Z152)) = 0,
         0,
         SUMPRODUCT(($H$9:$Z$9="CO1")*ISNUMBER($H$10:$Z$10)*ISNUMBER(H152:Z152)*H152:Z152) /
         SUMPRODUCT(($H$9:$Z$9="CO1")*ISNUMBER($H$10:$Z$10)*ISNUMBER(H152:Z152)*$H$10:$Z$10) * 0.85
       )
     ) * 100,
     ""
   )
)</f>
        <v/>
      </c>
      <c r="AB152" s="1" t="str" cm="1">
        <f t="array" ref="AB152">IF(
   SUMPRODUCT(($C$9:$G$9="CO2")*ISNUMBER($C$10:$G$10)*ISNUMBER(C152:G152)) +
   SUMPRODUCT(($H$9:$Z$9="CO2")*ISNUMBER($H$10:$Z$10)*ISNUMBER(H152:Z152)) = 0,
   "",
   IFERROR(
     (
       IF(
         SUMPRODUCT(($C$9:$G$9="CO2")*ISNUMBER($C$10:$G$10)*ISNUMBER(C152:G152)) = 0,
         0,
         SUMPRODUCT(($C$9:$G$9="CO2")*ISNUMBER($C$10:$G$10)*ISNUMBER(C152:G152)*C152:G152) /
         SUMPRODUCT(($C$9:$G$9="CO2")*ISNUMBER($C$10:$G$10)*ISNUMBER(C152:G152)*$C$10:$G$10) * 0.15
       ) +
       IF(
         SUMPRODUCT(($H$9:$Z$9="CO2")*ISNUMBER($H$10:$Z$10)*ISNUMBER(H152:Z152)) = 0,
         0,
         SUMPRODUCT(($H$9:$Z$9="CO2")*ISNUMBER($H$10:$Z$10)*ISNUMBER(H152:Z152)*H152:Z152) /
         SUMPRODUCT(($H$9:$Z$9="CO2")*ISNUMBER($H$10:$Z$10)*ISNUMBER(H152:Z152)*$H$10:$Z$10) * 0.85
       )
     ) * 100,
     ""
   )
)</f>
        <v/>
      </c>
      <c r="AC152" s="1" t="str" cm="1">
        <f t="array" ref="AC152">IF(
   SUMPRODUCT(($C$9:$G$9="CO3")*ISNUMBER($C$10:$G$10)*ISNUMBER(C152:G152)) +
   SUMPRODUCT(($H$9:$Z$9="CO3")*ISNUMBER($H$10:$Z$10)*ISNUMBER(H152:Z152)) = 0,
   "",
   IFERROR(
     (
       IF(
         SUMPRODUCT(($C$9:$G$9="CO3")*ISNUMBER($C$10:$G$10)*ISNUMBER(C152:G152)) = 0,
         0,
         SUMPRODUCT(($C$9:$G$9="CO3")*ISNUMBER($C$10:$G$10)*ISNUMBER(C152:G152)*C152:G152) /
         SUMPRODUCT(($C$9:$G$9="CO3")*ISNUMBER($C$10:$G$10)*ISNUMBER(C152:G152)*$C$10:$G$10) * 0.15
       ) +
       IF(
         SUMPRODUCT(($H$9:$Z$9="CO3")*ISNUMBER($H$10:$Z$10)*ISNUMBER(H152:Z152)) = 0,
         0,
         SUMPRODUCT(($H$9:$Z$9="CO3")*ISNUMBER($H$10:$Z$10)*ISNUMBER(H152:Z152)*H152:Z152) /
         SUMPRODUCT(($H$9:$Z$9="CO3")*ISNUMBER($H$10:$Z$10)*ISNUMBER(H152:Z152)*$H$10:$Z$10) * 0.85
       )
     ) * 100,
     ""
   )
)</f>
        <v/>
      </c>
      <c r="AD152" s="1" t="str" cm="1">
        <f t="array" ref="AD152">IF(
   SUMPRODUCT(($C$9:$G$9="CO4")*ISNUMBER($C$10:$G$10)*ISNUMBER(C152:G152)) +
   SUMPRODUCT(($H$9:$Z$9="CO4")*ISNUMBER($H$10:$Z$10)*ISNUMBER(H152:Z152)) = 0,
   "",
   IFERROR(
     (
       IF(
         SUMPRODUCT(($C$9:$G$9="CO4")*ISNUMBER($C$10:$G$10)*ISNUMBER(C152:G152)) = 0,
         0,
         SUMPRODUCT(($C$9:$G$9="CO4")*ISNUMBER($C$10:$G$10)*ISNUMBER(C152:G152)*C152:G152) /
         SUMPRODUCT(($C$9:$G$9="CO4")*ISNUMBER($C$10:$G$10)*ISNUMBER(C152:G152)*$C$10:$G$10) * 0.15
       ) +
       IF(
         SUMPRODUCT(($H$9:$Z$9="CO4")*ISNUMBER($H$10:$Z$10)*ISNUMBER(H152:Z152)) = 0,
         0,
         SUMPRODUCT(($H$9:$Z$9="CO4")*ISNUMBER($H$10:$Z$10)*ISNUMBER(H152:Z152)*H152:Z152) /
         SUMPRODUCT(($H$9:$Z$9="CO4")*ISNUMBER($H$10:$Z$10)*ISNUMBER(H152:Z152)*$H$10:$Z$10) * 0.85
       )
     ) * 100,
     ""
   )
)</f>
        <v/>
      </c>
      <c r="AE152" s="1" t="str" cm="1">
        <f t="array" ref="AE152">IF(
   SUMPRODUCT(($C$9:$G$9="CO5")*ISNUMBER($C$10:$G$10)*ISNUMBER(C152:G152)) +
   SUMPRODUCT(($H$9:$Z$9="CO5")*ISNUMBER($H$10:$Z$10)*ISNUMBER(H152:Z152)) = 0,
   "",
   IFERROR(
     (
       IF(
         SUMPRODUCT(($C$9:$G$9="CO5")*ISNUMBER($C$10:$G$10)*ISNUMBER(C152:G152)) = 0,
         0,
         SUMPRODUCT(($C$9:$G$9="CO5")*ISNUMBER($C$10:$G$10)*ISNUMBER(C152:G152)*C152:G152) /
         SUMPRODUCT(($C$9:$G$9="CO5")*ISNUMBER($C$10:$G$10)*ISNUMBER(C152:G152)*$C$10:$G$10) * 0.15
       ) +
       IF(
         SUMPRODUCT(($H$9:$Z$9="CO5")*ISNUMBER($H$10:$Z$10)*ISNUMBER(H152:Z152)) = 0,
         0,
         SUMPRODUCT(($H$9:$Z$9="CO5")*ISNUMBER($H$10:$Z$10)*ISNUMBER(H152:Z152)*H152:Z152) /
         SUMPRODUCT(($H$9:$Z$9="CO5")*ISNUMBER($H$10:$Z$10)*ISNUMBER(H152:Z152)*$H$10:$Z$10) * 0.85
       )
     ) * 100,
     ""
   )
)</f>
        <v/>
      </c>
      <c r="AF152" s="1" t="str" cm="1">
        <f t="array" ref="AF152">IF(
   SUMPRODUCT(($C$9:$G$9="CO6")*ISNUMBER($C$10:$G$10)*ISNUMBER(C152:G152)) +
   SUMPRODUCT(($H$9:$Z$9="CO6")*ISNUMBER($H$10:$Z$10)*ISNUMBER(H152:Z152)) = 0,
   "",
   IFERROR(
     (
       IF(
         SUMPRODUCT(($C$9:$G$9="CO6")*ISNUMBER($C$10:$G$10)*ISNUMBER(C152:G152)) = 0,
         0,
         SUMPRODUCT(($C$9:$G$9="CO6")*ISNUMBER($C$10:$G$10)*ISNUMBER(C152:G152)*C152:G152) /
         SUMPRODUCT(($C$9:$G$9="CO6")*ISNUMBER($C$10:$G$10)*ISNUMBER(C152:G152)*$C$10:$G$10) * 0.15
       ) +
       IF(
         SUMPRODUCT(($H$9:$Z$9="CO6")*ISNUMBER($H$10:$Z$10)*ISNUMBER(H152:Z152)) = 0,
         0,
         SUMPRODUCT(($H$9:$Z$9="CO6")*ISNUMBER($H$10:$Z$10)*ISNUMBER(H152:Z152)*H152:Z152) /
         SUMPRODUCT(($H$9:$Z$9="CO6")*ISNUMBER($H$10:$Z$10)*ISNUMBER(H152:Z152)*$H$10:$Z$10) * 0.85
       )
     ) * 100,
     ""
   )
)</f>
        <v/>
      </c>
      <c r="AG152" s="1" t="str" cm="1">
        <f t="array" ref="AG152">IF(
   SUMPRODUCT(($C$9:$G$9="CO7")*ISNUMBER($C$10:$G$10)*ISNUMBER(C152:G152)) +
   SUMPRODUCT(($H$9:$Z$9="CO7")*ISNUMBER($H$10:$Z$10)*ISNUMBER(H152:Z152)) = 0,
   "",
   IFERROR(
     (
       IF(
         SUMPRODUCT(($C$9:$G$9="CO7")*ISNUMBER($C$10:$G$10)*ISNUMBER(C152:G152)) = 0,
         0,
         SUMPRODUCT(($C$9:$G$9="CO7")*ISNUMBER($C$10:$G$10)*ISNUMBER(C152:G152)*C152:G152) /
         SUMPRODUCT(($C$9:$G$9="CO7")*ISNUMBER($C$10:$G$10)*ISNUMBER(C152:G152)*$C$10:$G$10) * 0.15
       ) +
       IF(
         SUMPRODUCT(($H$9:$Z$9="CO7")*ISNUMBER($H$10:$Z$10)*ISNUMBER(H152:Z152)) = 0,
         0,
         SUMPRODUCT(($H$9:$Z$9="CO7")*ISNUMBER($H$10:$Z$10)*ISNUMBER(H152:Z152)*H152:Z152) /
         SUMPRODUCT(($H$9:$Z$9="CO7")*ISNUMBER($H$10:$Z$10)*ISNUMBER(H152:Z152)*$H$10:$Z$10) * 0.85
       )
     ) * 100,
     ""
   )
)</f>
        <v/>
      </c>
      <c r="AH152" s="3" t="str" cm="1">
        <f t="array" ref="AH152">IF(
   SUMPRODUCT(($C$9:$G$9="CO8")*ISNUMBER($C$10:$G$10)*ISNUMBER(C152:G152)) +
   SUMPRODUCT(($H$9:$Z$9="CO8")*ISNUMBER($H$10:$Z$10)*ISNUMBER(H152:Z152)) = 0,
   "",
   IFERROR(
     (
       IF(
         SUMPRODUCT(($C$9:$G$9="CO8")*ISNUMBER($C$10:$G$10)*ISNUMBER(C152:G152)) = 0,
         0,
         SUMPRODUCT(($C$9:$G$9="CO8")*ISNUMBER($C$10:$G$10)*ISNUMBER(C152:G152)*C152:G152) /
         SUMPRODUCT(($C$9:$G$9="CO8")*ISNUMBER($C$10:$G$10)*ISNUMBER(C152:G152)*$C$10:$G$10) * 0.15
       ) +
       IF(
         SUMPRODUCT(($H$9:$Z$9="CO8")*ISNUMBER($H$10:$Z$10)*ISNUMBER(H152:Z152)) = 0,
         0,
         SUMPRODUCT(($H$9:$Z$9="CO8")*ISNUMBER($H$10:$Z$10)*ISNUMBER(H152:Z152)*H152:Z152) /
         SUMPRODUCT(($H$9:$Z$9="CO8")*ISNUMBER($H$10:$Z$10)*ISNUMBER(H152:Z152)*$H$10:$Z$10) * 0.85
       )
     ) * 100,
     ""
   )
)</f>
        <v/>
      </c>
      <c r="AI152" s="1" t="str">
        <f t="shared" si="17"/>
        <v/>
      </c>
      <c r="AJ152" s="1" t="str">
        <f t="shared" si="17"/>
        <v/>
      </c>
      <c r="AK152" s="1" t="str">
        <f t="shared" si="17"/>
        <v/>
      </c>
      <c r="AL152" s="1" t="str">
        <f t="shared" si="17"/>
        <v/>
      </c>
      <c r="AM152" s="1" t="str">
        <f t="shared" si="17"/>
        <v/>
      </c>
      <c r="AN152" s="1" t="str">
        <f t="shared" si="17"/>
        <v/>
      </c>
      <c r="AO152" s="1" t="str">
        <f t="shared" si="17"/>
        <v/>
      </c>
      <c r="AP152" s="1" t="str">
        <f t="shared" si="17"/>
        <v/>
      </c>
    </row>
    <row r="153" spans="1:42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" t="str" cm="1">
        <f t="array" ref="AA153">IF(
   SUMPRODUCT(($C$9:$G$9="CO1")*ISNUMBER($C$10:$G$10)*ISNUMBER(C153:G153)) +
   SUMPRODUCT(($H$9:$Z$9="CO1")*ISNUMBER($H$10:$Z$10)*ISNUMBER(H153:Z153)) = 0,
   "",
   IFERROR(
     (
       IF(
         SUMPRODUCT(($C$9:$G$9="CO1")*ISNUMBER($C$10:$G$10)*ISNUMBER(C153:G153)) = 0,
         0,
         SUMPRODUCT(($C$9:$G$9="CO1")*ISNUMBER($C$10:$G$10)*ISNUMBER(C153:G153)*C153:G153) /
         SUMPRODUCT(($C$9:$G$9="CO1")*ISNUMBER($C$10:$G$10)*ISNUMBER(C153:G153)*$C$10:$G$10) * 0.15
       ) +
       IF(
         SUMPRODUCT(($H$9:$Z$9="CO1")*ISNUMBER($H$10:$Z$10)*ISNUMBER(H153:Z153)) = 0,
         0,
         SUMPRODUCT(($H$9:$Z$9="CO1")*ISNUMBER($H$10:$Z$10)*ISNUMBER(H153:Z153)*H153:Z153) /
         SUMPRODUCT(($H$9:$Z$9="CO1")*ISNUMBER($H$10:$Z$10)*ISNUMBER(H153:Z153)*$H$10:$Z$10) * 0.85
       )
     ) * 100,
     ""
   )
)</f>
        <v/>
      </c>
      <c r="AB153" s="1" t="str" cm="1">
        <f t="array" ref="AB153">IF(
   SUMPRODUCT(($C$9:$G$9="CO2")*ISNUMBER($C$10:$G$10)*ISNUMBER(C153:G153)) +
   SUMPRODUCT(($H$9:$Z$9="CO2")*ISNUMBER($H$10:$Z$10)*ISNUMBER(H153:Z153)) = 0,
   "",
   IFERROR(
     (
       IF(
         SUMPRODUCT(($C$9:$G$9="CO2")*ISNUMBER($C$10:$G$10)*ISNUMBER(C153:G153)) = 0,
         0,
         SUMPRODUCT(($C$9:$G$9="CO2")*ISNUMBER($C$10:$G$10)*ISNUMBER(C153:G153)*C153:G153) /
         SUMPRODUCT(($C$9:$G$9="CO2")*ISNUMBER($C$10:$G$10)*ISNUMBER(C153:G153)*$C$10:$G$10) * 0.15
       ) +
       IF(
         SUMPRODUCT(($H$9:$Z$9="CO2")*ISNUMBER($H$10:$Z$10)*ISNUMBER(H153:Z153)) = 0,
         0,
         SUMPRODUCT(($H$9:$Z$9="CO2")*ISNUMBER($H$10:$Z$10)*ISNUMBER(H153:Z153)*H153:Z153) /
         SUMPRODUCT(($H$9:$Z$9="CO2")*ISNUMBER($H$10:$Z$10)*ISNUMBER(H153:Z153)*$H$10:$Z$10) * 0.85
       )
     ) * 100,
     ""
   )
)</f>
        <v/>
      </c>
      <c r="AC153" s="1" t="str" cm="1">
        <f t="array" ref="AC153">IF(
   SUMPRODUCT(($C$9:$G$9="CO3")*ISNUMBER($C$10:$G$10)*ISNUMBER(C153:G153)) +
   SUMPRODUCT(($H$9:$Z$9="CO3")*ISNUMBER($H$10:$Z$10)*ISNUMBER(H153:Z153)) = 0,
   "",
   IFERROR(
     (
       IF(
         SUMPRODUCT(($C$9:$G$9="CO3")*ISNUMBER($C$10:$G$10)*ISNUMBER(C153:G153)) = 0,
         0,
         SUMPRODUCT(($C$9:$G$9="CO3")*ISNUMBER($C$10:$G$10)*ISNUMBER(C153:G153)*C153:G153) /
         SUMPRODUCT(($C$9:$G$9="CO3")*ISNUMBER($C$10:$G$10)*ISNUMBER(C153:G153)*$C$10:$G$10) * 0.15
       ) +
       IF(
         SUMPRODUCT(($H$9:$Z$9="CO3")*ISNUMBER($H$10:$Z$10)*ISNUMBER(H153:Z153)) = 0,
         0,
         SUMPRODUCT(($H$9:$Z$9="CO3")*ISNUMBER($H$10:$Z$10)*ISNUMBER(H153:Z153)*H153:Z153) /
         SUMPRODUCT(($H$9:$Z$9="CO3")*ISNUMBER($H$10:$Z$10)*ISNUMBER(H153:Z153)*$H$10:$Z$10) * 0.85
       )
     ) * 100,
     ""
   )
)</f>
        <v/>
      </c>
      <c r="AD153" s="1" t="str" cm="1">
        <f t="array" ref="AD153">IF(
   SUMPRODUCT(($C$9:$G$9="CO4")*ISNUMBER($C$10:$G$10)*ISNUMBER(C153:G153)) +
   SUMPRODUCT(($H$9:$Z$9="CO4")*ISNUMBER($H$10:$Z$10)*ISNUMBER(H153:Z153)) = 0,
   "",
   IFERROR(
     (
       IF(
         SUMPRODUCT(($C$9:$G$9="CO4")*ISNUMBER($C$10:$G$10)*ISNUMBER(C153:G153)) = 0,
         0,
         SUMPRODUCT(($C$9:$G$9="CO4")*ISNUMBER($C$10:$G$10)*ISNUMBER(C153:G153)*C153:G153) /
         SUMPRODUCT(($C$9:$G$9="CO4")*ISNUMBER($C$10:$G$10)*ISNUMBER(C153:G153)*$C$10:$G$10) * 0.15
       ) +
       IF(
         SUMPRODUCT(($H$9:$Z$9="CO4")*ISNUMBER($H$10:$Z$10)*ISNUMBER(H153:Z153)) = 0,
         0,
         SUMPRODUCT(($H$9:$Z$9="CO4")*ISNUMBER($H$10:$Z$10)*ISNUMBER(H153:Z153)*H153:Z153) /
         SUMPRODUCT(($H$9:$Z$9="CO4")*ISNUMBER($H$10:$Z$10)*ISNUMBER(H153:Z153)*$H$10:$Z$10) * 0.85
       )
     ) * 100,
     ""
   )
)</f>
        <v/>
      </c>
      <c r="AE153" s="1" t="str" cm="1">
        <f t="array" ref="AE153">IF(
   SUMPRODUCT(($C$9:$G$9="CO5")*ISNUMBER($C$10:$G$10)*ISNUMBER(C153:G153)) +
   SUMPRODUCT(($H$9:$Z$9="CO5")*ISNUMBER($H$10:$Z$10)*ISNUMBER(H153:Z153)) = 0,
   "",
   IFERROR(
     (
       IF(
         SUMPRODUCT(($C$9:$G$9="CO5")*ISNUMBER($C$10:$G$10)*ISNUMBER(C153:G153)) = 0,
         0,
         SUMPRODUCT(($C$9:$G$9="CO5")*ISNUMBER($C$10:$G$10)*ISNUMBER(C153:G153)*C153:G153) /
         SUMPRODUCT(($C$9:$G$9="CO5")*ISNUMBER($C$10:$G$10)*ISNUMBER(C153:G153)*$C$10:$G$10) * 0.15
       ) +
       IF(
         SUMPRODUCT(($H$9:$Z$9="CO5")*ISNUMBER($H$10:$Z$10)*ISNUMBER(H153:Z153)) = 0,
         0,
         SUMPRODUCT(($H$9:$Z$9="CO5")*ISNUMBER($H$10:$Z$10)*ISNUMBER(H153:Z153)*H153:Z153) /
         SUMPRODUCT(($H$9:$Z$9="CO5")*ISNUMBER($H$10:$Z$10)*ISNUMBER(H153:Z153)*$H$10:$Z$10) * 0.85
       )
     ) * 100,
     ""
   )
)</f>
        <v/>
      </c>
      <c r="AF153" s="1" t="str" cm="1">
        <f t="array" ref="AF153">IF(
   SUMPRODUCT(($C$9:$G$9="CO6")*ISNUMBER($C$10:$G$10)*ISNUMBER(C153:G153)) +
   SUMPRODUCT(($H$9:$Z$9="CO6")*ISNUMBER($H$10:$Z$10)*ISNUMBER(H153:Z153)) = 0,
   "",
   IFERROR(
     (
       IF(
         SUMPRODUCT(($C$9:$G$9="CO6")*ISNUMBER($C$10:$G$10)*ISNUMBER(C153:G153)) = 0,
         0,
         SUMPRODUCT(($C$9:$G$9="CO6")*ISNUMBER($C$10:$G$10)*ISNUMBER(C153:G153)*C153:G153) /
         SUMPRODUCT(($C$9:$G$9="CO6")*ISNUMBER($C$10:$G$10)*ISNUMBER(C153:G153)*$C$10:$G$10) * 0.15
       ) +
       IF(
         SUMPRODUCT(($H$9:$Z$9="CO6")*ISNUMBER($H$10:$Z$10)*ISNUMBER(H153:Z153)) = 0,
         0,
         SUMPRODUCT(($H$9:$Z$9="CO6")*ISNUMBER($H$10:$Z$10)*ISNUMBER(H153:Z153)*H153:Z153) /
         SUMPRODUCT(($H$9:$Z$9="CO6")*ISNUMBER($H$10:$Z$10)*ISNUMBER(H153:Z153)*$H$10:$Z$10) * 0.85
       )
     ) * 100,
     ""
   )
)</f>
        <v/>
      </c>
      <c r="AG153" s="1" t="str" cm="1">
        <f t="array" ref="AG153">IF(
   SUMPRODUCT(($C$9:$G$9="CO7")*ISNUMBER($C$10:$G$10)*ISNUMBER(C153:G153)) +
   SUMPRODUCT(($H$9:$Z$9="CO7")*ISNUMBER($H$10:$Z$10)*ISNUMBER(H153:Z153)) = 0,
   "",
   IFERROR(
     (
       IF(
         SUMPRODUCT(($C$9:$G$9="CO7")*ISNUMBER($C$10:$G$10)*ISNUMBER(C153:G153)) = 0,
         0,
         SUMPRODUCT(($C$9:$G$9="CO7")*ISNUMBER($C$10:$G$10)*ISNUMBER(C153:G153)*C153:G153) /
         SUMPRODUCT(($C$9:$G$9="CO7")*ISNUMBER($C$10:$G$10)*ISNUMBER(C153:G153)*$C$10:$G$10) * 0.15
       ) +
       IF(
         SUMPRODUCT(($H$9:$Z$9="CO7")*ISNUMBER($H$10:$Z$10)*ISNUMBER(H153:Z153)) = 0,
         0,
         SUMPRODUCT(($H$9:$Z$9="CO7")*ISNUMBER($H$10:$Z$10)*ISNUMBER(H153:Z153)*H153:Z153) /
         SUMPRODUCT(($H$9:$Z$9="CO7")*ISNUMBER($H$10:$Z$10)*ISNUMBER(H153:Z153)*$H$10:$Z$10) * 0.85
       )
     ) * 100,
     ""
   )
)</f>
        <v/>
      </c>
      <c r="AH153" s="3" t="str" cm="1">
        <f t="array" ref="AH153">IF(
   SUMPRODUCT(($C$9:$G$9="CO8")*ISNUMBER($C$10:$G$10)*ISNUMBER(C153:G153)) +
   SUMPRODUCT(($H$9:$Z$9="CO8")*ISNUMBER($H$10:$Z$10)*ISNUMBER(H153:Z153)) = 0,
   "",
   IFERROR(
     (
       IF(
         SUMPRODUCT(($C$9:$G$9="CO8")*ISNUMBER($C$10:$G$10)*ISNUMBER(C153:G153)) = 0,
         0,
         SUMPRODUCT(($C$9:$G$9="CO8")*ISNUMBER($C$10:$G$10)*ISNUMBER(C153:G153)*C153:G153) /
         SUMPRODUCT(($C$9:$G$9="CO8")*ISNUMBER($C$10:$G$10)*ISNUMBER(C153:G153)*$C$10:$G$10) * 0.15
       ) +
       IF(
         SUMPRODUCT(($H$9:$Z$9="CO8")*ISNUMBER($H$10:$Z$10)*ISNUMBER(H153:Z153)) = 0,
         0,
         SUMPRODUCT(($H$9:$Z$9="CO8")*ISNUMBER($H$10:$Z$10)*ISNUMBER(H153:Z153)*H153:Z153) /
         SUMPRODUCT(($H$9:$Z$9="CO8")*ISNUMBER($H$10:$Z$10)*ISNUMBER(H153:Z153)*$H$10:$Z$10) * 0.85
       )
     ) * 100,
     ""
   )
)</f>
        <v/>
      </c>
      <c r="AI153" s="1" t="str">
        <f t="shared" si="17"/>
        <v/>
      </c>
      <c r="AJ153" s="1" t="str">
        <f t="shared" si="17"/>
        <v/>
      </c>
      <c r="AK153" s="1" t="str">
        <f t="shared" si="17"/>
        <v/>
      </c>
      <c r="AL153" s="1" t="str">
        <f t="shared" si="17"/>
        <v/>
      </c>
      <c r="AM153" s="1" t="str">
        <f t="shared" si="17"/>
        <v/>
      </c>
      <c r="AN153" s="1" t="str">
        <f t="shared" si="17"/>
        <v/>
      </c>
      <c r="AO153" s="1" t="str">
        <f t="shared" si="17"/>
        <v/>
      </c>
      <c r="AP153" s="1" t="str">
        <f t="shared" si="17"/>
        <v/>
      </c>
    </row>
    <row r="154" spans="1:42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" t="str" cm="1">
        <f t="array" ref="AA154">IF(
   SUMPRODUCT(($C$9:$G$9="CO1")*ISNUMBER($C$10:$G$10)*ISNUMBER(C154:G154)) +
   SUMPRODUCT(($H$9:$Z$9="CO1")*ISNUMBER($H$10:$Z$10)*ISNUMBER(H154:Z154)) = 0,
   "",
   IFERROR(
     (
       IF(
         SUMPRODUCT(($C$9:$G$9="CO1")*ISNUMBER($C$10:$G$10)*ISNUMBER(C154:G154)) = 0,
         0,
         SUMPRODUCT(($C$9:$G$9="CO1")*ISNUMBER($C$10:$G$10)*ISNUMBER(C154:G154)*C154:G154) /
         SUMPRODUCT(($C$9:$G$9="CO1")*ISNUMBER($C$10:$G$10)*ISNUMBER(C154:G154)*$C$10:$G$10) * 0.15
       ) +
       IF(
         SUMPRODUCT(($H$9:$Z$9="CO1")*ISNUMBER($H$10:$Z$10)*ISNUMBER(H154:Z154)) = 0,
         0,
         SUMPRODUCT(($H$9:$Z$9="CO1")*ISNUMBER($H$10:$Z$10)*ISNUMBER(H154:Z154)*H154:Z154) /
         SUMPRODUCT(($H$9:$Z$9="CO1")*ISNUMBER($H$10:$Z$10)*ISNUMBER(H154:Z154)*$H$10:$Z$10) * 0.85
       )
     ) * 100,
     ""
   )
)</f>
        <v/>
      </c>
      <c r="AB154" s="1" t="str" cm="1">
        <f t="array" ref="AB154">IF(
   SUMPRODUCT(($C$9:$G$9="CO2")*ISNUMBER($C$10:$G$10)*ISNUMBER(C154:G154)) +
   SUMPRODUCT(($H$9:$Z$9="CO2")*ISNUMBER($H$10:$Z$10)*ISNUMBER(H154:Z154)) = 0,
   "",
   IFERROR(
     (
       IF(
         SUMPRODUCT(($C$9:$G$9="CO2")*ISNUMBER($C$10:$G$10)*ISNUMBER(C154:G154)) = 0,
         0,
         SUMPRODUCT(($C$9:$G$9="CO2")*ISNUMBER($C$10:$G$10)*ISNUMBER(C154:G154)*C154:G154) /
         SUMPRODUCT(($C$9:$G$9="CO2")*ISNUMBER($C$10:$G$10)*ISNUMBER(C154:G154)*$C$10:$G$10) * 0.15
       ) +
       IF(
         SUMPRODUCT(($H$9:$Z$9="CO2")*ISNUMBER($H$10:$Z$10)*ISNUMBER(H154:Z154)) = 0,
         0,
         SUMPRODUCT(($H$9:$Z$9="CO2")*ISNUMBER($H$10:$Z$10)*ISNUMBER(H154:Z154)*H154:Z154) /
         SUMPRODUCT(($H$9:$Z$9="CO2")*ISNUMBER($H$10:$Z$10)*ISNUMBER(H154:Z154)*$H$10:$Z$10) * 0.85
       )
     ) * 100,
     ""
   )
)</f>
        <v/>
      </c>
      <c r="AC154" s="1" t="str" cm="1">
        <f t="array" ref="AC154">IF(
   SUMPRODUCT(($C$9:$G$9="CO3")*ISNUMBER($C$10:$G$10)*ISNUMBER(C154:G154)) +
   SUMPRODUCT(($H$9:$Z$9="CO3")*ISNUMBER($H$10:$Z$10)*ISNUMBER(H154:Z154)) = 0,
   "",
   IFERROR(
     (
       IF(
         SUMPRODUCT(($C$9:$G$9="CO3")*ISNUMBER($C$10:$G$10)*ISNUMBER(C154:G154)) = 0,
         0,
         SUMPRODUCT(($C$9:$G$9="CO3")*ISNUMBER($C$10:$G$10)*ISNUMBER(C154:G154)*C154:G154) /
         SUMPRODUCT(($C$9:$G$9="CO3")*ISNUMBER($C$10:$G$10)*ISNUMBER(C154:G154)*$C$10:$G$10) * 0.15
       ) +
       IF(
         SUMPRODUCT(($H$9:$Z$9="CO3")*ISNUMBER($H$10:$Z$10)*ISNUMBER(H154:Z154)) = 0,
         0,
         SUMPRODUCT(($H$9:$Z$9="CO3")*ISNUMBER($H$10:$Z$10)*ISNUMBER(H154:Z154)*H154:Z154) /
         SUMPRODUCT(($H$9:$Z$9="CO3")*ISNUMBER($H$10:$Z$10)*ISNUMBER(H154:Z154)*$H$10:$Z$10) * 0.85
       )
     ) * 100,
     ""
   )
)</f>
        <v/>
      </c>
      <c r="AD154" s="1" t="str" cm="1">
        <f t="array" ref="AD154">IF(
   SUMPRODUCT(($C$9:$G$9="CO4")*ISNUMBER($C$10:$G$10)*ISNUMBER(C154:G154)) +
   SUMPRODUCT(($H$9:$Z$9="CO4")*ISNUMBER($H$10:$Z$10)*ISNUMBER(H154:Z154)) = 0,
   "",
   IFERROR(
     (
       IF(
         SUMPRODUCT(($C$9:$G$9="CO4")*ISNUMBER($C$10:$G$10)*ISNUMBER(C154:G154)) = 0,
         0,
         SUMPRODUCT(($C$9:$G$9="CO4")*ISNUMBER($C$10:$G$10)*ISNUMBER(C154:G154)*C154:G154) /
         SUMPRODUCT(($C$9:$G$9="CO4")*ISNUMBER($C$10:$G$10)*ISNUMBER(C154:G154)*$C$10:$G$10) * 0.15
       ) +
       IF(
         SUMPRODUCT(($H$9:$Z$9="CO4")*ISNUMBER($H$10:$Z$10)*ISNUMBER(H154:Z154)) = 0,
         0,
         SUMPRODUCT(($H$9:$Z$9="CO4")*ISNUMBER($H$10:$Z$10)*ISNUMBER(H154:Z154)*H154:Z154) /
         SUMPRODUCT(($H$9:$Z$9="CO4")*ISNUMBER($H$10:$Z$10)*ISNUMBER(H154:Z154)*$H$10:$Z$10) * 0.85
       )
     ) * 100,
     ""
   )
)</f>
        <v/>
      </c>
      <c r="AE154" s="1" t="str" cm="1">
        <f t="array" ref="AE154">IF(
   SUMPRODUCT(($C$9:$G$9="CO5")*ISNUMBER($C$10:$G$10)*ISNUMBER(C154:G154)) +
   SUMPRODUCT(($H$9:$Z$9="CO5")*ISNUMBER($H$10:$Z$10)*ISNUMBER(H154:Z154)) = 0,
   "",
   IFERROR(
     (
       IF(
         SUMPRODUCT(($C$9:$G$9="CO5")*ISNUMBER($C$10:$G$10)*ISNUMBER(C154:G154)) = 0,
         0,
         SUMPRODUCT(($C$9:$G$9="CO5")*ISNUMBER($C$10:$G$10)*ISNUMBER(C154:G154)*C154:G154) /
         SUMPRODUCT(($C$9:$G$9="CO5")*ISNUMBER($C$10:$G$10)*ISNUMBER(C154:G154)*$C$10:$G$10) * 0.15
       ) +
       IF(
         SUMPRODUCT(($H$9:$Z$9="CO5")*ISNUMBER($H$10:$Z$10)*ISNUMBER(H154:Z154)) = 0,
         0,
         SUMPRODUCT(($H$9:$Z$9="CO5")*ISNUMBER($H$10:$Z$10)*ISNUMBER(H154:Z154)*H154:Z154) /
         SUMPRODUCT(($H$9:$Z$9="CO5")*ISNUMBER($H$10:$Z$10)*ISNUMBER(H154:Z154)*$H$10:$Z$10) * 0.85
       )
     ) * 100,
     ""
   )
)</f>
        <v/>
      </c>
      <c r="AF154" s="1" t="str" cm="1">
        <f t="array" ref="AF154">IF(
   SUMPRODUCT(($C$9:$G$9="CO6")*ISNUMBER($C$10:$G$10)*ISNUMBER(C154:G154)) +
   SUMPRODUCT(($H$9:$Z$9="CO6")*ISNUMBER($H$10:$Z$10)*ISNUMBER(H154:Z154)) = 0,
   "",
   IFERROR(
     (
       IF(
         SUMPRODUCT(($C$9:$G$9="CO6")*ISNUMBER($C$10:$G$10)*ISNUMBER(C154:G154)) = 0,
         0,
         SUMPRODUCT(($C$9:$G$9="CO6")*ISNUMBER($C$10:$G$10)*ISNUMBER(C154:G154)*C154:G154) /
         SUMPRODUCT(($C$9:$G$9="CO6")*ISNUMBER($C$10:$G$10)*ISNUMBER(C154:G154)*$C$10:$G$10) * 0.15
       ) +
       IF(
         SUMPRODUCT(($H$9:$Z$9="CO6")*ISNUMBER($H$10:$Z$10)*ISNUMBER(H154:Z154)) = 0,
         0,
         SUMPRODUCT(($H$9:$Z$9="CO6")*ISNUMBER($H$10:$Z$10)*ISNUMBER(H154:Z154)*H154:Z154) /
         SUMPRODUCT(($H$9:$Z$9="CO6")*ISNUMBER($H$10:$Z$10)*ISNUMBER(H154:Z154)*$H$10:$Z$10) * 0.85
       )
     ) * 100,
     ""
   )
)</f>
        <v/>
      </c>
      <c r="AG154" s="1" t="str" cm="1">
        <f t="array" ref="AG154">IF(
   SUMPRODUCT(($C$9:$G$9="CO7")*ISNUMBER($C$10:$G$10)*ISNUMBER(C154:G154)) +
   SUMPRODUCT(($H$9:$Z$9="CO7")*ISNUMBER($H$10:$Z$10)*ISNUMBER(H154:Z154)) = 0,
   "",
   IFERROR(
     (
       IF(
         SUMPRODUCT(($C$9:$G$9="CO7")*ISNUMBER($C$10:$G$10)*ISNUMBER(C154:G154)) = 0,
         0,
         SUMPRODUCT(($C$9:$G$9="CO7")*ISNUMBER($C$10:$G$10)*ISNUMBER(C154:G154)*C154:G154) /
         SUMPRODUCT(($C$9:$G$9="CO7")*ISNUMBER($C$10:$G$10)*ISNUMBER(C154:G154)*$C$10:$G$10) * 0.15
       ) +
       IF(
         SUMPRODUCT(($H$9:$Z$9="CO7")*ISNUMBER($H$10:$Z$10)*ISNUMBER(H154:Z154)) = 0,
         0,
         SUMPRODUCT(($H$9:$Z$9="CO7")*ISNUMBER($H$10:$Z$10)*ISNUMBER(H154:Z154)*H154:Z154) /
         SUMPRODUCT(($H$9:$Z$9="CO7")*ISNUMBER($H$10:$Z$10)*ISNUMBER(H154:Z154)*$H$10:$Z$10) * 0.85
       )
     ) * 100,
     ""
   )
)</f>
        <v/>
      </c>
      <c r="AH154" s="3" t="str" cm="1">
        <f t="array" ref="AH154">IF(
   SUMPRODUCT(($C$9:$G$9="CO8")*ISNUMBER($C$10:$G$10)*ISNUMBER(C154:G154)) +
   SUMPRODUCT(($H$9:$Z$9="CO8")*ISNUMBER($H$10:$Z$10)*ISNUMBER(H154:Z154)) = 0,
   "",
   IFERROR(
     (
       IF(
         SUMPRODUCT(($C$9:$G$9="CO8")*ISNUMBER($C$10:$G$10)*ISNUMBER(C154:G154)) = 0,
         0,
         SUMPRODUCT(($C$9:$G$9="CO8")*ISNUMBER($C$10:$G$10)*ISNUMBER(C154:G154)*C154:G154) /
         SUMPRODUCT(($C$9:$G$9="CO8")*ISNUMBER($C$10:$G$10)*ISNUMBER(C154:G154)*$C$10:$G$10) * 0.15
       ) +
       IF(
         SUMPRODUCT(($H$9:$Z$9="CO8")*ISNUMBER($H$10:$Z$10)*ISNUMBER(H154:Z154)) = 0,
         0,
         SUMPRODUCT(($H$9:$Z$9="CO8")*ISNUMBER($H$10:$Z$10)*ISNUMBER(H154:Z154)*H154:Z154) /
         SUMPRODUCT(($H$9:$Z$9="CO8")*ISNUMBER($H$10:$Z$10)*ISNUMBER(H154:Z154)*$H$10:$Z$10) * 0.85
       )
     ) * 100,
     ""
   )
)</f>
        <v/>
      </c>
      <c r="AI154" s="1" t="str">
        <f t="shared" ref="AI154:AP185" si="18">IF(AA154="", "", IF(AA154&lt;40, "F", IF(AA154&lt;50, "P", IF(AA154&lt;60, "S", IF(AA154&lt;70, "First", "D")))))</f>
        <v/>
      </c>
      <c r="AJ154" s="1" t="str">
        <f t="shared" si="18"/>
        <v/>
      </c>
      <c r="AK154" s="1" t="str">
        <f t="shared" si="18"/>
        <v/>
      </c>
      <c r="AL154" s="1" t="str">
        <f t="shared" si="18"/>
        <v/>
      </c>
      <c r="AM154" s="1" t="str">
        <f t="shared" si="18"/>
        <v/>
      </c>
      <c r="AN154" s="1" t="str">
        <f t="shared" si="18"/>
        <v/>
      </c>
      <c r="AO154" s="1" t="str">
        <f t="shared" si="18"/>
        <v/>
      </c>
      <c r="AP154" s="1" t="str">
        <f t="shared" si="18"/>
        <v/>
      </c>
    </row>
    <row r="155" spans="1:42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" t="str" cm="1">
        <f t="array" ref="AA155">IF(
   SUMPRODUCT(($C$9:$G$9="CO1")*ISNUMBER($C$10:$G$10)*ISNUMBER(C155:G155)) +
   SUMPRODUCT(($H$9:$Z$9="CO1")*ISNUMBER($H$10:$Z$10)*ISNUMBER(H155:Z155)) = 0,
   "",
   IFERROR(
     (
       IF(
         SUMPRODUCT(($C$9:$G$9="CO1")*ISNUMBER($C$10:$G$10)*ISNUMBER(C155:G155)) = 0,
         0,
         SUMPRODUCT(($C$9:$G$9="CO1")*ISNUMBER($C$10:$G$10)*ISNUMBER(C155:G155)*C155:G155) /
         SUMPRODUCT(($C$9:$G$9="CO1")*ISNUMBER($C$10:$G$10)*ISNUMBER(C155:G155)*$C$10:$G$10) * 0.15
       ) +
       IF(
         SUMPRODUCT(($H$9:$Z$9="CO1")*ISNUMBER($H$10:$Z$10)*ISNUMBER(H155:Z155)) = 0,
         0,
         SUMPRODUCT(($H$9:$Z$9="CO1")*ISNUMBER($H$10:$Z$10)*ISNUMBER(H155:Z155)*H155:Z155) /
         SUMPRODUCT(($H$9:$Z$9="CO1")*ISNUMBER($H$10:$Z$10)*ISNUMBER(H155:Z155)*$H$10:$Z$10) * 0.85
       )
     ) * 100,
     ""
   )
)</f>
        <v/>
      </c>
      <c r="AB155" s="1" t="str" cm="1">
        <f t="array" ref="AB155">IF(
   SUMPRODUCT(($C$9:$G$9="CO2")*ISNUMBER($C$10:$G$10)*ISNUMBER(C155:G155)) +
   SUMPRODUCT(($H$9:$Z$9="CO2")*ISNUMBER($H$10:$Z$10)*ISNUMBER(H155:Z155)) = 0,
   "",
   IFERROR(
     (
       IF(
         SUMPRODUCT(($C$9:$G$9="CO2")*ISNUMBER($C$10:$G$10)*ISNUMBER(C155:G155)) = 0,
         0,
         SUMPRODUCT(($C$9:$G$9="CO2")*ISNUMBER($C$10:$G$10)*ISNUMBER(C155:G155)*C155:G155) /
         SUMPRODUCT(($C$9:$G$9="CO2")*ISNUMBER($C$10:$G$10)*ISNUMBER(C155:G155)*$C$10:$G$10) * 0.15
       ) +
       IF(
         SUMPRODUCT(($H$9:$Z$9="CO2")*ISNUMBER($H$10:$Z$10)*ISNUMBER(H155:Z155)) = 0,
         0,
         SUMPRODUCT(($H$9:$Z$9="CO2")*ISNUMBER($H$10:$Z$10)*ISNUMBER(H155:Z155)*H155:Z155) /
         SUMPRODUCT(($H$9:$Z$9="CO2")*ISNUMBER($H$10:$Z$10)*ISNUMBER(H155:Z155)*$H$10:$Z$10) * 0.85
       )
     ) * 100,
     ""
   )
)</f>
        <v/>
      </c>
      <c r="AC155" s="1" t="str" cm="1">
        <f t="array" ref="AC155">IF(
   SUMPRODUCT(($C$9:$G$9="CO3")*ISNUMBER($C$10:$G$10)*ISNUMBER(C155:G155)) +
   SUMPRODUCT(($H$9:$Z$9="CO3")*ISNUMBER($H$10:$Z$10)*ISNUMBER(H155:Z155)) = 0,
   "",
   IFERROR(
     (
       IF(
         SUMPRODUCT(($C$9:$G$9="CO3")*ISNUMBER($C$10:$G$10)*ISNUMBER(C155:G155)) = 0,
         0,
         SUMPRODUCT(($C$9:$G$9="CO3")*ISNUMBER($C$10:$G$10)*ISNUMBER(C155:G155)*C155:G155) /
         SUMPRODUCT(($C$9:$G$9="CO3")*ISNUMBER($C$10:$G$10)*ISNUMBER(C155:G155)*$C$10:$G$10) * 0.15
       ) +
       IF(
         SUMPRODUCT(($H$9:$Z$9="CO3")*ISNUMBER($H$10:$Z$10)*ISNUMBER(H155:Z155)) = 0,
         0,
         SUMPRODUCT(($H$9:$Z$9="CO3")*ISNUMBER($H$10:$Z$10)*ISNUMBER(H155:Z155)*H155:Z155) /
         SUMPRODUCT(($H$9:$Z$9="CO3")*ISNUMBER($H$10:$Z$10)*ISNUMBER(H155:Z155)*$H$10:$Z$10) * 0.85
       )
     ) * 100,
     ""
   )
)</f>
        <v/>
      </c>
      <c r="AD155" s="1" t="str" cm="1">
        <f t="array" ref="AD155">IF(
   SUMPRODUCT(($C$9:$G$9="CO4")*ISNUMBER($C$10:$G$10)*ISNUMBER(C155:G155)) +
   SUMPRODUCT(($H$9:$Z$9="CO4")*ISNUMBER($H$10:$Z$10)*ISNUMBER(H155:Z155)) = 0,
   "",
   IFERROR(
     (
       IF(
         SUMPRODUCT(($C$9:$G$9="CO4")*ISNUMBER($C$10:$G$10)*ISNUMBER(C155:G155)) = 0,
         0,
         SUMPRODUCT(($C$9:$G$9="CO4")*ISNUMBER($C$10:$G$10)*ISNUMBER(C155:G155)*C155:G155) /
         SUMPRODUCT(($C$9:$G$9="CO4")*ISNUMBER($C$10:$G$10)*ISNUMBER(C155:G155)*$C$10:$G$10) * 0.15
       ) +
       IF(
         SUMPRODUCT(($H$9:$Z$9="CO4")*ISNUMBER($H$10:$Z$10)*ISNUMBER(H155:Z155)) = 0,
         0,
         SUMPRODUCT(($H$9:$Z$9="CO4")*ISNUMBER($H$10:$Z$10)*ISNUMBER(H155:Z155)*H155:Z155) /
         SUMPRODUCT(($H$9:$Z$9="CO4")*ISNUMBER($H$10:$Z$10)*ISNUMBER(H155:Z155)*$H$10:$Z$10) * 0.85
       )
     ) * 100,
     ""
   )
)</f>
        <v/>
      </c>
      <c r="AE155" s="1" t="str" cm="1">
        <f t="array" ref="AE155">IF(
   SUMPRODUCT(($C$9:$G$9="CO5")*ISNUMBER($C$10:$G$10)*ISNUMBER(C155:G155)) +
   SUMPRODUCT(($H$9:$Z$9="CO5")*ISNUMBER($H$10:$Z$10)*ISNUMBER(H155:Z155)) = 0,
   "",
   IFERROR(
     (
       IF(
         SUMPRODUCT(($C$9:$G$9="CO5")*ISNUMBER($C$10:$G$10)*ISNUMBER(C155:G155)) = 0,
         0,
         SUMPRODUCT(($C$9:$G$9="CO5")*ISNUMBER($C$10:$G$10)*ISNUMBER(C155:G155)*C155:G155) /
         SUMPRODUCT(($C$9:$G$9="CO5")*ISNUMBER($C$10:$G$10)*ISNUMBER(C155:G155)*$C$10:$G$10) * 0.15
       ) +
       IF(
         SUMPRODUCT(($H$9:$Z$9="CO5")*ISNUMBER($H$10:$Z$10)*ISNUMBER(H155:Z155)) = 0,
         0,
         SUMPRODUCT(($H$9:$Z$9="CO5")*ISNUMBER($H$10:$Z$10)*ISNUMBER(H155:Z155)*H155:Z155) /
         SUMPRODUCT(($H$9:$Z$9="CO5")*ISNUMBER($H$10:$Z$10)*ISNUMBER(H155:Z155)*$H$10:$Z$10) * 0.85
       )
     ) * 100,
     ""
   )
)</f>
        <v/>
      </c>
      <c r="AF155" s="1" t="str" cm="1">
        <f t="array" ref="AF155">IF(
   SUMPRODUCT(($C$9:$G$9="CO6")*ISNUMBER($C$10:$G$10)*ISNUMBER(C155:G155)) +
   SUMPRODUCT(($H$9:$Z$9="CO6")*ISNUMBER($H$10:$Z$10)*ISNUMBER(H155:Z155)) = 0,
   "",
   IFERROR(
     (
       IF(
         SUMPRODUCT(($C$9:$G$9="CO6")*ISNUMBER($C$10:$G$10)*ISNUMBER(C155:G155)) = 0,
         0,
         SUMPRODUCT(($C$9:$G$9="CO6")*ISNUMBER($C$10:$G$10)*ISNUMBER(C155:G155)*C155:G155) /
         SUMPRODUCT(($C$9:$G$9="CO6")*ISNUMBER($C$10:$G$10)*ISNUMBER(C155:G155)*$C$10:$G$10) * 0.15
       ) +
       IF(
         SUMPRODUCT(($H$9:$Z$9="CO6")*ISNUMBER($H$10:$Z$10)*ISNUMBER(H155:Z155)) = 0,
         0,
         SUMPRODUCT(($H$9:$Z$9="CO6")*ISNUMBER($H$10:$Z$10)*ISNUMBER(H155:Z155)*H155:Z155) /
         SUMPRODUCT(($H$9:$Z$9="CO6")*ISNUMBER($H$10:$Z$10)*ISNUMBER(H155:Z155)*$H$10:$Z$10) * 0.85
       )
     ) * 100,
     ""
   )
)</f>
        <v/>
      </c>
      <c r="AG155" s="1" t="str" cm="1">
        <f t="array" ref="AG155">IF(
   SUMPRODUCT(($C$9:$G$9="CO7")*ISNUMBER($C$10:$G$10)*ISNUMBER(C155:G155)) +
   SUMPRODUCT(($H$9:$Z$9="CO7")*ISNUMBER($H$10:$Z$10)*ISNUMBER(H155:Z155)) = 0,
   "",
   IFERROR(
     (
       IF(
         SUMPRODUCT(($C$9:$G$9="CO7")*ISNUMBER($C$10:$G$10)*ISNUMBER(C155:G155)) = 0,
         0,
         SUMPRODUCT(($C$9:$G$9="CO7")*ISNUMBER($C$10:$G$10)*ISNUMBER(C155:G155)*C155:G155) /
         SUMPRODUCT(($C$9:$G$9="CO7")*ISNUMBER($C$10:$G$10)*ISNUMBER(C155:G155)*$C$10:$G$10) * 0.15
       ) +
       IF(
         SUMPRODUCT(($H$9:$Z$9="CO7")*ISNUMBER($H$10:$Z$10)*ISNUMBER(H155:Z155)) = 0,
         0,
         SUMPRODUCT(($H$9:$Z$9="CO7")*ISNUMBER($H$10:$Z$10)*ISNUMBER(H155:Z155)*H155:Z155) /
         SUMPRODUCT(($H$9:$Z$9="CO7")*ISNUMBER($H$10:$Z$10)*ISNUMBER(H155:Z155)*$H$10:$Z$10) * 0.85
       )
     ) * 100,
     ""
   )
)</f>
        <v/>
      </c>
      <c r="AH155" s="3" t="str" cm="1">
        <f t="array" ref="AH155">IF(
   SUMPRODUCT(($C$9:$G$9="CO8")*ISNUMBER($C$10:$G$10)*ISNUMBER(C155:G155)) +
   SUMPRODUCT(($H$9:$Z$9="CO8")*ISNUMBER($H$10:$Z$10)*ISNUMBER(H155:Z155)) = 0,
   "",
   IFERROR(
     (
       IF(
         SUMPRODUCT(($C$9:$G$9="CO8")*ISNUMBER($C$10:$G$10)*ISNUMBER(C155:G155)) = 0,
         0,
         SUMPRODUCT(($C$9:$G$9="CO8")*ISNUMBER($C$10:$G$10)*ISNUMBER(C155:G155)*C155:G155) /
         SUMPRODUCT(($C$9:$G$9="CO8")*ISNUMBER($C$10:$G$10)*ISNUMBER(C155:G155)*$C$10:$G$10) * 0.15
       ) +
       IF(
         SUMPRODUCT(($H$9:$Z$9="CO8")*ISNUMBER($H$10:$Z$10)*ISNUMBER(H155:Z155)) = 0,
         0,
         SUMPRODUCT(($H$9:$Z$9="CO8")*ISNUMBER($H$10:$Z$10)*ISNUMBER(H155:Z155)*H155:Z155) /
         SUMPRODUCT(($H$9:$Z$9="CO8")*ISNUMBER($H$10:$Z$10)*ISNUMBER(H155:Z155)*$H$10:$Z$10) * 0.85
       )
     ) * 100,
     ""
   )
)</f>
        <v/>
      </c>
      <c r="AI155" s="1" t="str">
        <f t="shared" si="18"/>
        <v/>
      </c>
      <c r="AJ155" s="1" t="str">
        <f t="shared" si="18"/>
        <v/>
      </c>
      <c r="AK155" s="1" t="str">
        <f t="shared" si="18"/>
        <v/>
      </c>
      <c r="AL155" s="1" t="str">
        <f t="shared" si="18"/>
        <v/>
      </c>
      <c r="AM155" s="1" t="str">
        <f t="shared" si="18"/>
        <v/>
      </c>
      <c r="AN155" s="1" t="str">
        <f t="shared" si="18"/>
        <v/>
      </c>
      <c r="AO155" s="1" t="str">
        <f t="shared" si="18"/>
        <v/>
      </c>
      <c r="AP155" s="1" t="str">
        <f t="shared" si="18"/>
        <v/>
      </c>
    </row>
    <row r="156" spans="1:42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" t="str" cm="1">
        <f t="array" ref="AA156">IF(
   SUMPRODUCT(($C$9:$G$9="CO1")*ISNUMBER($C$10:$G$10)*ISNUMBER(C156:G156)) +
   SUMPRODUCT(($H$9:$Z$9="CO1")*ISNUMBER($H$10:$Z$10)*ISNUMBER(H156:Z156)) = 0,
   "",
   IFERROR(
     (
       IF(
         SUMPRODUCT(($C$9:$G$9="CO1")*ISNUMBER($C$10:$G$10)*ISNUMBER(C156:G156)) = 0,
         0,
         SUMPRODUCT(($C$9:$G$9="CO1")*ISNUMBER($C$10:$G$10)*ISNUMBER(C156:G156)*C156:G156) /
         SUMPRODUCT(($C$9:$G$9="CO1")*ISNUMBER($C$10:$G$10)*ISNUMBER(C156:G156)*$C$10:$G$10) * 0.15
       ) +
       IF(
         SUMPRODUCT(($H$9:$Z$9="CO1")*ISNUMBER($H$10:$Z$10)*ISNUMBER(H156:Z156)) = 0,
         0,
         SUMPRODUCT(($H$9:$Z$9="CO1")*ISNUMBER($H$10:$Z$10)*ISNUMBER(H156:Z156)*H156:Z156) /
         SUMPRODUCT(($H$9:$Z$9="CO1")*ISNUMBER($H$10:$Z$10)*ISNUMBER(H156:Z156)*$H$10:$Z$10) * 0.85
       )
     ) * 100,
     ""
   )
)</f>
        <v/>
      </c>
      <c r="AB156" s="1" t="str" cm="1">
        <f t="array" ref="AB156">IF(
   SUMPRODUCT(($C$9:$G$9="CO2")*ISNUMBER($C$10:$G$10)*ISNUMBER(C156:G156)) +
   SUMPRODUCT(($H$9:$Z$9="CO2")*ISNUMBER($H$10:$Z$10)*ISNUMBER(H156:Z156)) = 0,
   "",
   IFERROR(
     (
       IF(
         SUMPRODUCT(($C$9:$G$9="CO2")*ISNUMBER($C$10:$G$10)*ISNUMBER(C156:G156)) = 0,
         0,
         SUMPRODUCT(($C$9:$G$9="CO2")*ISNUMBER($C$10:$G$10)*ISNUMBER(C156:G156)*C156:G156) /
         SUMPRODUCT(($C$9:$G$9="CO2")*ISNUMBER($C$10:$G$10)*ISNUMBER(C156:G156)*$C$10:$G$10) * 0.15
       ) +
       IF(
         SUMPRODUCT(($H$9:$Z$9="CO2")*ISNUMBER($H$10:$Z$10)*ISNUMBER(H156:Z156)) = 0,
         0,
         SUMPRODUCT(($H$9:$Z$9="CO2")*ISNUMBER($H$10:$Z$10)*ISNUMBER(H156:Z156)*H156:Z156) /
         SUMPRODUCT(($H$9:$Z$9="CO2")*ISNUMBER($H$10:$Z$10)*ISNUMBER(H156:Z156)*$H$10:$Z$10) * 0.85
       )
     ) * 100,
     ""
   )
)</f>
        <v/>
      </c>
      <c r="AC156" s="1" t="str" cm="1">
        <f t="array" ref="AC156">IF(
   SUMPRODUCT(($C$9:$G$9="CO3")*ISNUMBER($C$10:$G$10)*ISNUMBER(C156:G156)) +
   SUMPRODUCT(($H$9:$Z$9="CO3")*ISNUMBER($H$10:$Z$10)*ISNUMBER(H156:Z156)) = 0,
   "",
   IFERROR(
     (
       IF(
         SUMPRODUCT(($C$9:$G$9="CO3")*ISNUMBER($C$10:$G$10)*ISNUMBER(C156:G156)) = 0,
         0,
         SUMPRODUCT(($C$9:$G$9="CO3")*ISNUMBER($C$10:$G$10)*ISNUMBER(C156:G156)*C156:G156) /
         SUMPRODUCT(($C$9:$G$9="CO3")*ISNUMBER($C$10:$G$10)*ISNUMBER(C156:G156)*$C$10:$G$10) * 0.15
       ) +
       IF(
         SUMPRODUCT(($H$9:$Z$9="CO3")*ISNUMBER($H$10:$Z$10)*ISNUMBER(H156:Z156)) = 0,
         0,
         SUMPRODUCT(($H$9:$Z$9="CO3")*ISNUMBER($H$10:$Z$10)*ISNUMBER(H156:Z156)*H156:Z156) /
         SUMPRODUCT(($H$9:$Z$9="CO3")*ISNUMBER($H$10:$Z$10)*ISNUMBER(H156:Z156)*$H$10:$Z$10) * 0.85
       )
     ) * 100,
     ""
   )
)</f>
        <v/>
      </c>
      <c r="AD156" s="1" t="str" cm="1">
        <f t="array" ref="AD156">IF(
   SUMPRODUCT(($C$9:$G$9="CO4")*ISNUMBER($C$10:$G$10)*ISNUMBER(C156:G156)) +
   SUMPRODUCT(($H$9:$Z$9="CO4")*ISNUMBER($H$10:$Z$10)*ISNUMBER(H156:Z156)) = 0,
   "",
   IFERROR(
     (
       IF(
         SUMPRODUCT(($C$9:$G$9="CO4")*ISNUMBER($C$10:$G$10)*ISNUMBER(C156:G156)) = 0,
         0,
         SUMPRODUCT(($C$9:$G$9="CO4")*ISNUMBER($C$10:$G$10)*ISNUMBER(C156:G156)*C156:G156) /
         SUMPRODUCT(($C$9:$G$9="CO4")*ISNUMBER($C$10:$G$10)*ISNUMBER(C156:G156)*$C$10:$G$10) * 0.15
       ) +
       IF(
         SUMPRODUCT(($H$9:$Z$9="CO4")*ISNUMBER($H$10:$Z$10)*ISNUMBER(H156:Z156)) = 0,
         0,
         SUMPRODUCT(($H$9:$Z$9="CO4")*ISNUMBER($H$10:$Z$10)*ISNUMBER(H156:Z156)*H156:Z156) /
         SUMPRODUCT(($H$9:$Z$9="CO4")*ISNUMBER($H$10:$Z$10)*ISNUMBER(H156:Z156)*$H$10:$Z$10) * 0.85
       )
     ) * 100,
     ""
   )
)</f>
        <v/>
      </c>
      <c r="AE156" s="1" t="str" cm="1">
        <f t="array" ref="AE156">IF(
   SUMPRODUCT(($C$9:$G$9="CO5")*ISNUMBER($C$10:$G$10)*ISNUMBER(C156:G156)) +
   SUMPRODUCT(($H$9:$Z$9="CO5")*ISNUMBER($H$10:$Z$10)*ISNUMBER(H156:Z156)) = 0,
   "",
   IFERROR(
     (
       IF(
         SUMPRODUCT(($C$9:$G$9="CO5")*ISNUMBER($C$10:$G$10)*ISNUMBER(C156:G156)) = 0,
         0,
         SUMPRODUCT(($C$9:$G$9="CO5")*ISNUMBER($C$10:$G$10)*ISNUMBER(C156:G156)*C156:G156) /
         SUMPRODUCT(($C$9:$G$9="CO5")*ISNUMBER($C$10:$G$10)*ISNUMBER(C156:G156)*$C$10:$G$10) * 0.15
       ) +
       IF(
         SUMPRODUCT(($H$9:$Z$9="CO5")*ISNUMBER($H$10:$Z$10)*ISNUMBER(H156:Z156)) = 0,
         0,
         SUMPRODUCT(($H$9:$Z$9="CO5")*ISNUMBER($H$10:$Z$10)*ISNUMBER(H156:Z156)*H156:Z156) /
         SUMPRODUCT(($H$9:$Z$9="CO5")*ISNUMBER($H$10:$Z$10)*ISNUMBER(H156:Z156)*$H$10:$Z$10) * 0.85
       )
     ) * 100,
     ""
   )
)</f>
        <v/>
      </c>
      <c r="AF156" s="1" t="str" cm="1">
        <f t="array" ref="AF156">IF(
   SUMPRODUCT(($C$9:$G$9="CO6")*ISNUMBER($C$10:$G$10)*ISNUMBER(C156:G156)) +
   SUMPRODUCT(($H$9:$Z$9="CO6")*ISNUMBER($H$10:$Z$10)*ISNUMBER(H156:Z156)) = 0,
   "",
   IFERROR(
     (
       IF(
         SUMPRODUCT(($C$9:$G$9="CO6")*ISNUMBER($C$10:$G$10)*ISNUMBER(C156:G156)) = 0,
         0,
         SUMPRODUCT(($C$9:$G$9="CO6")*ISNUMBER($C$10:$G$10)*ISNUMBER(C156:G156)*C156:G156) /
         SUMPRODUCT(($C$9:$G$9="CO6")*ISNUMBER($C$10:$G$10)*ISNUMBER(C156:G156)*$C$10:$G$10) * 0.15
       ) +
       IF(
         SUMPRODUCT(($H$9:$Z$9="CO6")*ISNUMBER($H$10:$Z$10)*ISNUMBER(H156:Z156)) = 0,
         0,
         SUMPRODUCT(($H$9:$Z$9="CO6")*ISNUMBER($H$10:$Z$10)*ISNUMBER(H156:Z156)*H156:Z156) /
         SUMPRODUCT(($H$9:$Z$9="CO6")*ISNUMBER($H$10:$Z$10)*ISNUMBER(H156:Z156)*$H$10:$Z$10) * 0.85
       )
     ) * 100,
     ""
   )
)</f>
        <v/>
      </c>
      <c r="AG156" s="1" t="str" cm="1">
        <f t="array" ref="AG156">IF(
   SUMPRODUCT(($C$9:$G$9="CO7")*ISNUMBER($C$10:$G$10)*ISNUMBER(C156:G156)) +
   SUMPRODUCT(($H$9:$Z$9="CO7")*ISNUMBER($H$10:$Z$10)*ISNUMBER(H156:Z156)) = 0,
   "",
   IFERROR(
     (
       IF(
         SUMPRODUCT(($C$9:$G$9="CO7")*ISNUMBER($C$10:$G$10)*ISNUMBER(C156:G156)) = 0,
         0,
         SUMPRODUCT(($C$9:$G$9="CO7")*ISNUMBER($C$10:$G$10)*ISNUMBER(C156:G156)*C156:G156) /
         SUMPRODUCT(($C$9:$G$9="CO7")*ISNUMBER($C$10:$G$10)*ISNUMBER(C156:G156)*$C$10:$G$10) * 0.15
       ) +
       IF(
         SUMPRODUCT(($H$9:$Z$9="CO7")*ISNUMBER($H$10:$Z$10)*ISNUMBER(H156:Z156)) = 0,
         0,
         SUMPRODUCT(($H$9:$Z$9="CO7")*ISNUMBER($H$10:$Z$10)*ISNUMBER(H156:Z156)*H156:Z156) /
         SUMPRODUCT(($H$9:$Z$9="CO7")*ISNUMBER($H$10:$Z$10)*ISNUMBER(H156:Z156)*$H$10:$Z$10) * 0.85
       )
     ) * 100,
     ""
   )
)</f>
        <v/>
      </c>
      <c r="AH156" s="3" t="str" cm="1">
        <f t="array" ref="AH156">IF(
   SUMPRODUCT(($C$9:$G$9="CO8")*ISNUMBER($C$10:$G$10)*ISNUMBER(C156:G156)) +
   SUMPRODUCT(($H$9:$Z$9="CO8")*ISNUMBER($H$10:$Z$10)*ISNUMBER(H156:Z156)) = 0,
   "",
   IFERROR(
     (
       IF(
         SUMPRODUCT(($C$9:$G$9="CO8")*ISNUMBER($C$10:$G$10)*ISNUMBER(C156:G156)) = 0,
         0,
         SUMPRODUCT(($C$9:$G$9="CO8")*ISNUMBER($C$10:$G$10)*ISNUMBER(C156:G156)*C156:G156) /
         SUMPRODUCT(($C$9:$G$9="CO8")*ISNUMBER($C$10:$G$10)*ISNUMBER(C156:G156)*$C$10:$G$10) * 0.15
       ) +
       IF(
         SUMPRODUCT(($H$9:$Z$9="CO8")*ISNUMBER($H$10:$Z$10)*ISNUMBER(H156:Z156)) = 0,
         0,
         SUMPRODUCT(($H$9:$Z$9="CO8")*ISNUMBER($H$10:$Z$10)*ISNUMBER(H156:Z156)*H156:Z156) /
         SUMPRODUCT(($H$9:$Z$9="CO8")*ISNUMBER($H$10:$Z$10)*ISNUMBER(H156:Z156)*$H$10:$Z$10) * 0.85
       )
     ) * 100,
     ""
   )
)</f>
        <v/>
      </c>
      <c r="AI156" s="1" t="str">
        <f t="shared" si="18"/>
        <v/>
      </c>
      <c r="AJ156" s="1" t="str">
        <f t="shared" si="18"/>
        <v/>
      </c>
      <c r="AK156" s="1" t="str">
        <f t="shared" si="18"/>
        <v/>
      </c>
      <c r="AL156" s="1" t="str">
        <f t="shared" si="18"/>
        <v/>
      </c>
      <c r="AM156" s="1" t="str">
        <f t="shared" si="18"/>
        <v/>
      </c>
      <c r="AN156" s="1" t="str">
        <f t="shared" si="18"/>
        <v/>
      </c>
      <c r="AO156" s="1" t="str">
        <f t="shared" si="18"/>
        <v/>
      </c>
      <c r="AP156" s="1" t="str">
        <f t="shared" si="18"/>
        <v/>
      </c>
    </row>
    <row r="157" spans="1:42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" t="str" cm="1">
        <f t="array" ref="AA157">IF(
   SUMPRODUCT(($C$9:$G$9="CO1")*ISNUMBER($C$10:$G$10)*ISNUMBER(C157:G157)) +
   SUMPRODUCT(($H$9:$Z$9="CO1")*ISNUMBER($H$10:$Z$10)*ISNUMBER(H157:Z157)) = 0,
   "",
   IFERROR(
     (
       IF(
         SUMPRODUCT(($C$9:$G$9="CO1")*ISNUMBER($C$10:$G$10)*ISNUMBER(C157:G157)) = 0,
         0,
         SUMPRODUCT(($C$9:$G$9="CO1")*ISNUMBER($C$10:$G$10)*ISNUMBER(C157:G157)*C157:G157) /
         SUMPRODUCT(($C$9:$G$9="CO1")*ISNUMBER($C$10:$G$10)*ISNUMBER(C157:G157)*$C$10:$G$10) * 0.15
       ) +
       IF(
         SUMPRODUCT(($H$9:$Z$9="CO1")*ISNUMBER($H$10:$Z$10)*ISNUMBER(H157:Z157)) = 0,
         0,
         SUMPRODUCT(($H$9:$Z$9="CO1")*ISNUMBER($H$10:$Z$10)*ISNUMBER(H157:Z157)*H157:Z157) /
         SUMPRODUCT(($H$9:$Z$9="CO1")*ISNUMBER($H$10:$Z$10)*ISNUMBER(H157:Z157)*$H$10:$Z$10) * 0.85
       )
     ) * 100,
     ""
   )
)</f>
        <v/>
      </c>
      <c r="AB157" s="1" t="str" cm="1">
        <f t="array" ref="AB157">IF(
   SUMPRODUCT(($C$9:$G$9="CO2")*ISNUMBER($C$10:$G$10)*ISNUMBER(C157:G157)) +
   SUMPRODUCT(($H$9:$Z$9="CO2")*ISNUMBER($H$10:$Z$10)*ISNUMBER(H157:Z157)) = 0,
   "",
   IFERROR(
     (
       IF(
         SUMPRODUCT(($C$9:$G$9="CO2")*ISNUMBER($C$10:$G$10)*ISNUMBER(C157:G157)) = 0,
         0,
         SUMPRODUCT(($C$9:$G$9="CO2")*ISNUMBER($C$10:$G$10)*ISNUMBER(C157:G157)*C157:G157) /
         SUMPRODUCT(($C$9:$G$9="CO2")*ISNUMBER($C$10:$G$10)*ISNUMBER(C157:G157)*$C$10:$G$10) * 0.15
       ) +
       IF(
         SUMPRODUCT(($H$9:$Z$9="CO2")*ISNUMBER($H$10:$Z$10)*ISNUMBER(H157:Z157)) = 0,
         0,
         SUMPRODUCT(($H$9:$Z$9="CO2")*ISNUMBER($H$10:$Z$10)*ISNUMBER(H157:Z157)*H157:Z157) /
         SUMPRODUCT(($H$9:$Z$9="CO2")*ISNUMBER($H$10:$Z$10)*ISNUMBER(H157:Z157)*$H$10:$Z$10) * 0.85
       )
     ) * 100,
     ""
   )
)</f>
        <v/>
      </c>
      <c r="AC157" s="1" t="str" cm="1">
        <f t="array" ref="AC157">IF(
   SUMPRODUCT(($C$9:$G$9="CO3")*ISNUMBER($C$10:$G$10)*ISNUMBER(C157:G157)) +
   SUMPRODUCT(($H$9:$Z$9="CO3")*ISNUMBER($H$10:$Z$10)*ISNUMBER(H157:Z157)) = 0,
   "",
   IFERROR(
     (
       IF(
         SUMPRODUCT(($C$9:$G$9="CO3")*ISNUMBER($C$10:$G$10)*ISNUMBER(C157:G157)) = 0,
         0,
         SUMPRODUCT(($C$9:$G$9="CO3")*ISNUMBER($C$10:$G$10)*ISNUMBER(C157:G157)*C157:G157) /
         SUMPRODUCT(($C$9:$G$9="CO3")*ISNUMBER($C$10:$G$10)*ISNUMBER(C157:G157)*$C$10:$G$10) * 0.15
       ) +
       IF(
         SUMPRODUCT(($H$9:$Z$9="CO3")*ISNUMBER($H$10:$Z$10)*ISNUMBER(H157:Z157)) = 0,
         0,
         SUMPRODUCT(($H$9:$Z$9="CO3")*ISNUMBER($H$10:$Z$10)*ISNUMBER(H157:Z157)*H157:Z157) /
         SUMPRODUCT(($H$9:$Z$9="CO3")*ISNUMBER($H$10:$Z$10)*ISNUMBER(H157:Z157)*$H$10:$Z$10) * 0.85
       )
     ) * 100,
     ""
   )
)</f>
        <v/>
      </c>
      <c r="AD157" s="1" t="str" cm="1">
        <f t="array" ref="AD157">IF(
   SUMPRODUCT(($C$9:$G$9="CO4")*ISNUMBER($C$10:$G$10)*ISNUMBER(C157:G157)) +
   SUMPRODUCT(($H$9:$Z$9="CO4")*ISNUMBER($H$10:$Z$10)*ISNUMBER(H157:Z157)) = 0,
   "",
   IFERROR(
     (
       IF(
         SUMPRODUCT(($C$9:$G$9="CO4")*ISNUMBER($C$10:$G$10)*ISNUMBER(C157:G157)) = 0,
         0,
         SUMPRODUCT(($C$9:$G$9="CO4")*ISNUMBER($C$10:$G$10)*ISNUMBER(C157:G157)*C157:G157) /
         SUMPRODUCT(($C$9:$G$9="CO4")*ISNUMBER($C$10:$G$10)*ISNUMBER(C157:G157)*$C$10:$G$10) * 0.15
       ) +
       IF(
         SUMPRODUCT(($H$9:$Z$9="CO4")*ISNUMBER($H$10:$Z$10)*ISNUMBER(H157:Z157)) = 0,
         0,
         SUMPRODUCT(($H$9:$Z$9="CO4")*ISNUMBER($H$10:$Z$10)*ISNUMBER(H157:Z157)*H157:Z157) /
         SUMPRODUCT(($H$9:$Z$9="CO4")*ISNUMBER($H$10:$Z$10)*ISNUMBER(H157:Z157)*$H$10:$Z$10) * 0.85
       )
     ) * 100,
     ""
   )
)</f>
        <v/>
      </c>
      <c r="AE157" s="1" t="str" cm="1">
        <f t="array" ref="AE157">IF(
   SUMPRODUCT(($C$9:$G$9="CO5")*ISNUMBER($C$10:$G$10)*ISNUMBER(C157:G157)) +
   SUMPRODUCT(($H$9:$Z$9="CO5")*ISNUMBER($H$10:$Z$10)*ISNUMBER(H157:Z157)) = 0,
   "",
   IFERROR(
     (
       IF(
         SUMPRODUCT(($C$9:$G$9="CO5")*ISNUMBER($C$10:$G$10)*ISNUMBER(C157:G157)) = 0,
         0,
         SUMPRODUCT(($C$9:$G$9="CO5")*ISNUMBER($C$10:$G$10)*ISNUMBER(C157:G157)*C157:G157) /
         SUMPRODUCT(($C$9:$G$9="CO5")*ISNUMBER($C$10:$G$10)*ISNUMBER(C157:G157)*$C$10:$G$10) * 0.15
       ) +
       IF(
         SUMPRODUCT(($H$9:$Z$9="CO5")*ISNUMBER($H$10:$Z$10)*ISNUMBER(H157:Z157)) = 0,
         0,
         SUMPRODUCT(($H$9:$Z$9="CO5")*ISNUMBER($H$10:$Z$10)*ISNUMBER(H157:Z157)*H157:Z157) /
         SUMPRODUCT(($H$9:$Z$9="CO5")*ISNUMBER($H$10:$Z$10)*ISNUMBER(H157:Z157)*$H$10:$Z$10) * 0.85
       )
     ) * 100,
     ""
   )
)</f>
        <v/>
      </c>
      <c r="AF157" s="1" t="str" cm="1">
        <f t="array" ref="AF157">IF(
   SUMPRODUCT(($C$9:$G$9="CO6")*ISNUMBER($C$10:$G$10)*ISNUMBER(C157:G157)) +
   SUMPRODUCT(($H$9:$Z$9="CO6")*ISNUMBER($H$10:$Z$10)*ISNUMBER(H157:Z157)) = 0,
   "",
   IFERROR(
     (
       IF(
         SUMPRODUCT(($C$9:$G$9="CO6")*ISNUMBER($C$10:$G$10)*ISNUMBER(C157:G157)) = 0,
         0,
         SUMPRODUCT(($C$9:$G$9="CO6")*ISNUMBER($C$10:$G$10)*ISNUMBER(C157:G157)*C157:G157) /
         SUMPRODUCT(($C$9:$G$9="CO6")*ISNUMBER($C$10:$G$10)*ISNUMBER(C157:G157)*$C$10:$G$10) * 0.15
       ) +
       IF(
         SUMPRODUCT(($H$9:$Z$9="CO6")*ISNUMBER($H$10:$Z$10)*ISNUMBER(H157:Z157)) = 0,
         0,
         SUMPRODUCT(($H$9:$Z$9="CO6")*ISNUMBER($H$10:$Z$10)*ISNUMBER(H157:Z157)*H157:Z157) /
         SUMPRODUCT(($H$9:$Z$9="CO6")*ISNUMBER($H$10:$Z$10)*ISNUMBER(H157:Z157)*$H$10:$Z$10) * 0.85
       )
     ) * 100,
     ""
   )
)</f>
        <v/>
      </c>
      <c r="AG157" s="1" t="str" cm="1">
        <f t="array" ref="AG157">IF(
   SUMPRODUCT(($C$9:$G$9="CO7")*ISNUMBER($C$10:$G$10)*ISNUMBER(C157:G157)) +
   SUMPRODUCT(($H$9:$Z$9="CO7")*ISNUMBER($H$10:$Z$10)*ISNUMBER(H157:Z157)) = 0,
   "",
   IFERROR(
     (
       IF(
         SUMPRODUCT(($C$9:$G$9="CO7")*ISNUMBER($C$10:$G$10)*ISNUMBER(C157:G157)) = 0,
         0,
         SUMPRODUCT(($C$9:$G$9="CO7")*ISNUMBER($C$10:$G$10)*ISNUMBER(C157:G157)*C157:G157) /
         SUMPRODUCT(($C$9:$G$9="CO7")*ISNUMBER($C$10:$G$10)*ISNUMBER(C157:G157)*$C$10:$G$10) * 0.15
       ) +
       IF(
         SUMPRODUCT(($H$9:$Z$9="CO7")*ISNUMBER($H$10:$Z$10)*ISNUMBER(H157:Z157)) = 0,
         0,
         SUMPRODUCT(($H$9:$Z$9="CO7")*ISNUMBER($H$10:$Z$10)*ISNUMBER(H157:Z157)*H157:Z157) /
         SUMPRODUCT(($H$9:$Z$9="CO7")*ISNUMBER($H$10:$Z$10)*ISNUMBER(H157:Z157)*$H$10:$Z$10) * 0.85
       )
     ) * 100,
     ""
   )
)</f>
        <v/>
      </c>
      <c r="AH157" s="3" t="str" cm="1">
        <f t="array" ref="AH157">IF(
   SUMPRODUCT(($C$9:$G$9="CO8")*ISNUMBER($C$10:$G$10)*ISNUMBER(C157:G157)) +
   SUMPRODUCT(($H$9:$Z$9="CO8")*ISNUMBER($H$10:$Z$10)*ISNUMBER(H157:Z157)) = 0,
   "",
   IFERROR(
     (
       IF(
         SUMPRODUCT(($C$9:$G$9="CO8")*ISNUMBER($C$10:$G$10)*ISNUMBER(C157:G157)) = 0,
         0,
         SUMPRODUCT(($C$9:$G$9="CO8")*ISNUMBER($C$10:$G$10)*ISNUMBER(C157:G157)*C157:G157) /
         SUMPRODUCT(($C$9:$G$9="CO8")*ISNUMBER($C$10:$G$10)*ISNUMBER(C157:G157)*$C$10:$G$10) * 0.15
       ) +
       IF(
         SUMPRODUCT(($H$9:$Z$9="CO8")*ISNUMBER($H$10:$Z$10)*ISNUMBER(H157:Z157)) = 0,
         0,
         SUMPRODUCT(($H$9:$Z$9="CO8")*ISNUMBER($H$10:$Z$10)*ISNUMBER(H157:Z157)*H157:Z157) /
         SUMPRODUCT(($H$9:$Z$9="CO8")*ISNUMBER($H$10:$Z$10)*ISNUMBER(H157:Z157)*$H$10:$Z$10) * 0.85
       )
     ) * 100,
     ""
   )
)</f>
        <v/>
      </c>
      <c r="AI157" s="1" t="str">
        <f t="shared" si="18"/>
        <v/>
      </c>
      <c r="AJ157" s="1" t="str">
        <f t="shared" si="18"/>
        <v/>
      </c>
      <c r="AK157" s="1" t="str">
        <f t="shared" si="18"/>
        <v/>
      </c>
      <c r="AL157" s="1" t="str">
        <f t="shared" si="18"/>
        <v/>
      </c>
      <c r="AM157" s="1" t="str">
        <f t="shared" si="18"/>
        <v/>
      </c>
      <c r="AN157" s="1" t="str">
        <f t="shared" si="18"/>
        <v/>
      </c>
      <c r="AO157" s="1" t="str">
        <f t="shared" si="18"/>
        <v/>
      </c>
      <c r="AP157" s="1" t="str">
        <f t="shared" si="18"/>
        <v/>
      </c>
    </row>
    <row r="158" spans="1:42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" t="str" cm="1">
        <f t="array" ref="AA158">IF(
   SUMPRODUCT(($C$9:$G$9="CO1")*ISNUMBER($C$10:$G$10)*ISNUMBER(C158:G158)) +
   SUMPRODUCT(($H$9:$Z$9="CO1")*ISNUMBER($H$10:$Z$10)*ISNUMBER(H158:Z158)) = 0,
   "",
   IFERROR(
     (
       IF(
         SUMPRODUCT(($C$9:$G$9="CO1")*ISNUMBER($C$10:$G$10)*ISNUMBER(C158:G158)) = 0,
         0,
         SUMPRODUCT(($C$9:$G$9="CO1")*ISNUMBER($C$10:$G$10)*ISNUMBER(C158:G158)*C158:G158) /
         SUMPRODUCT(($C$9:$G$9="CO1")*ISNUMBER($C$10:$G$10)*ISNUMBER(C158:G158)*$C$10:$G$10) * 0.15
       ) +
       IF(
         SUMPRODUCT(($H$9:$Z$9="CO1")*ISNUMBER($H$10:$Z$10)*ISNUMBER(H158:Z158)) = 0,
         0,
         SUMPRODUCT(($H$9:$Z$9="CO1")*ISNUMBER($H$10:$Z$10)*ISNUMBER(H158:Z158)*H158:Z158) /
         SUMPRODUCT(($H$9:$Z$9="CO1")*ISNUMBER($H$10:$Z$10)*ISNUMBER(H158:Z158)*$H$10:$Z$10) * 0.85
       )
     ) * 100,
     ""
   )
)</f>
        <v/>
      </c>
      <c r="AB158" s="1" t="str" cm="1">
        <f t="array" ref="AB158">IF(
   SUMPRODUCT(($C$9:$G$9="CO2")*ISNUMBER($C$10:$G$10)*ISNUMBER(C158:G158)) +
   SUMPRODUCT(($H$9:$Z$9="CO2")*ISNUMBER($H$10:$Z$10)*ISNUMBER(H158:Z158)) = 0,
   "",
   IFERROR(
     (
       IF(
         SUMPRODUCT(($C$9:$G$9="CO2")*ISNUMBER($C$10:$G$10)*ISNUMBER(C158:G158)) = 0,
         0,
         SUMPRODUCT(($C$9:$G$9="CO2")*ISNUMBER($C$10:$G$10)*ISNUMBER(C158:G158)*C158:G158) /
         SUMPRODUCT(($C$9:$G$9="CO2")*ISNUMBER($C$10:$G$10)*ISNUMBER(C158:G158)*$C$10:$G$10) * 0.15
       ) +
       IF(
         SUMPRODUCT(($H$9:$Z$9="CO2")*ISNUMBER($H$10:$Z$10)*ISNUMBER(H158:Z158)) = 0,
         0,
         SUMPRODUCT(($H$9:$Z$9="CO2")*ISNUMBER($H$10:$Z$10)*ISNUMBER(H158:Z158)*H158:Z158) /
         SUMPRODUCT(($H$9:$Z$9="CO2")*ISNUMBER($H$10:$Z$10)*ISNUMBER(H158:Z158)*$H$10:$Z$10) * 0.85
       )
     ) * 100,
     ""
   )
)</f>
        <v/>
      </c>
      <c r="AC158" s="1" t="str" cm="1">
        <f t="array" ref="AC158">IF(
   SUMPRODUCT(($C$9:$G$9="CO3")*ISNUMBER($C$10:$G$10)*ISNUMBER(C158:G158)) +
   SUMPRODUCT(($H$9:$Z$9="CO3")*ISNUMBER($H$10:$Z$10)*ISNUMBER(H158:Z158)) = 0,
   "",
   IFERROR(
     (
       IF(
         SUMPRODUCT(($C$9:$G$9="CO3")*ISNUMBER($C$10:$G$10)*ISNUMBER(C158:G158)) = 0,
         0,
         SUMPRODUCT(($C$9:$G$9="CO3")*ISNUMBER($C$10:$G$10)*ISNUMBER(C158:G158)*C158:G158) /
         SUMPRODUCT(($C$9:$G$9="CO3")*ISNUMBER($C$10:$G$10)*ISNUMBER(C158:G158)*$C$10:$G$10) * 0.15
       ) +
       IF(
         SUMPRODUCT(($H$9:$Z$9="CO3")*ISNUMBER($H$10:$Z$10)*ISNUMBER(H158:Z158)) = 0,
         0,
         SUMPRODUCT(($H$9:$Z$9="CO3")*ISNUMBER($H$10:$Z$10)*ISNUMBER(H158:Z158)*H158:Z158) /
         SUMPRODUCT(($H$9:$Z$9="CO3")*ISNUMBER($H$10:$Z$10)*ISNUMBER(H158:Z158)*$H$10:$Z$10) * 0.85
       )
     ) * 100,
     ""
   )
)</f>
        <v/>
      </c>
      <c r="AD158" s="1" t="str" cm="1">
        <f t="array" ref="AD158">IF(
   SUMPRODUCT(($C$9:$G$9="CO4")*ISNUMBER($C$10:$G$10)*ISNUMBER(C158:G158)) +
   SUMPRODUCT(($H$9:$Z$9="CO4")*ISNUMBER($H$10:$Z$10)*ISNUMBER(H158:Z158)) = 0,
   "",
   IFERROR(
     (
       IF(
         SUMPRODUCT(($C$9:$G$9="CO4")*ISNUMBER($C$10:$G$10)*ISNUMBER(C158:G158)) = 0,
         0,
         SUMPRODUCT(($C$9:$G$9="CO4")*ISNUMBER($C$10:$G$10)*ISNUMBER(C158:G158)*C158:G158) /
         SUMPRODUCT(($C$9:$G$9="CO4")*ISNUMBER($C$10:$G$10)*ISNUMBER(C158:G158)*$C$10:$G$10) * 0.15
       ) +
       IF(
         SUMPRODUCT(($H$9:$Z$9="CO4")*ISNUMBER($H$10:$Z$10)*ISNUMBER(H158:Z158)) = 0,
         0,
         SUMPRODUCT(($H$9:$Z$9="CO4")*ISNUMBER($H$10:$Z$10)*ISNUMBER(H158:Z158)*H158:Z158) /
         SUMPRODUCT(($H$9:$Z$9="CO4")*ISNUMBER($H$10:$Z$10)*ISNUMBER(H158:Z158)*$H$10:$Z$10) * 0.85
       )
     ) * 100,
     ""
   )
)</f>
        <v/>
      </c>
      <c r="AE158" s="1" t="str" cm="1">
        <f t="array" ref="AE158">IF(
   SUMPRODUCT(($C$9:$G$9="CO5")*ISNUMBER($C$10:$G$10)*ISNUMBER(C158:G158)) +
   SUMPRODUCT(($H$9:$Z$9="CO5")*ISNUMBER($H$10:$Z$10)*ISNUMBER(H158:Z158)) = 0,
   "",
   IFERROR(
     (
       IF(
         SUMPRODUCT(($C$9:$G$9="CO5")*ISNUMBER($C$10:$G$10)*ISNUMBER(C158:G158)) = 0,
         0,
         SUMPRODUCT(($C$9:$G$9="CO5")*ISNUMBER($C$10:$G$10)*ISNUMBER(C158:G158)*C158:G158) /
         SUMPRODUCT(($C$9:$G$9="CO5")*ISNUMBER($C$10:$G$10)*ISNUMBER(C158:G158)*$C$10:$G$10) * 0.15
       ) +
       IF(
         SUMPRODUCT(($H$9:$Z$9="CO5")*ISNUMBER($H$10:$Z$10)*ISNUMBER(H158:Z158)) = 0,
         0,
         SUMPRODUCT(($H$9:$Z$9="CO5")*ISNUMBER($H$10:$Z$10)*ISNUMBER(H158:Z158)*H158:Z158) /
         SUMPRODUCT(($H$9:$Z$9="CO5")*ISNUMBER($H$10:$Z$10)*ISNUMBER(H158:Z158)*$H$10:$Z$10) * 0.85
       )
     ) * 100,
     ""
   )
)</f>
        <v/>
      </c>
      <c r="AF158" s="1" t="str" cm="1">
        <f t="array" ref="AF158">IF(
   SUMPRODUCT(($C$9:$G$9="CO6")*ISNUMBER($C$10:$G$10)*ISNUMBER(C158:G158)) +
   SUMPRODUCT(($H$9:$Z$9="CO6")*ISNUMBER($H$10:$Z$10)*ISNUMBER(H158:Z158)) = 0,
   "",
   IFERROR(
     (
       IF(
         SUMPRODUCT(($C$9:$G$9="CO6")*ISNUMBER($C$10:$G$10)*ISNUMBER(C158:G158)) = 0,
         0,
         SUMPRODUCT(($C$9:$G$9="CO6")*ISNUMBER($C$10:$G$10)*ISNUMBER(C158:G158)*C158:G158) /
         SUMPRODUCT(($C$9:$G$9="CO6")*ISNUMBER($C$10:$G$10)*ISNUMBER(C158:G158)*$C$10:$G$10) * 0.15
       ) +
       IF(
         SUMPRODUCT(($H$9:$Z$9="CO6")*ISNUMBER($H$10:$Z$10)*ISNUMBER(H158:Z158)) = 0,
         0,
         SUMPRODUCT(($H$9:$Z$9="CO6")*ISNUMBER($H$10:$Z$10)*ISNUMBER(H158:Z158)*H158:Z158) /
         SUMPRODUCT(($H$9:$Z$9="CO6")*ISNUMBER($H$10:$Z$10)*ISNUMBER(H158:Z158)*$H$10:$Z$10) * 0.85
       )
     ) * 100,
     ""
   )
)</f>
        <v/>
      </c>
      <c r="AG158" s="1" t="str" cm="1">
        <f t="array" ref="AG158">IF(
   SUMPRODUCT(($C$9:$G$9="CO7")*ISNUMBER($C$10:$G$10)*ISNUMBER(C158:G158)) +
   SUMPRODUCT(($H$9:$Z$9="CO7")*ISNUMBER($H$10:$Z$10)*ISNUMBER(H158:Z158)) = 0,
   "",
   IFERROR(
     (
       IF(
         SUMPRODUCT(($C$9:$G$9="CO7")*ISNUMBER($C$10:$G$10)*ISNUMBER(C158:G158)) = 0,
         0,
         SUMPRODUCT(($C$9:$G$9="CO7")*ISNUMBER($C$10:$G$10)*ISNUMBER(C158:G158)*C158:G158) /
         SUMPRODUCT(($C$9:$G$9="CO7")*ISNUMBER($C$10:$G$10)*ISNUMBER(C158:G158)*$C$10:$G$10) * 0.15
       ) +
       IF(
         SUMPRODUCT(($H$9:$Z$9="CO7")*ISNUMBER($H$10:$Z$10)*ISNUMBER(H158:Z158)) = 0,
         0,
         SUMPRODUCT(($H$9:$Z$9="CO7")*ISNUMBER($H$10:$Z$10)*ISNUMBER(H158:Z158)*H158:Z158) /
         SUMPRODUCT(($H$9:$Z$9="CO7")*ISNUMBER($H$10:$Z$10)*ISNUMBER(H158:Z158)*$H$10:$Z$10) * 0.85
       )
     ) * 100,
     ""
   )
)</f>
        <v/>
      </c>
      <c r="AH158" s="3" t="str" cm="1">
        <f t="array" ref="AH158">IF(
   SUMPRODUCT(($C$9:$G$9="CO8")*ISNUMBER($C$10:$G$10)*ISNUMBER(C158:G158)) +
   SUMPRODUCT(($H$9:$Z$9="CO8")*ISNUMBER($H$10:$Z$10)*ISNUMBER(H158:Z158)) = 0,
   "",
   IFERROR(
     (
       IF(
         SUMPRODUCT(($C$9:$G$9="CO8")*ISNUMBER($C$10:$G$10)*ISNUMBER(C158:G158)) = 0,
         0,
         SUMPRODUCT(($C$9:$G$9="CO8")*ISNUMBER($C$10:$G$10)*ISNUMBER(C158:G158)*C158:G158) /
         SUMPRODUCT(($C$9:$G$9="CO8")*ISNUMBER($C$10:$G$10)*ISNUMBER(C158:G158)*$C$10:$G$10) * 0.15
       ) +
       IF(
         SUMPRODUCT(($H$9:$Z$9="CO8")*ISNUMBER($H$10:$Z$10)*ISNUMBER(H158:Z158)) = 0,
         0,
         SUMPRODUCT(($H$9:$Z$9="CO8")*ISNUMBER($H$10:$Z$10)*ISNUMBER(H158:Z158)*H158:Z158) /
         SUMPRODUCT(($H$9:$Z$9="CO8")*ISNUMBER($H$10:$Z$10)*ISNUMBER(H158:Z158)*$H$10:$Z$10) * 0.85
       )
     ) * 100,
     ""
   )
)</f>
        <v/>
      </c>
      <c r="AI158" s="1" t="str">
        <f t="shared" si="18"/>
        <v/>
      </c>
      <c r="AJ158" s="1" t="str">
        <f t="shared" si="18"/>
        <v/>
      </c>
      <c r="AK158" s="1" t="str">
        <f t="shared" si="18"/>
        <v/>
      </c>
      <c r="AL158" s="1" t="str">
        <f t="shared" si="18"/>
        <v/>
      </c>
      <c r="AM158" s="1" t="str">
        <f t="shared" si="18"/>
        <v/>
      </c>
      <c r="AN158" s="1" t="str">
        <f t="shared" si="18"/>
        <v/>
      </c>
      <c r="AO158" s="1" t="str">
        <f t="shared" si="18"/>
        <v/>
      </c>
      <c r="AP158" s="1" t="str">
        <f t="shared" si="18"/>
        <v/>
      </c>
    </row>
    <row r="159" spans="1:42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" t="str" cm="1">
        <f t="array" ref="AA159">IF(
   SUMPRODUCT(($C$9:$G$9="CO1")*ISNUMBER($C$10:$G$10)*ISNUMBER(C159:G159)) +
   SUMPRODUCT(($H$9:$Z$9="CO1")*ISNUMBER($H$10:$Z$10)*ISNUMBER(H159:Z159)) = 0,
   "",
   IFERROR(
     (
       IF(
         SUMPRODUCT(($C$9:$G$9="CO1")*ISNUMBER($C$10:$G$10)*ISNUMBER(C159:G159)) = 0,
         0,
         SUMPRODUCT(($C$9:$G$9="CO1")*ISNUMBER($C$10:$G$10)*ISNUMBER(C159:G159)*C159:G159) /
         SUMPRODUCT(($C$9:$G$9="CO1")*ISNUMBER($C$10:$G$10)*ISNUMBER(C159:G159)*$C$10:$G$10) * 0.15
       ) +
       IF(
         SUMPRODUCT(($H$9:$Z$9="CO1")*ISNUMBER($H$10:$Z$10)*ISNUMBER(H159:Z159)) = 0,
         0,
         SUMPRODUCT(($H$9:$Z$9="CO1")*ISNUMBER($H$10:$Z$10)*ISNUMBER(H159:Z159)*H159:Z159) /
         SUMPRODUCT(($H$9:$Z$9="CO1")*ISNUMBER($H$10:$Z$10)*ISNUMBER(H159:Z159)*$H$10:$Z$10) * 0.85
       )
     ) * 100,
     ""
   )
)</f>
        <v/>
      </c>
      <c r="AB159" s="1" t="str" cm="1">
        <f t="array" ref="AB159">IF(
   SUMPRODUCT(($C$9:$G$9="CO2")*ISNUMBER($C$10:$G$10)*ISNUMBER(C159:G159)) +
   SUMPRODUCT(($H$9:$Z$9="CO2")*ISNUMBER($H$10:$Z$10)*ISNUMBER(H159:Z159)) = 0,
   "",
   IFERROR(
     (
       IF(
         SUMPRODUCT(($C$9:$G$9="CO2")*ISNUMBER($C$10:$G$10)*ISNUMBER(C159:G159)) = 0,
         0,
         SUMPRODUCT(($C$9:$G$9="CO2")*ISNUMBER($C$10:$G$10)*ISNUMBER(C159:G159)*C159:G159) /
         SUMPRODUCT(($C$9:$G$9="CO2")*ISNUMBER($C$10:$G$10)*ISNUMBER(C159:G159)*$C$10:$G$10) * 0.15
       ) +
       IF(
         SUMPRODUCT(($H$9:$Z$9="CO2")*ISNUMBER($H$10:$Z$10)*ISNUMBER(H159:Z159)) = 0,
         0,
         SUMPRODUCT(($H$9:$Z$9="CO2")*ISNUMBER($H$10:$Z$10)*ISNUMBER(H159:Z159)*H159:Z159) /
         SUMPRODUCT(($H$9:$Z$9="CO2")*ISNUMBER($H$10:$Z$10)*ISNUMBER(H159:Z159)*$H$10:$Z$10) * 0.85
       )
     ) * 100,
     ""
   )
)</f>
        <v/>
      </c>
      <c r="AC159" s="1" t="str" cm="1">
        <f t="array" ref="AC159">IF(
   SUMPRODUCT(($C$9:$G$9="CO3")*ISNUMBER($C$10:$G$10)*ISNUMBER(C159:G159)) +
   SUMPRODUCT(($H$9:$Z$9="CO3")*ISNUMBER($H$10:$Z$10)*ISNUMBER(H159:Z159)) = 0,
   "",
   IFERROR(
     (
       IF(
         SUMPRODUCT(($C$9:$G$9="CO3")*ISNUMBER($C$10:$G$10)*ISNUMBER(C159:G159)) = 0,
         0,
         SUMPRODUCT(($C$9:$G$9="CO3")*ISNUMBER($C$10:$G$10)*ISNUMBER(C159:G159)*C159:G159) /
         SUMPRODUCT(($C$9:$G$9="CO3")*ISNUMBER($C$10:$G$10)*ISNUMBER(C159:G159)*$C$10:$G$10) * 0.15
       ) +
       IF(
         SUMPRODUCT(($H$9:$Z$9="CO3")*ISNUMBER($H$10:$Z$10)*ISNUMBER(H159:Z159)) = 0,
         0,
         SUMPRODUCT(($H$9:$Z$9="CO3")*ISNUMBER($H$10:$Z$10)*ISNUMBER(H159:Z159)*H159:Z159) /
         SUMPRODUCT(($H$9:$Z$9="CO3")*ISNUMBER($H$10:$Z$10)*ISNUMBER(H159:Z159)*$H$10:$Z$10) * 0.85
       )
     ) * 100,
     ""
   )
)</f>
        <v/>
      </c>
      <c r="AD159" s="1" t="str" cm="1">
        <f t="array" ref="AD159">IF(
   SUMPRODUCT(($C$9:$G$9="CO4")*ISNUMBER($C$10:$G$10)*ISNUMBER(C159:G159)) +
   SUMPRODUCT(($H$9:$Z$9="CO4")*ISNUMBER($H$10:$Z$10)*ISNUMBER(H159:Z159)) = 0,
   "",
   IFERROR(
     (
       IF(
         SUMPRODUCT(($C$9:$G$9="CO4")*ISNUMBER($C$10:$G$10)*ISNUMBER(C159:G159)) = 0,
         0,
         SUMPRODUCT(($C$9:$G$9="CO4")*ISNUMBER($C$10:$G$10)*ISNUMBER(C159:G159)*C159:G159) /
         SUMPRODUCT(($C$9:$G$9="CO4")*ISNUMBER($C$10:$G$10)*ISNUMBER(C159:G159)*$C$10:$G$10) * 0.15
       ) +
       IF(
         SUMPRODUCT(($H$9:$Z$9="CO4")*ISNUMBER($H$10:$Z$10)*ISNUMBER(H159:Z159)) = 0,
         0,
         SUMPRODUCT(($H$9:$Z$9="CO4")*ISNUMBER($H$10:$Z$10)*ISNUMBER(H159:Z159)*H159:Z159) /
         SUMPRODUCT(($H$9:$Z$9="CO4")*ISNUMBER($H$10:$Z$10)*ISNUMBER(H159:Z159)*$H$10:$Z$10) * 0.85
       )
     ) * 100,
     ""
   )
)</f>
        <v/>
      </c>
      <c r="AE159" s="1" t="str" cm="1">
        <f t="array" ref="AE159">IF(
   SUMPRODUCT(($C$9:$G$9="CO5")*ISNUMBER($C$10:$G$10)*ISNUMBER(C159:G159)) +
   SUMPRODUCT(($H$9:$Z$9="CO5")*ISNUMBER($H$10:$Z$10)*ISNUMBER(H159:Z159)) = 0,
   "",
   IFERROR(
     (
       IF(
         SUMPRODUCT(($C$9:$G$9="CO5")*ISNUMBER($C$10:$G$10)*ISNUMBER(C159:G159)) = 0,
         0,
         SUMPRODUCT(($C$9:$G$9="CO5")*ISNUMBER($C$10:$G$10)*ISNUMBER(C159:G159)*C159:G159) /
         SUMPRODUCT(($C$9:$G$9="CO5")*ISNUMBER($C$10:$G$10)*ISNUMBER(C159:G159)*$C$10:$G$10) * 0.15
       ) +
       IF(
         SUMPRODUCT(($H$9:$Z$9="CO5")*ISNUMBER($H$10:$Z$10)*ISNUMBER(H159:Z159)) = 0,
         0,
         SUMPRODUCT(($H$9:$Z$9="CO5")*ISNUMBER($H$10:$Z$10)*ISNUMBER(H159:Z159)*H159:Z159) /
         SUMPRODUCT(($H$9:$Z$9="CO5")*ISNUMBER($H$10:$Z$10)*ISNUMBER(H159:Z159)*$H$10:$Z$10) * 0.85
       )
     ) * 100,
     ""
   )
)</f>
        <v/>
      </c>
      <c r="AF159" s="1" t="str" cm="1">
        <f t="array" ref="AF159">IF(
   SUMPRODUCT(($C$9:$G$9="CO6")*ISNUMBER($C$10:$G$10)*ISNUMBER(C159:G159)) +
   SUMPRODUCT(($H$9:$Z$9="CO6")*ISNUMBER($H$10:$Z$10)*ISNUMBER(H159:Z159)) = 0,
   "",
   IFERROR(
     (
       IF(
         SUMPRODUCT(($C$9:$G$9="CO6")*ISNUMBER($C$10:$G$10)*ISNUMBER(C159:G159)) = 0,
         0,
         SUMPRODUCT(($C$9:$G$9="CO6")*ISNUMBER($C$10:$G$10)*ISNUMBER(C159:G159)*C159:G159) /
         SUMPRODUCT(($C$9:$G$9="CO6")*ISNUMBER($C$10:$G$10)*ISNUMBER(C159:G159)*$C$10:$G$10) * 0.15
       ) +
       IF(
         SUMPRODUCT(($H$9:$Z$9="CO6")*ISNUMBER($H$10:$Z$10)*ISNUMBER(H159:Z159)) = 0,
         0,
         SUMPRODUCT(($H$9:$Z$9="CO6")*ISNUMBER($H$10:$Z$10)*ISNUMBER(H159:Z159)*H159:Z159) /
         SUMPRODUCT(($H$9:$Z$9="CO6")*ISNUMBER($H$10:$Z$10)*ISNUMBER(H159:Z159)*$H$10:$Z$10) * 0.85
       )
     ) * 100,
     ""
   )
)</f>
        <v/>
      </c>
      <c r="AG159" s="1" t="str" cm="1">
        <f t="array" ref="AG159">IF(
   SUMPRODUCT(($C$9:$G$9="CO7")*ISNUMBER($C$10:$G$10)*ISNUMBER(C159:G159)) +
   SUMPRODUCT(($H$9:$Z$9="CO7")*ISNUMBER($H$10:$Z$10)*ISNUMBER(H159:Z159)) = 0,
   "",
   IFERROR(
     (
       IF(
         SUMPRODUCT(($C$9:$G$9="CO7")*ISNUMBER($C$10:$G$10)*ISNUMBER(C159:G159)) = 0,
         0,
         SUMPRODUCT(($C$9:$G$9="CO7")*ISNUMBER($C$10:$G$10)*ISNUMBER(C159:G159)*C159:G159) /
         SUMPRODUCT(($C$9:$G$9="CO7")*ISNUMBER($C$10:$G$10)*ISNUMBER(C159:G159)*$C$10:$G$10) * 0.15
       ) +
       IF(
         SUMPRODUCT(($H$9:$Z$9="CO7")*ISNUMBER($H$10:$Z$10)*ISNUMBER(H159:Z159)) = 0,
         0,
         SUMPRODUCT(($H$9:$Z$9="CO7")*ISNUMBER($H$10:$Z$10)*ISNUMBER(H159:Z159)*H159:Z159) /
         SUMPRODUCT(($H$9:$Z$9="CO7")*ISNUMBER($H$10:$Z$10)*ISNUMBER(H159:Z159)*$H$10:$Z$10) * 0.85
       )
     ) * 100,
     ""
   )
)</f>
        <v/>
      </c>
      <c r="AH159" s="3" t="str" cm="1">
        <f t="array" ref="AH159">IF(
   SUMPRODUCT(($C$9:$G$9="CO8")*ISNUMBER($C$10:$G$10)*ISNUMBER(C159:G159)) +
   SUMPRODUCT(($H$9:$Z$9="CO8")*ISNUMBER($H$10:$Z$10)*ISNUMBER(H159:Z159)) = 0,
   "",
   IFERROR(
     (
       IF(
         SUMPRODUCT(($C$9:$G$9="CO8")*ISNUMBER($C$10:$G$10)*ISNUMBER(C159:G159)) = 0,
         0,
         SUMPRODUCT(($C$9:$G$9="CO8")*ISNUMBER($C$10:$G$10)*ISNUMBER(C159:G159)*C159:G159) /
         SUMPRODUCT(($C$9:$G$9="CO8")*ISNUMBER($C$10:$G$10)*ISNUMBER(C159:G159)*$C$10:$G$10) * 0.15
       ) +
       IF(
         SUMPRODUCT(($H$9:$Z$9="CO8")*ISNUMBER($H$10:$Z$10)*ISNUMBER(H159:Z159)) = 0,
         0,
         SUMPRODUCT(($H$9:$Z$9="CO8")*ISNUMBER($H$10:$Z$10)*ISNUMBER(H159:Z159)*H159:Z159) /
         SUMPRODUCT(($H$9:$Z$9="CO8")*ISNUMBER($H$10:$Z$10)*ISNUMBER(H159:Z159)*$H$10:$Z$10) * 0.85
       )
     ) * 100,
     ""
   )
)</f>
        <v/>
      </c>
      <c r="AI159" s="1" t="str">
        <f t="shared" si="18"/>
        <v/>
      </c>
      <c r="AJ159" s="1" t="str">
        <f t="shared" si="18"/>
        <v/>
      </c>
      <c r="AK159" s="1" t="str">
        <f t="shared" si="18"/>
        <v/>
      </c>
      <c r="AL159" s="1" t="str">
        <f t="shared" si="18"/>
        <v/>
      </c>
      <c r="AM159" s="1" t="str">
        <f t="shared" si="18"/>
        <v/>
      </c>
      <c r="AN159" s="1" t="str">
        <f t="shared" si="18"/>
        <v/>
      </c>
      <c r="AO159" s="1" t="str">
        <f t="shared" si="18"/>
        <v/>
      </c>
      <c r="AP159" s="1" t="str">
        <f t="shared" si="18"/>
        <v/>
      </c>
    </row>
    <row r="160" spans="1:42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" t="str" cm="1">
        <f t="array" ref="AA160">IF(
   SUMPRODUCT(($C$9:$G$9="CO1")*ISNUMBER($C$10:$G$10)*ISNUMBER(C160:G160)) +
   SUMPRODUCT(($H$9:$Z$9="CO1")*ISNUMBER($H$10:$Z$10)*ISNUMBER(H160:Z160)) = 0,
   "",
   IFERROR(
     (
       IF(
         SUMPRODUCT(($C$9:$G$9="CO1")*ISNUMBER($C$10:$G$10)*ISNUMBER(C160:G160)) = 0,
         0,
         SUMPRODUCT(($C$9:$G$9="CO1")*ISNUMBER($C$10:$G$10)*ISNUMBER(C160:G160)*C160:G160) /
         SUMPRODUCT(($C$9:$G$9="CO1")*ISNUMBER($C$10:$G$10)*ISNUMBER(C160:G160)*$C$10:$G$10) * 0.15
       ) +
       IF(
         SUMPRODUCT(($H$9:$Z$9="CO1")*ISNUMBER($H$10:$Z$10)*ISNUMBER(H160:Z160)) = 0,
         0,
         SUMPRODUCT(($H$9:$Z$9="CO1")*ISNUMBER($H$10:$Z$10)*ISNUMBER(H160:Z160)*H160:Z160) /
         SUMPRODUCT(($H$9:$Z$9="CO1")*ISNUMBER($H$10:$Z$10)*ISNUMBER(H160:Z160)*$H$10:$Z$10) * 0.85
       )
     ) * 100,
     ""
   )
)</f>
        <v/>
      </c>
      <c r="AB160" s="1" t="str" cm="1">
        <f t="array" ref="AB160">IF(
   SUMPRODUCT(($C$9:$G$9="CO2")*ISNUMBER($C$10:$G$10)*ISNUMBER(C160:G160)) +
   SUMPRODUCT(($H$9:$Z$9="CO2")*ISNUMBER($H$10:$Z$10)*ISNUMBER(H160:Z160)) = 0,
   "",
   IFERROR(
     (
       IF(
         SUMPRODUCT(($C$9:$G$9="CO2")*ISNUMBER($C$10:$G$10)*ISNUMBER(C160:G160)) = 0,
         0,
         SUMPRODUCT(($C$9:$G$9="CO2")*ISNUMBER($C$10:$G$10)*ISNUMBER(C160:G160)*C160:G160) /
         SUMPRODUCT(($C$9:$G$9="CO2")*ISNUMBER($C$10:$G$10)*ISNUMBER(C160:G160)*$C$10:$G$10) * 0.15
       ) +
       IF(
         SUMPRODUCT(($H$9:$Z$9="CO2")*ISNUMBER($H$10:$Z$10)*ISNUMBER(H160:Z160)) = 0,
         0,
         SUMPRODUCT(($H$9:$Z$9="CO2")*ISNUMBER($H$10:$Z$10)*ISNUMBER(H160:Z160)*H160:Z160) /
         SUMPRODUCT(($H$9:$Z$9="CO2")*ISNUMBER($H$10:$Z$10)*ISNUMBER(H160:Z160)*$H$10:$Z$10) * 0.85
       )
     ) * 100,
     ""
   )
)</f>
        <v/>
      </c>
      <c r="AC160" s="1" t="str" cm="1">
        <f t="array" ref="AC160">IF(
   SUMPRODUCT(($C$9:$G$9="CO3")*ISNUMBER($C$10:$G$10)*ISNUMBER(C160:G160)) +
   SUMPRODUCT(($H$9:$Z$9="CO3")*ISNUMBER($H$10:$Z$10)*ISNUMBER(H160:Z160)) = 0,
   "",
   IFERROR(
     (
       IF(
         SUMPRODUCT(($C$9:$G$9="CO3")*ISNUMBER($C$10:$G$10)*ISNUMBER(C160:G160)) = 0,
         0,
         SUMPRODUCT(($C$9:$G$9="CO3")*ISNUMBER($C$10:$G$10)*ISNUMBER(C160:G160)*C160:G160) /
         SUMPRODUCT(($C$9:$G$9="CO3")*ISNUMBER($C$10:$G$10)*ISNUMBER(C160:G160)*$C$10:$G$10) * 0.15
       ) +
       IF(
         SUMPRODUCT(($H$9:$Z$9="CO3")*ISNUMBER($H$10:$Z$10)*ISNUMBER(H160:Z160)) = 0,
         0,
         SUMPRODUCT(($H$9:$Z$9="CO3")*ISNUMBER($H$10:$Z$10)*ISNUMBER(H160:Z160)*H160:Z160) /
         SUMPRODUCT(($H$9:$Z$9="CO3")*ISNUMBER($H$10:$Z$10)*ISNUMBER(H160:Z160)*$H$10:$Z$10) * 0.85
       )
     ) * 100,
     ""
   )
)</f>
        <v/>
      </c>
      <c r="AD160" s="1" t="str" cm="1">
        <f t="array" ref="AD160">IF(
   SUMPRODUCT(($C$9:$G$9="CO4")*ISNUMBER($C$10:$G$10)*ISNUMBER(C160:G160)) +
   SUMPRODUCT(($H$9:$Z$9="CO4")*ISNUMBER($H$10:$Z$10)*ISNUMBER(H160:Z160)) = 0,
   "",
   IFERROR(
     (
       IF(
         SUMPRODUCT(($C$9:$G$9="CO4")*ISNUMBER($C$10:$G$10)*ISNUMBER(C160:G160)) = 0,
         0,
         SUMPRODUCT(($C$9:$G$9="CO4")*ISNUMBER($C$10:$G$10)*ISNUMBER(C160:G160)*C160:G160) /
         SUMPRODUCT(($C$9:$G$9="CO4")*ISNUMBER($C$10:$G$10)*ISNUMBER(C160:G160)*$C$10:$G$10) * 0.15
       ) +
       IF(
         SUMPRODUCT(($H$9:$Z$9="CO4")*ISNUMBER($H$10:$Z$10)*ISNUMBER(H160:Z160)) = 0,
         0,
         SUMPRODUCT(($H$9:$Z$9="CO4")*ISNUMBER($H$10:$Z$10)*ISNUMBER(H160:Z160)*H160:Z160) /
         SUMPRODUCT(($H$9:$Z$9="CO4")*ISNUMBER($H$10:$Z$10)*ISNUMBER(H160:Z160)*$H$10:$Z$10) * 0.85
       )
     ) * 100,
     ""
   )
)</f>
        <v/>
      </c>
      <c r="AE160" s="1" t="str" cm="1">
        <f t="array" ref="AE160">IF(
   SUMPRODUCT(($C$9:$G$9="CO5")*ISNUMBER($C$10:$G$10)*ISNUMBER(C160:G160)) +
   SUMPRODUCT(($H$9:$Z$9="CO5")*ISNUMBER($H$10:$Z$10)*ISNUMBER(H160:Z160)) = 0,
   "",
   IFERROR(
     (
       IF(
         SUMPRODUCT(($C$9:$G$9="CO5")*ISNUMBER($C$10:$G$10)*ISNUMBER(C160:G160)) = 0,
         0,
         SUMPRODUCT(($C$9:$G$9="CO5")*ISNUMBER($C$10:$G$10)*ISNUMBER(C160:G160)*C160:G160) /
         SUMPRODUCT(($C$9:$G$9="CO5")*ISNUMBER($C$10:$G$10)*ISNUMBER(C160:G160)*$C$10:$G$10) * 0.15
       ) +
       IF(
         SUMPRODUCT(($H$9:$Z$9="CO5")*ISNUMBER($H$10:$Z$10)*ISNUMBER(H160:Z160)) = 0,
         0,
         SUMPRODUCT(($H$9:$Z$9="CO5")*ISNUMBER($H$10:$Z$10)*ISNUMBER(H160:Z160)*H160:Z160) /
         SUMPRODUCT(($H$9:$Z$9="CO5")*ISNUMBER($H$10:$Z$10)*ISNUMBER(H160:Z160)*$H$10:$Z$10) * 0.85
       )
     ) * 100,
     ""
   )
)</f>
        <v/>
      </c>
      <c r="AF160" s="1" t="str" cm="1">
        <f t="array" ref="AF160">IF(
   SUMPRODUCT(($C$9:$G$9="CO6")*ISNUMBER($C$10:$G$10)*ISNUMBER(C160:G160)) +
   SUMPRODUCT(($H$9:$Z$9="CO6")*ISNUMBER($H$10:$Z$10)*ISNUMBER(H160:Z160)) = 0,
   "",
   IFERROR(
     (
       IF(
         SUMPRODUCT(($C$9:$G$9="CO6")*ISNUMBER($C$10:$G$10)*ISNUMBER(C160:G160)) = 0,
         0,
         SUMPRODUCT(($C$9:$G$9="CO6")*ISNUMBER($C$10:$G$10)*ISNUMBER(C160:G160)*C160:G160) /
         SUMPRODUCT(($C$9:$G$9="CO6")*ISNUMBER($C$10:$G$10)*ISNUMBER(C160:G160)*$C$10:$G$10) * 0.15
       ) +
       IF(
         SUMPRODUCT(($H$9:$Z$9="CO6")*ISNUMBER($H$10:$Z$10)*ISNUMBER(H160:Z160)) = 0,
         0,
         SUMPRODUCT(($H$9:$Z$9="CO6")*ISNUMBER($H$10:$Z$10)*ISNUMBER(H160:Z160)*H160:Z160) /
         SUMPRODUCT(($H$9:$Z$9="CO6")*ISNUMBER($H$10:$Z$10)*ISNUMBER(H160:Z160)*$H$10:$Z$10) * 0.85
       )
     ) * 100,
     ""
   )
)</f>
        <v/>
      </c>
      <c r="AG160" s="1" t="str" cm="1">
        <f t="array" ref="AG160">IF(
   SUMPRODUCT(($C$9:$G$9="CO7")*ISNUMBER($C$10:$G$10)*ISNUMBER(C160:G160)) +
   SUMPRODUCT(($H$9:$Z$9="CO7")*ISNUMBER($H$10:$Z$10)*ISNUMBER(H160:Z160)) = 0,
   "",
   IFERROR(
     (
       IF(
         SUMPRODUCT(($C$9:$G$9="CO7")*ISNUMBER($C$10:$G$10)*ISNUMBER(C160:G160)) = 0,
         0,
         SUMPRODUCT(($C$9:$G$9="CO7")*ISNUMBER($C$10:$G$10)*ISNUMBER(C160:G160)*C160:G160) /
         SUMPRODUCT(($C$9:$G$9="CO7")*ISNUMBER($C$10:$G$10)*ISNUMBER(C160:G160)*$C$10:$G$10) * 0.15
       ) +
       IF(
         SUMPRODUCT(($H$9:$Z$9="CO7")*ISNUMBER($H$10:$Z$10)*ISNUMBER(H160:Z160)) = 0,
         0,
         SUMPRODUCT(($H$9:$Z$9="CO7")*ISNUMBER($H$10:$Z$10)*ISNUMBER(H160:Z160)*H160:Z160) /
         SUMPRODUCT(($H$9:$Z$9="CO7")*ISNUMBER($H$10:$Z$10)*ISNUMBER(H160:Z160)*$H$10:$Z$10) * 0.85
       )
     ) * 100,
     ""
   )
)</f>
        <v/>
      </c>
      <c r="AH160" s="3" t="str" cm="1">
        <f t="array" ref="AH160">IF(
   SUMPRODUCT(($C$9:$G$9="CO8")*ISNUMBER($C$10:$G$10)*ISNUMBER(C160:G160)) +
   SUMPRODUCT(($H$9:$Z$9="CO8")*ISNUMBER($H$10:$Z$10)*ISNUMBER(H160:Z160)) = 0,
   "",
   IFERROR(
     (
       IF(
         SUMPRODUCT(($C$9:$G$9="CO8")*ISNUMBER($C$10:$G$10)*ISNUMBER(C160:G160)) = 0,
         0,
         SUMPRODUCT(($C$9:$G$9="CO8")*ISNUMBER($C$10:$G$10)*ISNUMBER(C160:G160)*C160:G160) /
         SUMPRODUCT(($C$9:$G$9="CO8")*ISNUMBER($C$10:$G$10)*ISNUMBER(C160:G160)*$C$10:$G$10) * 0.15
       ) +
       IF(
         SUMPRODUCT(($H$9:$Z$9="CO8")*ISNUMBER($H$10:$Z$10)*ISNUMBER(H160:Z160)) = 0,
         0,
         SUMPRODUCT(($H$9:$Z$9="CO8")*ISNUMBER($H$10:$Z$10)*ISNUMBER(H160:Z160)*H160:Z160) /
         SUMPRODUCT(($H$9:$Z$9="CO8")*ISNUMBER($H$10:$Z$10)*ISNUMBER(H160:Z160)*$H$10:$Z$10) * 0.85
       )
     ) * 100,
     ""
   )
)</f>
        <v/>
      </c>
      <c r="AI160" s="1" t="str">
        <f t="shared" si="18"/>
        <v/>
      </c>
      <c r="AJ160" s="1" t="str">
        <f t="shared" si="18"/>
        <v/>
      </c>
      <c r="AK160" s="1" t="str">
        <f t="shared" si="18"/>
        <v/>
      </c>
      <c r="AL160" s="1" t="str">
        <f t="shared" si="18"/>
        <v/>
      </c>
      <c r="AM160" s="1" t="str">
        <f t="shared" si="18"/>
        <v/>
      </c>
      <c r="AN160" s="1" t="str">
        <f t="shared" si="18"/>
        <v/>
      </c>
      <c r="AO160" s="1" t="str">
        <f t="shared" si="18"/>
        <v/>
      </c>
      <c r="AP160" s="1" t="str">
        <f t="shared" si="18"/>
        <v/>
      </c>
    </row>
    <row r="161" spans="1:42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" t="str" cm="1">
        <f t="array" ref="AA161">IF(
   SUMPRODUCT(($C$9:$G$9="CO1")*ISNUMBER($C$10:$G$10)*ISNUMBER(C161:G161)) +
   SUMPRODUCT(($H$9:$Z$9="CO1")*ISNUMBER($H$10:$Z$10)*ISNUMBER(H161:Z161)) = 0,
   "",
   IFERROR(
     (
       IF(
         SUMPRODUCT(($C$9:$G$9="CO1")*ISNUMBER($C$10:$G$10)*ISNUMBER(C161:G161)) = 0,
         0,
         SUMPRODUCT(($C$9:$G$9="CO1")*ISNUMBER($C$10:$G$10)*ISNUMBER(C161:G161)*C161:G161) /
         SUMPRODUCT(($C$9:$G$9="CO1")*ISNUMBER($C$10:$G$10)*ISNUMBER(C161:G161)*$C$10:$G$10) * 0.15
       ) +
       IF(
         SUMPRODUCT(($H$9:$Z$9="CO1")*ISNUMBER($H$10:$Z$10)*ISNUMBER(H161:Z161)) = 0,
         0,
         SUMPRODUCT(($H$9:$Z$9="CO1")*ISNUMBER($H$10:$Z$10)*ISNUMBER(H161:Z161)*H161:Z161) /
         SUMPRODUCT(($H$9:$Z$9="CO1")*ISNUMBER($H$10:$Z$10)*ISNUMBER(H161:Z161)*$H$10:$Z$10) * 0.85
       )
     ) * 100,
     ""
   )
)</f>
        <v/>
      </c>
      <c r="AB161" s="1" t="str" cm="1">
        <f t="array" ref="AB161">IF(
   SUMPRODUCT(($C$9:$G$9="CO2")*ISNUMBER($C$10:$G$10)*ISNUMBER(C161:G161)) +
   SUMPRODUCT(($H$9:$Z$9="CO2")*ISNUMBER($H$10:$Z$10)*ISNUMBER(H161:Z161)) = 0,
   "",
   IFERROR(
     (
       IF(
         SUMPRODUCT(($C$9:$G$9="CO2")*ISNUMBER($C$10:$G$10)*ISNUMBER(C161:G161)) = 0,
         0,
         SUMPRODUCT(($C$9:$G$9="CO2")*ISNUMBER($C$10:$G$10)*ISNUMBER(C161:G161)*C161:G161) /
         SUMPRODUCT(($C$9:$G$9="CO2")*ISNUMBER($C$10:$G$10)*ISNUMBER(C161:G161)*$C$10:$G$10) * 0.15
       ) +
       IF(
         SUMPRODUCT(($H$9:$Z$9="CO2")*ISNUMBER($H$10:$Z$10)*ISNUMBER(H161:Z161)) = 0,
         0,
         SUMPRODUCT(($H$9:$Z$9="CO2")*ISNUMBER($H$10:$Z$10)*ISNUMBER(H161:Z161)*H161:Z161) /
         SUMPRODUCT(($H$9:$Z$9="CO2")*ISNUMBER($H$10:$Z$10)*ISNUMBER(H161:Z161)*$H$10:$Z$10) * 0.85
       )
     ) * 100,
     ""
   )
)</f>
        <v/>
      </c>
      <c r="AC161" s="1" t="str" cm="1">
        <f t="array" ref="AC161">IF(
   SUMPRODUCT(($C$9:$G$9="CO3")*ISNUMBER($C$10:$G$10)*ISNUMBER(C161:G161)) +
   SUMPRODUCT(($H$9:$Z$9="CO3")*ISNUMBER($H$10:$Z$10)*ISNUMBER(H161:Z161)) = 0,
   "",
   IFERROR(
     (
       IF(
         SUMPRODUCT(($C$9:$G$9="CO3")*ISNUMBER($C$10:$G$10)*ISNUMBER(C161:G161)) = 0,
         0,
         SUMPRODUCT(($C$9:$G$9="CO3")*ISNUMBER($C$10:$G$10)*ISNUMBER(C161:G161)*C161:G161) /
         SUMPRODUCT(($C$9:$G$9="CO3")*ISNUMBER($C$10:$G$10)*ISNUMBER(C161:G161)*$C$10:$G$10) * 0.15
       ) +
       IF(
         SUMPRODUCT(($H$9:$Z$9="CO3")*ISNUMBER($H$10:$Z$10)*ISNUMBER(H161:Z161)) = 0,
         0,
         SUMPRODUCT(($H$9:$Z$9="CO3")*ISNUMBER($H$10:$Z$10)*ISNUMBER(H161:Z161)*H161:Z161) /
         SUMPRODUCT(($H$9:$Z$9="CO3")*ISNUMBER($H$10:$Z$10)*ISNUMBER(H161:Z161)*$H$10:$Z$10) * 0.85
       )
     ) * 100,
     ""
   )
)</f>
        <v/>
      </c>
      <c r="AD161" s="1" t="str" cm="1">
        <f t="array" ref="AD161">IF(
   SUMPRODUCT(($C$9:$G$9="CO4")*ISNUMBER($C$10:$G$10)*ISNUMBER(C161:G161)) +
   SUMPRODUCT(($H$9:$Z$9="CO4")*ISNUMBER($H$10:$Z$10)*ISNUMBER(H161:Z161)) = 0,
   "",
   IFERROR(
     (
       IF(
         SUMPRODUCT(($C$9:$G$9="CO4")*ISNUMBER($C$10:$G$10)*ISNUMBER(C161:G161)) = 0,
         0,
         SUMPRODUCT(($C$9:$G$9="CO4")*ISNUMBER($C$10:$G$10)*ISNUMBER(C161:G161)*C161:G161) /
         SUMPRODUCT(($C$9:$G$9="CO4")*ISNUMBER($C$10:$G$10)*ISNUMBER(C161:G161)*$C$10:$G$10) * 0.15
       ) +
       IF(
         SUMPRODUCT(($H$9:$Z$9="CO4")*ISNUMBER($H$10:$Z$10)*ISNUMBER(H161:Z161)) = 0,
         0,
         SUMPRODUCT(($H$9:$Z$9="CO4")*ISNUMBER($H$10:$Z$10)*ISNUMBER(H161:Z161)*H161:Z161) /
         SUMPRODUCT(($H$9:$Z$9="CO4")*ISNUMBER($H$10:$Z$10)*ISNUMBER(H161:Z161)*$H$10:$Z$10) * 0.85
       )
     ) * 100,
     ""
   )
)</f>
        <v/>
      </c>
      <c r="AE161" s="1" t="str" cm="1">
        <f t="array" ref="AE161">IF(
   SUMPRODUCT(($C$9:$G$9="CO5")*ISNUMBER($C$10:$G$10)*ISNUMBER(C161:G161)) +
   SUMPRODUCT(($H$9:$Z$9="CO5")*ISNUMBER($H$10:$Z$10)*ISNUMBER(H161:Z161)) = 0,
   "",
   IFERROR(
     (
       IF(
         SUMPRODUCT(($C$9:$G$9="CO5")*ISNUMBER($C$10:$G$10)*ISNUMBER(C161:G161)) = 0,
         0,
         SUMPRODUCT(($C$9:$G$9="CO5")*ISNUMBER($C$10:$G$10)*ISNUMBER(C161:G161)*C161:G161) /
         SUMPRODUCT(($C$9:$G$9="CO5")*ISNUMBER($C$10:$G$10)*ISNUMBER(C161:G161)*$C$10:$G$10) * 0.15
       ) +
       IF(
         SUMPRODUCT(($H$9:$Z$9="CO5")*ISNUMBER($H$10:$Z$10)*ISNUMBER(H161:Z161)) = 0,
         0,
         SUMPRODUCT(($H$9:$Z$9="CO5")*ISNUMBER($H$10:$Z$10)*ISNUMBER(H161:Z161)*H161:Z161) /
         SUMPRODUCT(($H$9:$Z$9="CO5")*ISNUMBER($H$10:$Z$10)*ISNUMBER(H161:Z161)*$H$10:$Z$10) * 0.85
       )
     ) * 100,
     ""
   )
)</f>
        <v/>
      </c>
      <c r="AF161" s="1" t="str" cm="1">
        <f t="array" ref="AF161">IF(
   SUMPRODUCT(($C$9:$G$9="CO6")*ISNUMBER($C$10:$G$10)*ISNUMBER(C161:G161)) +
   SUMPRODUCT(($H$9:$Z$9="CO6")*ISNUMBER($H$10:$Z$10)*ISNUMBER(H161:Z161)) = 0,
   "",
   IFERROR(
     (
       IF(
         SUMPRODUCT(($C$9:$G$9="CO6")*ISNUMBER($C$10:$G$10)*ISNUMBER(C161:G161)) = 0,
         0,
         SUMPRODUCT(($C$9:$G$9="CO6")*ISNUMBER($C$10:$G$10)*ISNUMBER(C161:G161)*C161:G161) /
         SUMPRODUCT(($C$9:$G$9="CO6")*ISNUMBER($C$10:$G$10)*ISNUMBER(C161:G161)*$C$10:$G$10) * 0.15
       ) +
       IF(
         SUMPRODUCT(($H$9:$Z$9="CO6")*ISNUMBER($H$10:$Z$10)*ISNUMBER(H161:Z161)) = 0,
         0,
         SUMPRODUCT(($H$9:$Z$9="CO6")*ISNUMBER($H$10:$Z$10)*ISNUMBER(H161:Z161)*H161:Z161) /
         SUMPRODUCT(($H$9:$Z$9="CO6")*ISNUMBER($H$10:$Z$10)*ISNUMBER(H161:Z161)*$H$10:$Z$10) * 0.85
       )
     ) * 100,
     ""
   )
)</f>
        <v/>
      </c>
      <c r="AG161" s="1" t="str" cm="1">
        <f t="array" ref="AG161">IF(
   SUMPRODUCT(($C$9:$G$9="CO7")*ISNUMBER($C$10:$G$10)*ISNUMBER(C161:G161)) +
   SUMPRODUCT(($H$9:$Z$9="CO7")*ISNUMBER($H$10:$Z$10)*ISNUMBER(H161:Z161)) = 0,
   "",
   IFERROR(
     (
       IF(
         SUMPRODUCT(($C$9:$G$9="CO7")*ISNUMBER($C$10:$G$10)*ISNUMBER(C161:G161)) = 0,
         0,
         SUMPRODUCT(($C$9:$G$9="CO7")*ISNUMBER($C$10:$G$10)*ISNUMBER(C161:G161)*C161:G161) /
         SUMPRODUCT(($C$9:$G$9="CO7")*ISNUMBER($C$10:$G$10)*ISNUMBER(C161:G161)*$C$10:$G$10) * 0.15
       ) +
       IF(
         SUMPRODUCT(($H$9:$Z$9="CO7")*ISNUMBER($H$10:$Z$10)*ISNUMBER(H161:Z161)) = 0,
         0,
         SUMPRODUCT(($H$9:$Z$9="CO7")*ISNUMBER($H$10:$Z$10)*ISNUMBER(H161:Z161)*H161:Z161) /
         SUMPRODUCT(($H$9:$Z$9="CO7")*ISNUMBER($H$10:$Z$10)*ISNUMBER(H161:Z161)*$H$10:$Z$10) * 0.85
       )
     ) * 100,
     ""
   )
)</f>
        <v/>
      </c>
      <c r="AH161" s="3" t="str" cm="1">
        <f t="array" ref="AH161">IF(
   SUMPRODUCT(($C$9:$G$9="CO8")*ISNUMBER($C$10:$G$10)*ISNUMBER(C161:G161)) +
   SUMPRODUCT(($H$9:$Z$9="CO8")*ISNUMBER($H$10:$Z$10)*ISNUMBER(H161:Z161)) = 0,
   "",
   IFERROR(
     (
       IF(
         SUMPRODUCT(($C$9:$G$9="CO8")*ISNUMBER($C$10:$G$10)*ISNUMBER(C161:G161)) = 0,
         0,
         SUMPRODUCT(($C$9:$G$9="CO8")*ISNUMBER($C$10:$G$10)*ISNUMBER(C161:G161)*C161:G161) /
         SUMPRODUCT(($C$9:$G$9="CO8")*ISNUMBER($C$10:$G$10)*ISNUMBER(C161:G161)*$C$10:$G$10) * 0.15
       ) +
       IF(
         SUMPRODUCT(($H$9:$Z$9="CO8")*ISNUMBER($H$10:$Z$10)*ISNUMBER(H161:Z161)) = 0,
         0,
         SUMPRODUCT(($H$9:$Z$9="CO8")*ISNUMBER($H$10:$Z$10)*ISNUMBER(H161:Z161)*H161:Z161) /
         SUMPRODUCT(($H$9:$Z$9="CO8")*ISNUMBER($H$10:$Z$10)*ISNUMBER(H161:Z161)*$H$10:$Z$10) * 0.85
       )
     ) * 100,
     ""
   )
)</f>
        <v/>
      </c>
      <c r="AI161" s="1" t="str">
        <f t="shared" si="18"/>
        <v/>
      </c>
      <c r="AJ161" s="1" t="str">
        <f t="shared" si="18"/>
        <v/>
      </c>
      <c r="AK161" s="1" t="str">
        <f t="shared" si="18"/>
        <v/>
      </c>
      <c r="AL161" s="1" t="str">
        <f t="shared" si="18"/>
        <v/>
      </c>
      <c r="AM161" s="1" t="str">
        <f t="shared" si="18"/>
        <v/>
      </c>
      <c r="AN161" s="1" t="str">
        <f t="shared" si="18"/>
        <v/>
      </c>
      <c r="AO161" s="1" t="str">
        <f t="shared" si="18"/>
        <v/>
      </c>
      <c r="AP161" s="1" t="str">
        <f t="shared" si="18"/>
        <v/>
      </c>
    </row>
    <row r="162" spans="1:42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" t="str" cm="1">
        <f t="array" ref="AA162">IF(
   SUMPRODUCT(($C$9:$G$9="CO1")*ISNUMBER($C$10:$G$10)*ISNUMBER(C162:G162)) +
   SUMPRODUCT(($H$9:$Z$9="CO1")*ISNUMBER($H$10:$Z$10)*ISNUMBER(H162:Z162)) = 0,
   "",
   IFERROR(
     (
       IF(
         SUMPRODUCT(($C$9:$G$9="CO1")*ISNUMBER($C$10:$G$10)*ISNUMBER(C162:G162)) = 0,
         0,
         SUMPRODUCT(($C$9:$G$9="CO1")*ISNUMBER($C$10:$G$10)*ISNUMBER(C162:G162)*C162:G162) /
         SUMPRODUCT(($C$9:$G$9="CO1")*ISNUMBER($C$10:$G$10)*ISNUMBER(C162:G162)*$C$10:$G$10) * 0.15
       ) +
       IF(
         SUMPRODUCT(($H$9:$Z$9="CO1")*ISNUMBER($H$10:$Z$10)*ISNUMBER(H162:Z162)) = 0,
         0,
         SUMPRODUCT(($H$9:$Z$9="CO1")*ISNUMBER($H$10:$Z$10)*ISNUMBER(H162:Z162)*H162:Z162) /
         SUMPRODUCT(($H$9:$Z$9="CO1")*ISNUMBER($H$10:$Z$10)*ISNUMBER(H162:Z162)*$H$10:$Z$10) * 0.85
       )
     ) * 100,
     ""
   )
)</f>
        <v/>
      </c>
      <c r="AB162" s="1" t="str" cm="1">
        <f t="array" ref="AB162">IF(
   SUMPRODUCT(($C$9:$G$9="CO2")*ISNUMBER($C$10:$G$10)*ISNUMBER(C162:G162)) +
   SUMPRODUCT(($H$9:$Z$9="CO2")*ISNUMBER($H$10:$Z$10)*ISNUMBER(H162:Z162)) = 0,
   "",
   IFERROR(
     (
       IF(
         SUMPRODUCT(($C$9:$G$9="CO2")*ISNUMBER($C$10:$G$10)*ISNUMBER(C162:G162)) = 0,
         0,
         SUMPRODUCT(($C$9:$G$9="CO2")*ISNUMBER($C$10:$G$10)*ISNUMBER(C162:G162)*C162:G162) /
         SUMPRODUCT(($C$9:$G$9="CO2")*ISNUMBER($C$10:$G$10)*ISNUMBER(C162:G162)*$C$10:$G$10) * 0.15
       ) +
       IF(
         SUMPRODUCT(($H$9:$Z$9="CO2")*ISNUMBER($H$10:$Z$10)*ISNUMBER(H162:Z162)) = 0,
         0,
         SUMPRODUCT(($H$9:$Z$9="CO2")*ISNUMBER($H$10:$Z$10)*ISNUMBER(H162:Z162)*H162:Z162) /
         SUMPRODUCT(($H$9:$Z$9="CO2")*ISNUMBER($H$10:$Z$10)*ISNUMBER(H162:Z162)*$H$10:$Z$10) * 0.85
       )
     ) * 100,
     ""
   )
)</f>
        <v/>
      </c>
      <c r="AC162" s="1" t="str" cm="1">
        <f t="array" ref="AC162">IF(
   SUMPRODUCT(($C$9:$G$9="CO3")*ISNUMBER($C$10:$G$10)*ISNUMBER(C162:G162)) +
   SUMPRODUCT(($H$9:$Z$9="CO3")*ISNUMBER($H$10:$Z$10)*ISNUMBER(H162:Z162)) = 0,
   "",
   IFERROR(
     (
       IF(
         SUMPRODUCT(($C$9:$G$9="CO3")*ISNUMBER($C$10:$G$10)*ISNUMBER(C162:G162)) = 0,
         0,
         SUMPRODUCT(($C$9:$G$9="CO3")*ISNUMBER($C$10:$G$10)*ISNUMBER(C162:G162)*C162:G162) /
         SUMPRODUCT(($C$9:$G$9="CO3")*ISNUMBER($C$10:$G$10)*ISNUMBER(C162:G162)*$C$10:$G$10) * 0.15
       ) +
       IF(
         SUMPRODUCT(($H$9:$Z$9="CO3")*ISNUMBER($H$10:$Z$10)*ISNUMBER(H162:Z162)) = 0,
         0,
         SUMPRODUCT(($H$9:$Z$9="CO3")*ISNUMBER($H$10:$Z$10)*ISNUMBER(H162:Z162)*H162:Z162) /
         SUMPRODUCT(($H$9:$Z$9="CO3")*ISNUMBER($H$10:$Z$10)*ISNUMBER(H162:Z162)*$H$10:$Z$10) * 0.85
       )
     ) * 100,
     ""
   )
)</f>
        <v/>
      </c>
      <c r="AD162" s="1" t="str" cm="1">
        <f t="array" ref="AD162">IF(
   SUMPRODUCT(($C$9:$G$9="CO4")*ISNUMBER($C$10:$G$10)*ISNUMBER(C162:G162)) +
   SUMPRODUCT(($H$9:$Z$9="CO4")*ISNUMBER($H$10:$Z$10)*ISNUMBER(H162:Z162)) = 0,
   "",
   IFERROR(
     (
       IF(
         SUMPRODUCT(($C$9:$G$9="CO4")*ISNUMBER($C$10:$G$10)*ISNUMBER(C162:G162)) = 0,
         0,
         SUMPRODUCT(($C$9:$G$9="CO4")*ISNUMBER($C$10:$G$10)*ISNUMBER(C162:G162)*C162:G162) /
         SUMPRODUCT(($C$9:$G$9="CO4")*ISNUMBER($C$10:$G$10)*ISNUMBER(C162:G162)*$C$10:$G$10) * 0.15
       ) +
       IF(
         SUMPRODUCT(($H$9:$Z$9="CO4")*ISNUMBER($H$10:$Z$10)*ISNUMBER(H162:Z162)) = 0,
         0,
         SUMPRODUCT(($H$9:$Z$9="CO4")*ISNUMBER($H$10:$Z$10)*ISNUMBER(H162:Z162)*H162:Z162) /
         SUMPRODUCT(($H$9:$Z$9="CO4")*ISNUMBER($H$10:$Z$10)*ISNUMBER(H162:Z162)*$H$10:$Z$10) * 0.85
       )
     ) * 100,
     ""
   )
)</f>
        <v/>
      </c>
      <c r="AE162" s="1" t="str" cm="1">
        <f t="array" ref="AE162">IF(
   SUMPRODUCT(($C$9:$G$9="CO5")*ISNUMBER($C$10:$G$10)*ISNUMBER(C162:G162)) +
   SUMPRODUCT(($H$9:$Z$9="CO5")*ISNUMBER($H$10:$Z$10)*ISNUMBER(H162:Z162)) = 0,
   "",
   IFERROR(
     (
       IF(
         SUMPRODUCT(($C$9:$G$9="CO5")*ISNUMBER($C$10:$G$10)*ISNUMBER(C162:G162)) = 0,
         0,
         SUMPRODUCT(($C$9:$G$9="CO5")*ISNUMBER($C$10:$G$10)*ISNUMBER(C162:G162)*C162:G162) /
         SUMPRODUCT(($C$9:$G$9="CO5")*ISNUMBER($C$10:$G$10)*ISNUMBER(C162:G162)*$C$10:$G$10) * 0.15
       ) +
       IF(
         SUMPRODUCT(($H$9:$Z$9="CO5")*ISNUMBER($H$10:$Z$10)*ISNUMBER(H162:Z162)) = 0,
         0,
         SUMPRODUCT(($H$9:$Z$9="CO5")*ISNUMBER($H$10:$Z$10)*ISNUMBER(H162:Z162)*H162:Z162) /
         SUMPRODUCT(($H$9:$Z$9="CO5")*ISNUMBER($H$10:$Z$10)*ISNUMBER(H162:Z162)*$H$10:$Z$10) * 0.85
       )
     ) * 100,
     ""
   )
)</f>
        <v/>
      </c>
      <c r="AF162" s="1" t="str" cm="1">
        <f t="array" ref="AF162">IF(
   SUMPRODUCT(($C$9:$G$9="CO6")*ISNUMBER($C$10:$G$10)*ISNUMBER(C162:G162)) +
   SUMPRODUCT(($H$9:$Z$9="CO6")*ISNUMBER($H$10:$Z$10)*ISNUMBER(H162:Z162)) = 0,
   "",
   IFERROR(
     (
       IF(
         SUMPRODUCT(($C$9:$G$9="CO6")*ISNUMBER($C$10:$G$10)*ISNUMBER(C162:G162)) = 0,
         0,
         SUMPRODUCT(($C$9:$G$9="CO6")*ISNUMBER($C$10:$G$10)*ISNUMBER(C162:G162)*C162:G162) /
         SUMPRODUCT(($C$9:$G$9="CO6")*ISNUMBER($C$10:$G$10)*ISNUMBER(C162:G162)*$C$10:$G$10) * 0.15
       ) +
       IF(
         SUMPRODUCT(($H$9:$Z$9="CO6")*ISNUMBER($H$10:$Z$10)*ISNUMBER(H162:Z162)) = 0,
         0,
         SUMPRODUCT(($H$9:$Z$9="CO6")*ISNUMBER($H$10:$Z$10)*ISNUMBER(H162:Z162)*H162:Z162) /
         SUMPRODUCT(($H$9:$Z$9="CO6")*ISNUMBER($H$10:$Z$10)*ISNUMBER(H162:Z162)*$H$10:$Z$10) * 0.85
       )
     ) * 100,
     ""
   )
)</f>
        <v/>
      </c>
      <c r="AG162" s="1" t="str" cm="1">
        <f t="array" ref="AG162">IF(
   SUMPRODUCT(($C$9:$G$9="CO7")*ISNUMBER($C$10:$G$10)*ISNUMBER(C162:G162)) +
   SUMPRODUCT(($H$9:$Z$9="CO7")*ISNUMBER($H$10:$Z$10)*ISNUMBER(H162:Z162)) = 0,
   "",
   IFERROR(
     (
       IF(
         SUMPRODUCT(($C$9:$G$9="CO7")*ISNUMBER($C$10:$G$10)*ISNUMBER(C162:G162)) = 0,
         0,
         SUMPRODUCT(($C$9:$G$9="CO7")*ISNUMBER($C$10:$G$10)*ISNUMBER(C162:G162)*C162:G162) /
         SUMPRODUCT(($C$9:$G$9="CO7")*ISNUMBER($C$10:$G$10)*ISNUMBER(C162:G162)*$C$10:$G$10) * 0.15
       ) +
       IF(
         SUMPRODUCT(($H$9:$Z$9="CO7")*ISNUMBER($H$10:$Z$10)*ISNUMBER(H162:Z162)) = 0,
         0,
         SUMPRODUCT(($H$9:$Z$9="CO7")*ISNUMBER($H$10:$Z$10)*ISNUMBER(H162:Z162)*H162:Z162) /
         SUMPRODUCT(($H$9:$Z$9="CO7")*ISNUMBER($H$10:$Z$10)*ISNUMBER(H162:Z162)*$H$10:$Z$10) * 0.85
       )
     ) * 100,
     ""
   )
)</f>
        <v/>
      </c>
      <c r="AH162" s="3" t="str" cm="1">
        <f t="array" ref="AH162">IF(
   SUMPRODUCT(($C$9:$G$9="CO8")*ISNUMBER($C$10:$G$10)*ISNUMBER(C162:G162)) +
   SUMPRODUCT(($H$9:$Z$9="CO8")*ISNUMBER($H$10:$Z$10)*ISNUMBER(H162:Z162)) = 0,
   "",
   IFERROR(
     (
       IF(
         SUMPRODUCT(($C$9:$G$9="CO8")*ISNUMBER($C$10:$G$10)*ISNUMBER(C162:G162)) = 0,
         0,
         SUMPRODUCT(($C$9:$G$9="CO8")*ISNUMBER($C$10:$G$10)*ISNUMBER(C162:G162)*C162:G162) /
         SUMPRODUCT(($C$9:$G$9="CO8")*ISNUMBER($C$10:$G$10)*ISNUMBER(C162:G162)*$C$10:$G$10) * 0.15
       ) +
       IF(
         SUMPRODUCT(($H$9:$Z$9="CO8")*ISNUMBER($H$10:$Z$10)*ISNUMBER(H162:Z162)) = 0,
         0,
         SUMPRODUCT(($H$9:$Z$9="CO8")*ISNUMBER($H$10:$Z$10)*ISNUMBER(H162:Z162)*H162:Z162) /
         SUMPRODUCT(($H$9:$Z$9="CO8")*ISNUMBER($H$10:$Z$10)*ISNUMBER(H162:Z162)*$H$10:$Z$10) * 0.85
       )
     ) * 100,
     ""
   )
)</f>
        <v/>
      </c>
      <c r="AI162" s="1" t="str">
        <f t="shared" si="18"/>
        <v/>
      </c>
      <c r="AJ162" s="1" t="str">
        <f t="shared" si="18"/>
        <v/>
      </c>
      <c r="AK162" s="1" t="str">
        <f t="shared" si="18"/>
        <v/>
      </c>
      <c r="AL162" s="1" t="str">
        <f t="shared" si="18"/>
        <v/>
      </c>
      <c r="AM162" s="1" t="str">
        <f t="shared" si="18"/>
        <v/>
      </c>
      <c r="AN162" s="1" t="str">
        <f t="shared" si="18"/>
        <v/>
      </c>
      <c r="AO162" s="1" t="str">
        <f t="shared" si="18"/>
        <v/>
      </c>
      <c r="AP162" s="1" t="str">
        <f t="shared" si="18"/>
        <v/>
      </c>
    </row>
    <row r="163" spans="1:42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" t="str" cm="1">
        <f t="array" ref="AA163">IF(
   SUMPRODUCT(($C$9:$G$9="CO1")*ISNUMBER($C$10:$G$10)*ISNUMBER(C163:G163)) +
   SUMPRODUCT(($H$9:$Z$9="CO1")*ISNUMBER($H$10:$Z$10)*ISNUMBER(H163:Z163)) = 0,
   "",
   IFERROR(
     (
       IF(
         SUMPRODUCT(($C$9:$G$9="CO1")*ISNUMBER($C$10:$G$10)*ISNUMBER(C163:G163)) = 0,
         0,
         SUMPRODUCT(($C$9:$G$9="CO1")*ISNUMBER($C$10:$G$10)*ISNUMBER(C163:G163)*C163:G163) /
         SUMPRODUCT(($C$9:$G$9="CO1")*ISNUMBER($C$10:$G$10)*ISNUMBER(C163:G163)*$C$10:$G$10) * 0.15
       ) +
       IF(
         SUMPRODUCT(($H$9:$Z$9="CO1")*ISNUMBER($H$10:$Z$10)*ISNUMBER(H163:Z163)) = 0,
         0,
         SUMPRODUCT(($H$9:$Z$9="CO1")*ISNUMBER($H$10:$Z$10)*ISNUMBER(H163:Z163)*H163:Z163) /
         SUMPRODUCT(($H$9:$Z$9="CO1")*ISNUMBER($H$10:$Z$10)*ISNUMBER(H163:Z163)*$H$10:$Z$10) * 0.85
       )
     ) * 100,
     ""
   )
)</f>
        <v/>
      </c>
      <c r="AB163" s="1" t="str" cm="1">
        <f t="array" ref="AB163">IF(
   SUMPRODUCT(($C$9:$G$9="CO2")*ISNUMBER($C$10:$G$10)*ISNUMBER(C163:G163)) +
   SUMPRODUCT(($H$9:$Z$9="CO2")*ISNUMBER($H$10:$Z$10)*ISNUMBER(H163:Z163)) = 0,
   "",
   IFERROR(
     (
       IF(
         SUMPRODUCT(($C$9:$G$9="CO2")*ISNUMBER($C$10:$G$10)*ISNUMBER(C163:G163)) = 0,
         0,
         SUMPRODUCT(($C$9:$G$9="CO2")*ISNUMBER($C$10:$G$10)*ISNUMBER(C163:G163)*C163:G163) /
         SUMPRODUCT(($C$9:$G$9="CO2")*ISNUMBER($C$10:$G$10)*ISNUMBER(C163:G163)*$C$10:$G$10) * 0.15
       ) +
       IF(
         SUMPRODUCT(($H$9:$Z$9="CO2")*ISNUMBER($H$10:$Z$10)*ISNUMBER(H163:Z163)) = 0,
         0,
         SUMPRODUCT(($H$9:$Z$9="CO2")*ISNUMBER($H$10:$Z$10)*ISNUMBER(H163:Z163)*H163:Z163) /
         SUMPRODUCT(($H$9:$Z$9="CO2")*ISNUMBER($H$10:$Z$10)*ISNUMBER(H163:Z163)*$H$10:$Z$10) * 0.85
       )
     ) * 100,
     ""
   )
)</f>
        <v/>
      </c>
      <c r="AC163" s="1" t="str" cm="1">
        <f t="array" ref="AC163">IF(
   SUMPRODUCT(($C$9:$G$9="CO3")*ISNUMBER($C$10:$G$10)*ISNUMBER(C163:G163)) +
   SUMPRODUCT(($H$9:$Z$9="CO3")*ISNUMBER($H$10:$Z$10)*ISNUMBER(H163:Z163)) = 0,
   "",
   IFERROR(
     (
       IF(
         SUMPRODUCT(($C$9:$G$9="CO3")*ISNUMBER($C$10:$G$10)*ISNUMBER(C163:G163)) = 0,
         0,
         SUMPRODUCT(($C$9:$G$9="CO3")*ISNUMBER($C$10:$G$10)*ISNUMBER(C163:G163)*C163:G163) /
         SUMPRODUCT(($C$9:$G$9="CO3")*ISNUMBER($C$10:$G$10)*ISNUMBER(C163:G163)*$C$10:$G$10) * 0.15
       ) +
       IF(
         SUMPRODUCT(($H$9:$Z$9="CO3")*ISNUMBER($H$10:$Z$10)*ISNUMBER(H163:Z163)) = 0,
         0,
         SUMPRODUCT(($H$9:$Z$9="CO3")*ISNUMBER($H$10:$Z$10)*ISNUMBER(H163:Z163)*H163:Z163) /
         SUMPRODUCT(($H$9:$Z$9="CO3")*ISNUMBER($H$10:$Z$10)*ISNUMBER(H163:Z163)*$H$10:$Z$10) * 0.85
       )
     ) * 100,
     ""
   )
)</f>
        <v/>
      </c>
      <c r="AD163" s="1" t="str" cm="1">
        <f t="array" ref="AD163">IF(
   SUMPRODUCT(($C$9:$G$9="CO4")*ISNUMBER($C$10:$G$10)*ISNUMBER(C163:G163)) +
   SUMPRODUCT(($H$9:$Z$9="CO4")*ISNUMBER($H$10:$Z$10)*ISNUMBER(H163:Z163)) = 0,
   "",
   IFERROR(
     (
       IF(
         SUMPRODUCT(($C$9:$G$9="CO4")*ISNUMBER($C$10:$G$10)*ISNUMBER(C163:G163)) = 0,
         0,
         SUMPRODUCT(($C$9:$G$9="CO4")*ISNUMBER($C$10:$G$10)*ISNUMBER(C163:G163)*C163:G163) /
         SUMPRODUCT(($C$9:$G$9="CO4")*ISNUMBER($C$10:$G$10)*ISNUMBER(C163:G163)*$C$10:$G$10) * 0.15
       ) +
       IF(
         SUMPRODUCT(($H$9:$Z$9="CO4")*ISNUMBER($H$10:$Z$10)*ISNUMBER(H163:Z163)) = 0,
         0,
         SUMPRODUCT(($H$9:$Z$9="CO4")*ISNUMBER($H$10:$Z$10)*ISNUMBER(H163:Z163)*H163:Z163) /
         SUMPRODUCT(($H$9:$Z$9="CO4")*ISNUMBER($H$10:$Z$10)*ISNUMBER(H163:Z163)*$H$10:$Z$10) * 0.85
       )
     ) * 100,
     ""
   )
)</f>
        <v/>
      </c>
      <c r="AE163" s="1" t="str" cm="1">
        <f t="array" ref="AE163">IF(
   SUMPRODUCT(($C$9:$G$9="CO5")*ISNUMBER($C$10:$G$10)*ISNUMBER(C163:G163)) +
   SUMPRODUCT(($H$9:$Z$9="CO5")*ISNUMBER($H$10:$Z$10)*ISNUMBER(H163:Z163)) = 0,
   "",
   IFERROR(
     (
       IF(
         SUMPRODUCT(($C$9:$G$9="CO5")*ISNUMBER($C$10:$G$10)*ISNUMBER(C163:G163)) = 0,
         0,
         SUMPRODUCT(($C$9:$G$9="CO5")*ISNUMBER($C$10:$G$10)*ISNUMBER(C163:G163)*C163:G163) /
         SUMPRODUCT(($C$9:$G$9="CO5")*ISNUMBER($C$10:$G$10)*ISNUMBER(C163:G163)*$C$10:$G$10) * 0.15
       ) +
       IF(
         SUMPRODUCT(($H$9:$Z$9="CO5")*ISNUMBER($H$10:$Z$10)*ISNUMBER(H163:Z163)) = 0,
         0,
         SUMPRODUCT(($H$9:$Z$9="CO5")*ISNUMBER($H$10:$Z$10)*ISNUMBER(H163:Z163)*H163:Z163) /
         SUMPRODUCT(($H$9:$Z$9="CO5")*ISNUMBER($H$10:$Z$10)*ISNUMBER(H163:Z163)*$H$10:$Z$10) * 0.85
       )
     ) * 100,
     ""
   )
)</f>
        <v/>
      </c>
      <c r="AF163" s="1" t="str" cm="1">
        <f t="array" ref="AF163">IF(
   SUMPRODUCT(($C$9:$G$9="CO6")*ISNUMBER($C$10:$G$10)*ISNUMBER(C163:G163)) +
   SUMPRODUCT(($H$9:$Z$9="CO6")*ISNUMBER($H$10:$Z$10)*ISNUMBER(H163:Z163)) = 0,
   "",
   IFERROR(
     (
       IF(
         SUMPRODUCT(($C$9:$G$9="CO6")*ISNUMBER($C$10:$G$10)*ISNUMBER(C163:G163)) = 0,
         0,
         SUMPRODUCT(($C$9:$G$9="CO6")*ISNUMBER($C$10:$G$10)*ISNUMBER(C163:G163)*C163:G163) /
         SUMPRODUCT(($C$9:$G$9="CO6")*ISNUMBER($C$10:$G$10)*ISNUMBER(C163:G163)*$C$10:$G$10) * 0.15
       ) +
       IF(
         SUMPRODUCT(($H$9:$Z$9="CO6")*ISNUMBER($H$10:$Z$10)*ISNUMBER(H163:Z163)) = 0,
         0,
         SUMPRODUCT(($H$9:$Z$9="CO6")*ISNUMBER($H$10:$Z$10)*ISNUMBER(H163:Z163)*H163:Z163) /
         SUMPRODUCT(($H$9:$Z$9="CO6")*ISNUMBER($H$10:$Z$10)*ISNUMBER(H163:Z163)*$H$10:$Z$10) * 0.85
       )
     ) * 100,
     ""
   )
)</f>
        <v/>
      </c>
      <c r="AG163" s="1" t="str" cm="1">
        <f t="array" ref="AG163">IF(
   SUMPRODUCT(($C$9:$G$9="CO7")*ISNUMBER($C$10:$G$10)*ISNUMBER(C163:G163)) +
   SUMPRODUCT(($H$9:$Z$9="CO7")*ISNUMBER($H$10:$Z$10)*ISNUMBER(H163:Z163)) = 0,
   "",
   IFERROR(
     (
       IF(
         SUMPRODUCT(($C$9:$G$9="CO7")*ISNUMBER($C$10:$G$10)*ISNUMBER(C163:G163)) = 0,
         0,
         SUMPRODUCT(($C$9:$G$9="CO7")*ISNUMBER($C$10:$G$10)*ISNUMBER(C163:G163)*C163:G163) /
         SUMPRODUCT(($C$9:$G$9="CO7")*ISNUMBER($C$10:$G$10)*ISNUMBER(C163:G163)*$C$10:$G$10) * 0.15
       ) +
       IF(
         SUMPRODUCT(($H$9:$Z$9="CO7")*ISNUMBER($H$10:$Z$10)*ISNUMBER(H163:Z163)) = 0,
         0,
         SUMPRODUCT(($H$9:$Z$9="CO7")*ISNUMBER($H$10:$Z$10)*ISNUMBER(H163:Z163)*H163:Z163) /
         SUMPRODUCT(($H$9:$Z$9="CO7")*ISNUMBER($H$10:$Z$10)*ISNUMBER(H163:Z163)*$H$10:$Z$10) * 0.85
       )
     ) * 100,
     ""
   )
)</f>
        <v/>
      </c>
      <c r="AH163" s="3" t="str" cm="1">
        <f t="array" ref="AH163">IF(
   SUMPRODUCT(($C$9:$G$9="CO8")*ISNUMBER($C$10:$G$10)*ISNUMBER(C163:G163)) +
   SUMPRODUCT(($H$9:$Z$9="CO8")*ISNUMBER($H$10:$Z$10)*ISNUMBER(H163:Z163)) = 0,
   "",
   IFERROR(
     (
       IF(
         SUMPRODUCT(($C$9:$G$9="CO8")*ISNUMBER($C$10:$G$10)*ISNUMBER(C163:G163)) = 0,
         0,
         SUMPRODUCT(($C$9:$G$9="CO8")*ISNUMBER($C$10:$G$10)*ISNUMBER(C163:G163)*C163:G163) /
         SUMPRODUCT(($C$9:$G$9="CO8")*ISNUMBER($C$10:$G$10)*ISNUMBER(C163:G163)*$C$10:$G$10) * 0.15
       ) +
       IF(
         SUMPRODUCT(($H$9:$Z$9="CO8")*ISNUMBER($H$10:$Z$10)*ISNUMBER(H163:Z163)) = 0,
         0,
         SUMPRODUCT(($H$9:$Z$9="CO8")*ISNUMBER($H$10:$Z$10)*ISNUMBER(H163:Z163)*H163:Z163) /
         SUMPRODUCT(($H$9:$Z$9="CO8")*ISNUMBER($H$10:$Z$10)*ISNUMBER(H163:Z163)*$H$10:$Z$10) * 0.85
       )
     ) * 100,
     ""
   )
)</f>
        <v/>
      </c>
      <c r="AI163" s="1" t="str">
        <f t="shared" si="18"/>
        <v/>
      </c>
      <c r="AJ163" s="1" t="str">
        <f t="shared" si="18"/>
        <v/>
      </c>
      <c r="AK163" s="1" t="str">
        <f t="shared" si="18"/>
        <v/>
      </c>
      <c r="AL163" s="1" t="str">
        <f t="shared" si="18"/>
        <v/>
      </c>
      <c r="AM163" s="1" t="str">
        <f t="shared" si="18"/>
        <v/>
      </c>
      <c r="AN163" s="1" t="str">
        <f t="shared" si="18"/>
        <v/>
      </c>
      <c r="AO163" s="1" t="str">
        <f t="shared" si="18"/>
        <v/>
      </c>
      <c r="AP163" s="1" t="str">
        <f t="shared" si="18"/>
        <v/>
      </c>
    </row>
    <row r="164" spans="1:42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" t="str" cm="1">
        <f t="array" ref="AA164">IF(
   SUMPRODUCT(($C$9:$G$9="CO1")*ISNUMBER($C$10:$G$10)*ISNUMBER(C164:G164)) +
   SUMPRODUCT(($H$9:$Z$9="CO1")*ISNUMBER($H$10:$Z$10)*ISNUMBER(H164:Z164)) = 0,
   "",
   IFERROR(
     (
       IF(
         SUMPRODUCT(($C$9:$G$9="CO1")*ISNUMBER($C$10:$G$10)*ISNUMBER(C164:G164)) = 0,
         0,
         SUMPRODUCT(($C$9:$G$9="CO1")*ISNUMBER($C$10:$G$10)*ISNUMBER(C164:G164)*C164:G164) /
         SUMPRODUCT(($C$9:$G$9="CO1")*ISNUMBER($C$10:$G$10)*ISNUMBER(C164:G164)*$C$10:$G$10) * 0.15
       ) +
       IF(
         SUMPRODUCT(($H$9:$Z$9="CO1")*ISNUMBER($H$10:$Z$10)*ISNUMBER(H164:Z164)) = 0,
         0,
         SUMPRODUCT(($H$9:$Z$9="CO1")*ISNUMBER($H$10:$Z$10)*ISNUMBER(H164:Z164)*H164:Z164) /
         SUMPRODUCT(($H$9:$Z$9="CO1")*ISNUMBER($H$10:$Z$10)*ISNUMBER(H164:Z164)*$H$10:$Z$10) * 0.85
       )
     ) * 100,
     ""
   )
)</f>
        <v/>
      </c>
      <c r="AB164" s="1" t="str" cm="1">
        <f t="array" ref="AB164">IF(
   SUMPRODUCT(($C$9:$G$9="CO2")*ISNUMBER($C$10:$G$10)*ISNUMBER(C164:G164)) +
   SUMPRODUCT(($H$9:$Z$9="CO2")*ISNUMBER($H$10:$Z$10)*ISNUMBER(H164:Z164)) = 0,
   "",
   IFERROR(
     (
       IF(
         SUMPRODUCT(($C$9:$G$9="CO2")*ISNUMBER($C$10:$G$10)*ISNUMBER(C164:G164)) = 0,
         0,
         SUMPRODUCT(($C$9:$G$9="CO2")*ISNUMBER($C$10:$G$10)*ISNUMBER(C164:G164)*C164:G164) /
         SUMPRODUCT(($C$9:$G$9="CO2")*ISNUMBER($C$10:$G$10)*ISNUMBER(C164:G164)*$C$10:$G$10) * 0.15
       ) +
       IF(
         SUMPRODUCT(($H$9:$Z$9="CO2")*ISNUMBER($H$10:$Z$10)*ISNUMBER(H164:Z164)) = 0,
         0,
         SUMPRODUCT(($H$9:$Z$9="CO2")*ISNUMBER($H$10:$Z$10)*ISNUMBER(H164:Z164)*H164:Z164) /
         SUMPRODUCT(($H$9:$Z$9="CO2")*ISNUMBER($H$10:$Z$10)*ISNUMBER(H164:Z164)*$H$10:$Z$10) * 0.85
       )
     ) * 100,
     ""
   )
)</f>
        <v/>
      </c>
      <c r="AC164" s="1" t="str" cm="1">
        <f t="array" ref="AC164">IF(
   SUMPRODUCT(($C$9:$G$9="CO3")*ISNUMBER($C$10:$G$10)*ISNUMBER(C164:G164)) +
   SUMPRODUCT(($H$9:$Z$9="CO3")*ISNUMBER($H$10:$Z$10)*ISNUMBER(H164:Z164)) = 0,
   "",
   IFERROR(
     (
       IF(
         SUMPRODUCT(($C$9:$G$9="CO3")*ISNUMBER($C$10:$G$10)*ISNUMBER(C164:G164)) = 0,
         0,
         SUMPRODUCT(($C$9:$G$9="CO3")*ISNUMBER($C$10:$G$10)*ISNUMBER(C164:G164)*C164:G164) /
         SUMPRODUCT(($C$9:$G$9="CO3")*ISNUMBER($C$10:$G$10)*ISNUMBER(C164:G164)*$C$10:$G$10) * 0.15
       ) +
       IF(
         SUMPRODUCT(($H$9:$Z$9="CO3")*ISNUMBER($H$10:$Z$10)*ISNUMBER(H164:Z164)) = 0,
         0,
         SUMPRODUCT(($H$9:$Z$9="CO3")*ISNUMBER($H$10:$Z$10)*ISNUMBER(H164:Z164)*H164:Z164) /
         SUMPRODUCT(($H$9:$Z$9="CO3")*ISNUMBER($H$10:$Z$10)*ISNUMBER(H164:Z164)*$H$10:$Z$10) * 0.85
       )
     ) * 100,
     ""
   )
)</f>
        <v/>
      </c>
      <c r="AD164" s="1" t="str" cm="1">
        <f t="array" ref="AD164">IF(
   SUMPRODUCT(($C$9:$G$9="CO4")*ISNUMBER($C$10:$G$10)*ISNUMBER(C164:G164)) +
   SUMPRODUCT(($H$9:$Z$9="CO4")*ISNUMBER($H$10:$Z$10)*ISNUMBER(H164:Z164)) = 0,
   "",
   IFERROR(
     (
       IF(
         SUMPRODUCT(($C$9:$G$9="CO4")*ISNUMBER($C$10:$G$10)*ISNUMBER(C164:G164)) = 0,
         0,
         SUMPRODUCT(($C$9:$G$9="CO4")*ISNUMBER($C$10:$G$10)*ISNUMBER(C164:G164)*C164:G164) /
         SUMPRODUCT(($C$9:$G$9="CO4")*ISNUMBER($C$10:$G$10)*ISNUMBER(C164:G164)*$C$10:$G$10) * 0.15
       ) +
       IF(
         SUMPRODUCT(($H$9:$Z$9="CO4")*ISNUMBER($H$10:$Z$10)*ISNUMBER(H164:Z164)) = 0,
         0,
         SUMPRODUCT(($H$9:$Z$9="CO4")*ISNUMBER($H$10:$Z$10)*ISNUMBER(H164:Z164)*H164:Z164) /
         SUMPRODUCT(($H$9:$Z$9="CO4")*ISNUMBER($H$10:$Z$10)*ISNUMBER(H164:Z164)*$H$10:$Z$10) * 0.85
       )
     ) * 100,
     ""
   )
)</f>
        <v/>
      </c>
      <c r="AE164" s="1" t="str" cm="1">
        <f t="array" ref="AE164">IF(
   SUMPRODUCT(($C$9:$G$9="CO5")*ISNUMBER($C$10:$G$10)*ISNUMBER(C164:G164)) +
   SUMPRODUCT(($H$9:$Z$9="CO5")*ISNUMBER($H$10:$Z$10)*ISNUMBER(H164:Z164)) = 0,
   "",
   IFERROR(
     (
       IF(
         SUMPRODUCT(($C$9:$G$9="CO5")*ISNUMBER($C$10:$G$10)*ISNUMBER(C164:G164)) = 0,
         0,
         SUMPRODUCT(($C$9:$G$9="CO5")*ISNUMBER($C$10:$G$10)*ISNUMBER(C164:G164)*C164:G164) /
         SUMPRODUCT(($C$9:$G$9="CO5")*ISNUMBER($C$10:$G$10)*ISNUMBER(C164:G164)*$C$10:$G$10) * 0.15
       ) +
       IF(
         SUMPRODUCT(($H$9:$Z$9="CO5")*ISNUMBER($H$10:$Z$10)*ISNUMBER(H164:Z164)) = 0,
         0,
         SUMPRODUCT(($H$9:$Z$9="CO5")*ISNUMBER($H$10:$Z$10)*ISNUMBER(H164:Z164)*H164:Z164) /
         SUMPRODUCT(($H$9:$Z$9="CO5")*ISNUMBER($H$10:$Z$10)*ISNUMBER(H164:Z164)*$H$10:$Z$10) * 0.85
       )
     ) * 100,
     ""
   )
)</f>
        <v/>
      </c>
      <c r="AF164" s="1" t="str" cm="1">
        <f t="array" ref="AF164">IF(
   SUMPRODUCT(($C$9:$G$9="CO6")*ISNUMBER($C$10:$G$10)*ISNUMBER(C164:G164)) +
   SUMPRODUCT(($H$9:$Z$9="CO6")*ISNUMBER($H$10:$Z$10)*ISNUMBER(H164:Z164)) = 0,
   "",
   IFERROR(
     (
       IF(
         SUMPRODUCT(($C$9:$G$9="CO6")*ISNUMBER($C$10:$G$10)*ISNUMBER(C164:G164)) = 0,
         0,
         SUMPRODUCT(($C$9:$G$9="CO6")*ISNUMBER($C$10:$G$10)*ISNUMBER(C164:G164)*C164:G164) /
         SUMPRODUCT(($C$9:$G$9="CO6")*ISNUMBER($C$10:$G$10)*ISNUMBER(C164:G164)*$C$10:$G$10) * 0.15
       ) +
       IF(
         SUMPRODUCT(($H$9:$Z$9="CO6")*ISNUMBER($H$10:$Z$10)*ISNUMBER(H164:Z164)) = 0,
         0,
         SUMPRODUCT(($H$9:$Z$9="CO6")*ISNUMBER($H$10:$Z$10)*ISNUMBER(H164:Z164)*H164:Z164) /
         SUMPRODUCT(($H$9:$Z$9="CO6")*ISNUMBER($H$10:$Z$10)*ISNUMBER(H164:Z164)*$H$10:$Z$10) * 0.85
       )
     ) * 100,
     ""
   )
)</f>
        <v/>
      </c>
      <c r="AG164" s="1" t="str" cm="1">
        <f t="array" ref="AG164">IF(
   SUMPRODUCT(($C$9:$G$9="CO7")*ISNUMBER($C$10:$G$10)*ISNUMBER(C164:G164)) +
   SUMPRODUCT(($H$9:$Z$9="CO7")*ISNUMBER($H$10:$Z$10)*ISNUMBER(H164:Z164)) = 0,
   "",
   IFERROR(
     (
       IF(
         SUMPRODUCT(($C$9:$G$9="CO7")*ISNUMBER($C$10:$G$10)*ISNUMBER(C164:G164)) = 0,
         0,
         SUMPRODUCT(($C$9:$G$9="CO7")*ISNUMBER($C$10:$G$10)*ISNUMBER(C164:G164)*C164:G164) /
         SUMPRODUCT(($C$9:$G$9="CO7")*ISNUMBER($C$10:$G$10)*ISNUMBER(C164:G164)*$C$10:$G$10) * 0.15
       ) +
       IF(
         SUMPRODUCT(($H$9:$Z$9="CO7")*ISNUMBER($H$10:$Z$10)*ISNUMBER(H164:Z164)) = 0,
         0,
         SUMPRODUCT(($H$9:$Z$9="CO7")*ISNUMBER($H$10:$Z$10)*ISNUMBER(H164:Z164)*H164:Z164) /
         SUMPRODUCT(($H$9:$Z$9="CO7")*ISNUMBER($H$10:$Z$10)*ISNUMBER(H164:Z164)*$H$10:$Z$10) * 0.85
       )
     ) * 100,
     ""
   )
)</f>
        <v/>
      </c>
      <c r="AH164" s="3" t="str" cm="1">
        <f t="array" ref="AH164">IF(
   SUMPRODUCT(($C$9:$G$9="CO8")*ISNUMBER($C$10:$G$10)*ISNUMBER(C164:G164)) +
   SUMPRODUCT(($H$9:$Z$9="CO8")*ISNUMBER($H$10:$Z$10)*ISNUMBER(H164:Z164)) = 0,
   "",
   IFERROR(
     (
       IF(
         SUMPRODUCT(($C$9:$G$9="CO8")*ISNUMBER($C$10:$G$10)*ISNUMBER(C164:G164)) = 0,
         0,
         SUMPRODUCT(($C$9:$G$9="CO8")*ISNUMBER($C$10:$G$10)*ISNUMBER(C164:G164)*C164:G164) /
         SUMPRODUCT(($C$9:$G$9="CO8")*ISNUMBER($C$10:$G$10)*ISNUMBER(C164:G164)*$C$10:$G$10) * 0.15
       ) +
       IF(
         SUMPRODUCT(($H$9:$Z$9="CO8")*ISNUMBER($H$10:$Z$10)*ISNUMBER(H164:Z164)) = 0,
         0,
         SUMPRODUCT(($H$9:$Z$9="CO8")*ISNUMBER($H$10:$Z$10)*ISNUMBER(H164:Z164)*H164:Z164) /
         SUMPRODUCT(($H$9:$Z$9="CO8")*ISNUMBER($H$10:$Z$10)*ISNUMBER(H164:Z164)*$H$10:$Z$10) * 0.85
       )
     ) * 100,
     ""
   )
)</f>
        <v/>
      </c>
      <c r="AI164" s="1" t="str">
        <f t="shared" si="18"/>
        <v/>
      </c>
      <c r="AJ164" s="1" t="str">
        <f t="shared" si="18"/>
        <v/>
      </c>
      <c r="AK164" s="1" t="str">
        <f t="shared" si="18"/>
        <v/>
      </c>
      <c r="AL164" s="1" t="str">
        <f t="shared" si="18"/>
        <v/>
      </c>
      <c r="AM164" s="1" t="str">
        <f t="shared" si="18"/>
        <v/>
      </c>
      <c r="AN164" s="1" t="str">
        <f t="shared" si="18"/>
        <v/>
      </c>
      <c r="AO164" s="1" t="str">
        <f t="shared" si="18"/>
        <v/>
      </c>
      <c r="AP164" s="1" t="str">
        <f t="shared" si="18"/>
        <v/>
      </c>
    </row>
    <row r="165" spans="1:42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" t="str" cm="1">
        <f t="array" ref="AA165">IF(
   SUMPRODUCT(($C$9:$G$9="CO1")*ISNUMBER($C$10:$G$10)*ISNUMBER(C165:G165)) +
   SUMPRODUCT(($H$9:$Z$9="CO1")*ISNUMBER($H$10:$Z$10)*ISNUMBER(H165:Z165)) = 0,
   "",
   IFERROR(
     (
       IF(
         SUMPRODUCT(($C$9:$G$9="CO1")*ISNUMBER($C$10:$G$10)*ISNUMBER(C165:G165)) = 0,
         0,
         SUMPRODUCT(($C$9:$G$9="CO1")*ISNUMBER($C$10:$G$10)*ISNUMBER(C165:G165)*C165:G165) /
         SUMPRODUCT(($C$9:$G$9="CO1")*ISNUMBER($C$10:$G$10)*ISNUMBER(C165:G165)*$C$10:$G$10) * 0.15
       ) +
       IF(
         SUMPRODUCT(($H$9:$Z$9="CO1")*ISNUMBER($H$10:$Z$10)*ISNUMBER(H165:Z165)) = 0,
         0,
         SUMPRODUCT(($H$9:$Z$9="CO1")*ISNUMBER($H$10:$Z$10)*ISNUMBER(H165:Z165)*H165:Z165) /
         SUMPRODUCT(($H$9:$Z$9="CO1")*ISNUMBER($H$10:$Z$10)*ISNUMBER(H165:Z165)*$H$10:$Z$10) * 0.85
       )
     ) * 100,
     ""
   )
)</f>
        <v/>
      </c>
      <c r="AB165" s="1" t="str" cm="1">
        <f t="array" ref="AB165">IF(
   SUMPRODUCT(($C$9:$G$9="CO2")*ISNUMBER($C$10:$G$10)*ISNUMBER(C165:G165)) +
   SUMPRODUCT(($H$9:$Z$9="CO2")*ISNUMBER($H$10:$Z$10)*ISNUMBER(H165:Z165)) = 0,
   "",
   IFERROR(
     (
       IF(
         SUMPRODUCT(($C$9:$G$9="CO2")*ISNUMBER($C$10:$G$10)*ISNUMBER(C165:G165)) = 0,
         0,
         SUMPRODUCT(($C$9:$G$9="CO2")*ISNUMBER($C$10:$G$10)*ISNUMBER(C165:G165)*C165:G165) /
         SUMPRODUCT(($C$9:$G$9="CO2")*ISNUMBER($C$10:$G$10)*ISNUMBER(C165:G165)*$C$10:$G$10) * 0.15
       ) +
       IF(
         SUMPRODUCT(($H$9:$Z$9="CO2")*ISNUMBER($H$10:$Z$10)*ISNUMBER(H165:Z165)) = 0,
         0,
         SUMPRODUCT(($H$9:$Z$9="CO2")*ISNUMBER($H$10:$Z$10)*ISNUMBER(H165:Z165)*H165:Z165) /
         SUMPRODUCT(($H$9:$Z$9="CO2")*ISNUMBER($H$10:$Z$10)*ISNUMBER(H165:Z165)*$H$10:$Z$10) * 0.85
       )
     ) * 100,
     ""
   )
)</f>
        <v/>
      </c>
      <c r="AC165" s="1" t="str" cm="1">
        <f t="array" ref="AC165">IF(
   SUMPRODUCT(($C$9:$G$9="CO3")*ISNUMBER($C$10:$G$10)*ISNUMBER(C165:G165)) +
   SUMPRODUCT(($H$9:$Z$9="CO3")*ISNUMBER($H$10:$Z$10)*ISNUMBER(H165:Z165)) = 0,
   "",
   IFERROR(
     (
       IF(
         SUMPRODUCT(($C$9:$G$9="CO3")*ISNUMBER($C$10:$G$10)*ISNUMBER(C165:G165)) = 0,
         0,
         SUMPRODUCT(($C$9:$G$9="CO3")*ISNUMBER($C$10:$G$10)*ISNUMBER(C165:G165)*C165:G165) /
         SUMPRODUCT(($C$9:$G$9="CO3")*ISNUMBER($C$10:$G$10)*ISNUMBER(C165:G165)*$C$10:$G$10) * 0.15
       ) +
       IF(
         SUMPRODUCT(($H$9:$Z$9="CO3")*ISNUMBER($H$10:$Z$10)*ISNUMBER(H165:Z165)) = 0,
         0,
         SUMPRODUCT(($H$9:$Z$9="CO3")*ISNUMBER($H$10:$Z$10)*ISNUMBER(H165:Z165)*H165:Z165) /
         SUMPRODUCT(($H$9:$Z$9="CO3")*ISNUMBER($H$10:$Z$10)*ISNUMBER(H165:Z165)*$H$10:$Z$10) * 0.85
       )
     ) * 100,
     ""
   )
)</f>
        <v/>
      </c>
      <c r="AD165" s="1" t="str" cm="1">
        <f t="array" ref="AD165">IF(
   SUMPRODUCT(($C$9:$G$9="CO4")*ISNUMBER($C$10:$G$10)*ISNUMBER(C165:G165)) +
   SUMPRODUCT(($H$9:$Z$9="CO4")*ISNUMBER($H$10:$Z$10)*ISNUMBER(H165:Z165)) = 0,
   "",
   IFERROR(
     (
       IF(
         SUMPRODUCT(($C$9:$G$9="CO4")*ISNUMBER($C$10:$G$10)*ISNUMBER(C165:G165)) = 0,
         0,
         SUMPRODUCT(($C$9:$G$9="CO4")*ISNUMBER($C$10:$G$10)*ISNUMBER(C165:G165)*C165:G165) /
         SUMPRODUCT(($C$9:$G$9="CO4")*ISNUMBER($C$10:$G$10)*ISNUMBER(C165:G165)*$C$10:$G$10) * 0.15
       ) +
       IF(
         SUMPRODUCT(($H$9:$Z$9="CO4")*ISNUMBER($H$10:$Z$10)*ISNUMBER(H165:Z165)) = 0,
         0,
         SUMPRODUCT(($H$9:$Z$9="CO4")*ISNUMBER($H$10:$Z$10)*ISNUMBER(H165:Z165)*H165:Z165) /
         SUMPRODUCT(($H$9:$Z$9="CO4")*ISNUMBER($H$10:$Z$10)*ISNUMBER(H165:Z165)*$H$10:$Z$10) * 0.85
       )
     ) * 100,
     ""
   )
)</f>
        <v/>
      </c>
      <c r="AE165" s="1" t="str" cm="1">
        <f t="array" ref="AE165">IF(
   SUMPRODUCT(($C$9:$G$9="CO5")*ISNUMBER($C$10:$G$10)*ISNUMBER(C165:G165)) +
   SUMPRODUCT(($H$9:$Z$9="CO5")*ISNUMBER($H$10:$Z$10)*ISNUMBER(H165:Z165)) = 0,
   "",
   IFERROR(
     (
       IF(
         SUMPRODUCT(($C$9:$G$9="CO5")*ISNUMBER($C$10:$G$10)*ISNUMBER(C165:G165)) = 0,
         0,
         SUMPRODUCT(($C$9:$G$9="CO5")*ISNUMBER($C$10:$G$10)*ISNUMBER(C165:G165)*C165:G165) /
         SUMPRODUCT(($C$9:$G$9="CO5")*ISNUMBER($C$10:$G$10)*ISNUMBER(C165:G165)*$C$10:$G$10) * 0.15
       ) +
       IF(
         SUMPRODUCT(($H$9:$Z$9="CO5")*ISNUMBER($H$10:$Z$10)*ISNUMBER(H165:Z165)) = 0,
         0,
         SUMPRODUCT(($H$9:$Z$9="CO5")*ISNUMBER($H$10:$Z$10)*ISNUMBER(H165:Z165)*H165:Z165) /
         SUMPRODUCT(($H$9:$Z$9="CO5")*ISNUMBER($H$10:$Z$10)*ISNUMBER(H165:Z165)*$H$10:$Z$10) * 0.85
       )
     ) * 100,
     ""
   )
)</f>
        <v/>
      </c>
      <c r="AF165" s="1" t="str" cm="1">
        <f t="array" ref="AF165">IF(
   SUMPRODUCT(($C$9:$G$9="CO6")*ISNUMBER($C$10:$G$10)*ISNUMBER(C165:G165)) +
   SUMPRODUCT(($H$9:$Z$9="CO6")*ISNUMBER($H$10:$Z$10)*ISNUMBER(H165:Z165)) = 0,
   "",
   IFERROR(
     (
       IF(
         SUMPRODUCT(($C$9:$G$9="CO6")*ISNUMBER($C$10:$G$10)*ISNUMBER(C165:G165)) = 0,
         0,
         SUMPRODUCT(($C$9:$G$9="CO6")*ISNUMBER($C$10:$G$10)*ISNUMBER(C165:G165)*C165:G165) /
         SUMPRODUCT(($C$9:$G$9="CO6")*ISNUMBER($C$10:$G$10)*ISNUMBER(C165:G165)*$C$10:$G$10) * 0.15
       ) +
       IF(
         SUMPRODUCT(($H$9:$Z$9="CO6")*ISNUMBER($H$10:$Z$10)*ISNUMBER(H165:Z165)) = 0,
         0,
         SUMPRODUCT(($H$9:$Z$9="CO6")*ISNUMBER($H$10:$Z$10)*ISNUMBER(H165:Z165)*H165:Z165) /
         SUMPRODUCT(($H$9:$Z$9="CO6")*ISNUMBER($H$10:$Z$10)*ISNUMBER(H165:Z165)*$H$10:$Z$10) * 0.85
       )
     ) * 100,
     ""
   )
)</f>
        <v/>
      </c>
      <c r="AG165" s="1" t="str" cm="1">
        <f t="array" ref="AG165">IF(
   SUMPRODUCT(($C$9:$G$9="CO7")*ISNUMBER($C$10:$G$10)*ISNUMBER(C165:G165)) +
   SUMPRODUCT(($H$9:$Z$9="CO7")*ISNUMBER($H$10:$Z$10)*ISNUMBER(H165:Z165)) = 0,
   "",
   IFERROR(
     (
       IF(
         SUMPRODUCT(($C$9:$G$9="CO7")*ISNUMBER($C$10:$G$10)*ISNUMBER(C165:G165)) = 0,
         0,
         SUMPRODUCT(($C$9:$G$9="CO7")*ISNUMBER($C$10:$G$10)*ISNUMBER(C165:G165)*C165:G165) /
         SUMPRODUCT(($C$9:$G$9="CO7")*ISNUMBER($C$10:$G$10)*ISNUMBER(C165:G165)*$C$10:$G$10) * 0.15
       ) +
       IF(
         SUMPRODUCT(($H$9:$Z$9="CO7")*ISNUMBER($H$10:$Z$10)*ISNUMBER(H165:Z165)) = 0,
         0,
         SUMPRODUCT(($H$9:$Z$9="CO7")*ISNUMBER($H$10:$Z$10)*ISNUMBER(H165:Z165)*H165:Z165) /
         SUMPRODUCT(($H$9:$Z$9="CO7")*ISNUMBER($H$10:$Z$10)*ISNUMBER(H165:Z165)*$H$10:$Z$10) * 0.85
       )
     ) * 100,
     ""
   )
)</f>
        <v/>
      </c>
      <c r="AH165" s="3" t="str" cm="1">
        <f t="array" ref="AH165">IF(
   SUMPRODUCT(($C$9:$G$9="CO8")*ISNUMBER($C$10:$G$10)*ISNUMBER(C165:G165)) +
   SUMPRODUCT(($H$9:$Z$9="CO8")*ISNUMBER($H$10:$Z$10)*ISNUMBER(H165:Z165)) = 0,
   "",
   IFERROR(
     (
       IF(
         SUMPRODUCT(($C$9:$G$9="CO8")*ISNUMBER($C$10:$G$10)*ISNUMBER(C165:G165)) = 0,
         0,
         SUMPRODUCT(($C$9:$G$9="CO8")*ISNUMBER($C$10:$G$10)*ISNUMBER(C165:G165)*C165:G165) /
         SUMPRODUCT(($C$9:$G$9="CO8")*ISNUMBER($C$10:$G$10)*ISNUMBER(C165:G165)*$C$10:$G$10) * 0.15
       ) +
       IF(
         SUMPRODUCT(($H$9:$Z$9="CO8")*ISNUMBER($H$10:$Z$10)*ISNUMBER(H165:Z165)) = 0,
         0,
         SUMPRODUCT(($H$9:$Z$9="CO8")*ISNUMBER($H$10:$Z$10)*ISNUMBER(H165:Z165)*H165:Z165) /
         SUMPRODUCT(($H$9:$Z$9="CO8")*ISNUMBER($H$10:$Z$10)*ISNUMBER(H165:Z165)*$H$10:$Z$10) * 0.85
       )
     ) * 100,
     ""
   )
)</f>
        <v/>
      </c>
      <c r="AI165" s="1" t="str">
        <f t="shared" si="18"/>
        <v/>
      </c>
      <c r="AJ165" s="1" t="str">
        <f t="shared" si="18"/>
        <v/>
      </c>
      <c r="AK165" s="1" t="str">
        <f t="shared" si="18"/>
        <v/>
      </c>
      <c r="AL165" s="1" t="str">
        <f t="shared" si="18"/>
        <v/>
      </c>
      <c r="AM165" s="1" t="str">
        <f t="shared" si="18"/>
        <v/>
      </c>
      <c r="AN165" s="1" t="str">
        <f t="shared" si="18"/>
        <v/>
      </c>
      <c r="AO165" s="1" t="str">
        <f t="shared" si="18"/>
        <v/>
      </c>
      <c r="AP165" s="1" t="str">
        <f t="shared" si="18"/>
        <v/>
      </c>
    </row>
    <row r="166" spans="1:42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" t="str" cm="1">
        <f t="array" ref="AA166">IF(
   SUMPRODUCT(($C$9:$G$9="CO1")*ISNUMBER($C$10:$G$10)*ISNUMBER(C166:G166)) +
   SUMPRODUCT(($H$9:$Z$9="CO1")*ISNUMBER($H$10:$Z$10)*ISNUMBER(H166:Z166)) = 0,
   "",
   IFERROR(
     (
       IF(
         SUMPRODUCT(($C$9:$G$9="CO1")*ISNUMBER($C$10:$G$10)*ISNUMBER(C166:G166)) = 0,
         0,
         SUMPRODUCT(($C$9:$G$9="CO1")*ISNUMBER($C$10:$G$10)*ISNUMBER(C166:G166)*C166:G166) /
         SUMPRODUCT(($C$9:$G$9="CO1")*ISNUMBER($C$10:$G$10)*ISNUMBER(C166:G166)*$C$10:$G$10) * 0.15
       ) +
       IF(
         SUMPRODUCT(($H$9:$Z$9="CO1")*ISNUMBER($H$10:$Z$10)*ISNUMBER(H166:Z166)) = 0,
         0,
         SUMPRODUCT(($H$9:$Z$9="CO1")*ISNUMBER($H$10:$Z$10)*ISNUMBER(H166:Z166)*H166:Z166) /
         SUMPRODUCT(($H$9:$Z$9="CO1")*ISNUMBER($H$10:$Z$10)*ISNUMBER(H166:Z166)*$H$10:$Z$10) * 0.85
       )
     ) * 100,
     ""
   )
)</f>
        <v/>
      </c>
      <c r="AB166" s="1" t="str" cm="1">
        <f t="array" ref="AB166">IF(
   SUMPRODUCT(($C$9:$G$9="CO2")*ISNUMBER($C$10:$G$10)*ISNUMBER(C166:G166)) +
   SUMPRODUCT(($H$9:$Z$9="CO2")*ISNUMBER($H$10:$Z$10)*ISNUMBER(H166:Z166)) = 0,
   "",
   IFERROR(
     (
       IF(
         SUMPRODUCT(($C$9:$G$9="CO2")*ISNUMBER($C$10:$G$10)*ISNUMBER(C166:G166)) = 0,
         0,
         SUMPRODUCT(($C$9:$G$9="CO2")*ISNUMBER($C$10:$G$10)*ISNUMBER(C166:G166)*C166:G166) /
         SUMPRODUCT(($C$9:$G$9="CO2")*ISNUMBER($C$10:$G$10)*ISNUMBER(C166:G166)*$C$10:$G$10) * 0.15
       ) +
       IF(
         SUMPRODUCT(($H$9:$Z$9="CO2")*ISNUMBER($H$10:$Z$10)*ISNUMBER(H166:Z166)) = 0,
         0,
         SUMPRODUCT(($H$9:$Z$9="CO2")*ISNUMBER($H$10:$Z$10)*ISNUMBER(H166:Z166)*H166:Z166) /
         SUMPRODUCT(($H$9:$Z$9="CO2")*ISNUMBER($H$10:$Z$10)*ISNUMBER(H166:Z166)*$H$10:$Z$10) * 0.85
       )
     ) * 100,
     ""
   )
)</f>
        <v/>
      </c>
      <c r="AC166" s="1" t="str" cm="1">
        <f t="array" ref="AC166">IF(
   SUMPRODUCT(($C$9:$G$9="CO3")*ISNUMBER($C$10:$G$10)*ISNUMBER(C166:G166)) +
   SUMPRODUCT(($H$9:$Z$9="CO3")*ISNUMBER($H$10:$Z$10)*ISNUMBER(H166:Z166)) = 0,
   "",
   IFERROR(
     (
       IF(
         SUMPRODUCT(($C$9:$G$9="CO3")*ISNUMBER($C$10:$G$10)*ISNUMBER(C166:G166)) = 0,
         0,
         SUMPRODUCT(($C$9:$G$9="CO3")*ISNUMBER($C$10:$G$10)*ISNUMBER(C166:G166)*C166:G166) /
         SUMPRODUCT(($C$9:$G$9="CO3")*ISNUMBER($C$10:$G$10)*ISNUMBER(C166:G166)*$C$10:$G$10) * 0.15
       ) +
       IF(
         SUMPRODUCT(($H$9:$Z$9="CO3")*ISNUMBER($H$10:$Z$10)*ISNUMBER(H166:Z166)) = 0,
         0,
         SUMPRODUCT(($H$9:$Z$9="CO3")*ISNUMBER($H$10:$Z$10)*ISNUMBER(H166:Z166)*H166:Z166) /
         SUMPRODUCT(($H$9:$Z$9="CO3")*ISNUMBER($H$10:$Z$10)*ISNUMBER(H166:Z166)*$H$10:$Z$10) * 0.85
       )
     ) * 100,
     ""
   )
)</f>
        <v/>
      </c>
      <c r="AD166" s="1" t="str" cm="1">
        <f t="array" ref="AD166">IF(
   SUMPRODUCT(($C$9:$G$9="CO4")*ISNUMBER($C$10:$G$10)*ISNUMBER(C166:G166)) +
   SUMPRODUCT(($H$9:$Z$9="CO4")*ISNUMBER($H$10:$Z$10)*ISNUMBER(H166:Z166)) = 0,
   "",
   IFERROR(
     (
       IF(
         SUMPRODUCT(($C$9:$G$9="CO4")*ISNUMBER($C$10:$G$10)*ISNUMBER(C166:G166)) = 0,
         0,
         SUMPRODUCT(($C$9:$G$9="CO4")*ISNUMBER($C$10:$G$10)*ISNUMBER(C166:G166)*C166:G166) /
         SUMPRODUCT(($C$9:$G$9="CO4")*ISNUMBER($C$10:$G$10)*ISNUMBER(C166:G166)*$C$10:$G$10) * 0.15
       ) +
       IF(
         SUMPRODUCT(($H$9:$Z$9="CO4")*ISNUMBER($H$10:$Z$10)*ISNUMBER(H166:Z166)) = 0,
         0,
         SUMPRODUCT(($H$9:$Z$9="CO4")*ISNUMBER($H$10:$Z$10)*ISNUMBER(H166:Z166)*H166:Z166) /
         SUMPRODUCT(($H$9:$Z$9="CO4")*ISNUMBER($H$10:$Z$10)*ISNUMBER(H166:Z166)*$H$10:$Z$10) * 0.85
       )
     ) * 100,
     ""
   )
)</f>
        <v/>
      </c>
      <c r="AE166" s="1" t="str" cm="1">
        <f t="array" ref="AE166">IF(
   SUMPRODUCT(($C$9:$G$9="CO5")*ISNUMBER($C$10:$G$10)*ISNUMBER(C166:G166)) +
   SUMPRODUCT(($H$9:$Z$9="CO5")*ISNUMBER($H$10:$Z$10)*ISNUMBER(H166:Z166)) = 0,
   "",
   IFERROR(
     (
       IF(
         SUMPRODUCT(($C$9:$G$9="CO5")*ISNUMBER($C$10:$G$10)*ISNUMBER(C166:G166)) = 0,
         0,
         SUMPRODUCT(($C$9:$G$9="CO5")*ISNUMBER($C$10:$G$10)*ISNUMBER(C166:G166)*C166:G166) /
         SUMPRODUCT(($C$9:$G$9="CO5")*ISNUMBER($C$10:$G$10)*ISNUMBER(C166:G166)*$C$10:$G$10) * 0.15
       ) +
       IF(
         SUMPRODUCT(($H$9:$Z$9="CO5")*ISNUMBER($H$10:$Z$10)*ISNUMBER(H166:Z166)) = 0,
         0,
         SUMPRODUCT(($H$9:$Z$9="CO5")*ISNUMBER($H$10:$Z$10)*ISNUMBER(H166:Z166)*H166:Z166) /
         SUMPRODUCT(($H$9:$Z$9="CO5")*ISNUMBER($H$10:$Z$10)*ISNUMBER(H166:Z166)*$H$10:$Z$10) * 0.85
       )
     ) * 100,
     ""
   )
)</f>
        <v/>
      </c>
      <c r="AF166" s="1" t="str" cm="1">
        <f t="array" ref="AF166">IF(
   SUMPRODUCT(($C$9:$G$9="CO6")*ISNUMBER($C$10:$G$10)*ISNUMBER(C166:G166)) +
   SUMPRODUCT(($H$9:$Z$9="CO6")*ISNUMBER($H$10:$Z$10)*ISNUMBER(H166:Z166)) = 0,
   "",
   IFERROR(
     (
       IF(
         SUMPRODUCT(($C$9:$G$9="CO6")*ISNUMBER($C$10:$G$10)*ISNUMBER(C166:G166)) = 0,
         0,
         SUMPRODUCT(($C$9:$G$9="CO6")*ISNUMBER($C$10:$G$10)*ISNUMBER(C166:G166)*C166:G166) /
         SUMPRODUCT(($C$9:$G$9="CO6")*ISNUMBER($C$10:$G$10)*ISNUMBER(C166:G166)*$C$10:$G$10) * 0.15
       ) +
       IF(
         SUMPRODUCT(($H$9:$Z$9="CO6")*ISNUMBER($H$10:$Z$10)*ISNUMBER(H166:Z166)) = 0,
         0,
         SUMPRODUCT(($H$9:$Z$9="CO6")*ISNUMBER($H$10:$Z$10)*ISNUMBER(H166:Z166)*H166:Z166) /
         SUMPRODUCT(($H$9:$Z$9="CO6")*ISNUMBER($H$10:$Z$10)*ISNUMBER(H166:Z166)*$H$10:$Z$10) * 0.85
       )
     ) * 100,
     ""
   )
)</f>
        <v/>
      </c>
      <c r="AG166" s="1" t="str" cm="1">
        <f t="array" ref="AG166">IF(
   SUMPRODUCT(($C$9:$G$9="CO7")*ISNUMBER($C$10:$G$10)*ISNUMBER(C166:G166)) +
   SUMPRODUCT(($H$9:$Z$9="CO7")*ISNUMBER($H$10:$Z$10)*ISNUMBER(H166:Z166)) = 0,
   "",
   IFERROR(
     (
       IF(
         SUMPRODUCT(($C$9:$G$9="CO7")*ISNUMBER($C$10:$G$10)*ISNUMBER(C166:G166)) = 0,
         0,
         SUMPRODUCT(($C$9:$G$9="CO7")*ISNUMBER($C$10:$G$10)*ISNUMBER(C166:G166)*C166:G166) /
         SUMPRODUCT(($C$9:$G$9="CO7")*ISNUMBER($C$10:$G$10)*ISNUMBER(C166:G166)*$C$10:$G$10) * 0.15
       ) +
       IF(
         SUMPRODUCT(($H$9:$Z$9="CO7")*ISNUMBER($H$10:$Z$10)*ISNUMBER(H166:Z166)) = 0,
         0,
         SUMPRODUCT(($H$9:$Z$9="CO7")*ISNUMBER($H$10:$Z$10)*ISNUMBER(H166:Z166)*H166:Z166) /
         SUMPRODUCT(($H$9:$Z$9="CO7")*ISNUMBER($H$10:$Z$10)*ISNUMBER(H166:Z166)*$H$10:$Z$10) * 0.85
       )
     ) * 100,
     ""
   )
)</f>
        <v/>
      </c>
      <c r="AH166" s="3" t="str" cm="1">
        <f t="array" ref="AH166">IF(
   SUMPRODUCT(($C$9:$G$9="CO8")*ISNUMBER($C$10:$G$10)*ISNUMBER(C166:G166)) +
   SUMPRODUCT(($H$9:$Z$9="CO8")*ISNUMBER($H$10:$Z$10)*ISNUMBER(H166:Z166)) = 0,
   "",
   IFERROR(
     (
       IF(
         SUMPRODUCT(($C$9:$G$9="CO8")*ISNUMBER($C$10:$G$10)*ISNUMBER(C166:G166)) = 0,
         0,
         SUMPRODUCT(($C$9:$G$9="CO8")*ISNUMBER($C$10:$G$10)*ISNUMBER(C166:G166)*C166:G166) /
         SUMPRODUCT(($C$9:$G$9="CO8")*ISNUMBER($C$10:$G$10)*ISNUMBER(C166:G166)*$C$10:$G$10) * 0.15
       ) +
       IF(
         SUMPRODUCT(($H$9:$Z$9="CO8")*ISNUMBER($H$10:$Z$10)*ISNUMBER(H166:Z166)) = 0,
         0,
         SUMPRODUCT(($H$9:$Z$9="CO8")*ISNUMBER($H$10:$Z$10)*ISNUMBER(H166:Z166)*H166:Z166) /
         SUMPRODUCT(($H$9:$Z$9="CO8")*ISNUMBER($H$10:$Z$10)*ISNUMBER(H166:Z166)*$H$10:$Z$10) * 0.85
       )
     ) * 100,
     ""
   )
)</f>
        <v/>
      </c>
      <c r="AI166" s="1" t="str">
        <f t="shared" si="18"/>
        <v/>
      </c>
      <c r="AJ166" s="1" t="str">
        <f t="shared" si="18"/>
        <v/>
      </c>
      <c r="AK166" s="1" t="str">
        <f t="shared" si="18"/>
        <v/>
      </c>
      <c r="AL166" s="1" t="str">
        <f t="shared" si="18"/>
        <v/>
      </c>
      <c r="AM166" s="1" t="str">
        <f t="shared" si="18"/>
        <v/>
      </c>
      <c r="AN166" s="1" t="str">
        <f t="shared" si="18"/>
        <v/>
      </c>
      <c r="AO166" s="1" t="str">
        <f t="shared" si="18"/>
        <v/>
      </c>
      <c r="AP166" s="1" t="str">
        <f t="shared" si="18"/>
        <v/>
      </c>
    </row>
    <row r="167" spans="1:42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" t="str" cm="1">
        <f t="array" ref="AA167">IF(
   SUMPRODUCT(($C$9:$G$9="CO1")*ISNUMBER($C$10:$G$10)*ISNUMBER(C167:G167)) +
   SUMPRODUCT(($H$9:$Z$9="CO1")*ISNUMBER($H$10:$Z$10)*ISNUMBER(H167:Z167)) = 0,
   "",
   IFERROR(
     (
       IF(
         SUMPRODUCT(($C$9:$G$9="CO1")*ISNUMBER($C$10:$G$10)*ISNUMBER(C167:G167)) = 0,
         0,
         SUMPRODUCT(($C$9:$G$9="CO1")*ISNUMBER($C$10:$G$10)*ISNUMBER(C167:G167)*C167:G167) /
         SUMPRODUCT(($C$9:$G$9="CO1")*ISNUMBER($C$10:$G$10)*ISNUMBER(C167:G167)*$C$10:$G$10) * 0.15
       ) +
       IF(
         SUMPRODUCT(($H$9:$Z$9="CO1")*ISNUMBER($H$10:$Z$10)*ISNUMBER(H167:Z167)) = 0,
         0,
         SUMPRODUCT(($H$9:$Z$9="CO1")*ISNUMBER($H$10:$Z$10)*ISNUMBER(H167:Z167)*H167:Z167) /
         SUMPRODUCT(($H$9:$Z$9="CO1")*ISNUMBER($H$10:$Z$10)*ISNUMBER(H167:Z167)*$H$10:$Z$10) * 0.85
       )
     ) * 100,
     ""
   )
)</f>
        <v/>
      </c>
      <c r="AB167" s="1" t="str" cm="1">
        <f t="array" ref="AB167">IF(
   SUMPRODUCT(($C$9:$G$9="CO2")*ISNUMBER($C$10:$G$10)*ISNUMBER(C167:G167)) +
   SUMPRODUCT(($H$9:$Z$9="CO2")*ISNUMBER($H$10:$Z$10)*ISNUMBER(H167:Z167)) = 0,
   "",
   IFERROR(
     (
       IF(
         SUMPRODUCT(($C$9:$G$9="CO2")*ISNUMBER($C$10:$G$10)*ISNUMBER(C167:G167)) = 0,
         0,
         SUMPRODUCT(($C$9:$G$9="CO2")*ISNUMBER($C$10:$G$10)*ISNUMBER(C167:G167)*C167:G167) /
         SUMPRODUCT(($C$9:$G$9="CO2")*ISNUMBER($C$10:$G$10)*ISNUMBER(C167:G167)*$C$10:$G$10) * 0.15
       ) +
       IF(
         SUMPRODUCT(($H$9:$Z$9="CO2")*ISNUMBER($H$10:$Z$10)*ISNUMBER(H167:Z167)) = 0,
         0,
         SUMPRODUCT(($H$9:$Z$9="CO2")*ISNUMBER($H$10:$Z$10)*ISNUMBER(H167:Z167)*H167:Z167) /
         SUMPRODUCT(($H$9:$Z$9="CO2")*ISNUMBER($H$10:$Z$10)*ISNUMBER(H167:Z167)*$H$10:$Z$10) * 0.85
       )
     ) * 100,
     ""
   )
)</f>
        <v/>
      </c>
      <c r="AC167" s="1" t="str" cm="1">
        <f t="array" ref="AC167">IF(
   SUMPRODUCT(($C$9:$G$9="CO3")*ISNUMBER($C$10:$G$10)*ISNUMBER(C167:G167)) +
   SUMPRODUCT(($H$9:$Z$9="CO3")*ISNUMBER($H$10:$Z$10)*ISNUMBER(H167:Z167)) = 0,
   "",
   IFERROR(
     (
       IF(
         SUMPRODUCT(($C$9:$G$9="CO3")*ISNUMBER($C$10:$G$10)*ISNUMBER(C167:G167)) = 0,
         0,
         SUMPRODUCT(($C$9:$G$9="CO3")*ISNUMBER($C$10:$G$10)*ISNUMBER(C167:G167)*C167:G167) /
         SUMPRODUCT(($C$9:$G$9="CO3")*ISNUMBER($C$10:$G$10)*ISNUMBER(C167:G167)*$C$10:$G$10) * 0.15
       ) +
       IF(
         SUMPRODUCT(($H$9:$Z$9="CO3")*ISNUMBER($H$10:$Z$10)*ISNUMBER(H167:Z167)) = 0,
         0,
         SUMPRODUCT(($H$9:$Z$9="CO3")*ISNUMBER($H$10:$Z$10)*ISNUMBER(H167:Z167)*H167:Z167) /
         SUMPRODUCT(($H$9:$Z$9="CO3")*ISNUMBER($H$10:$Z$10)*ISNUMBER(H167:Z167)*$H$10:$Z$10) * 0.85
       )
     ) * 100,
     ""
   )
)</f>
        <v/>
      </c>
      <c r="AD167" s="1" t="str" cm="1">
        <f t="array" ref="AD167">IF(
   SUMPRODUCT(($C$9:$G$9="CO4")*ISNUMBER($C$10:$G$10)*ISNUMBER(C167:G167)) +
   SUMPRODUCT(($H$9:$Z$9="CO4")*ISNUMBER($H$10:$Z$10)*ISNUMBER(H167:Z167)) = 0,
   "",
   IFERROR(
     (
       IF(
         SUMPRODUCT(($C$9:$G$9="CO4")*ISNUMBER($C$10:$G$10)*ISNUMBER(C167:G167)) = 0,
         0,
         SUMPRODUCT(($C$9:$G$9="CO4")*ISNUMBER($C$10:$G$10)*ISNUMBER(C167:G167)*C167:G167) /
         SUMPRODUCT(($C$9:$G$9="CO4")*ISNUMBER($C$10:$G$10)*ISNUMBER(C167:G167)*$C$10:$G$10) * 0.15
       ) +
       IF(
         SUMPRODUCT(($H$9:$Z$9="CO4")*ISNUMBER($H$10:$Z$10)*ISNUMBER(H167:Z167)) = 0,
         0,
         SUMPRODUCT(($H$9:$Z$9="CO4")*ISNUMBER($H$10:$Z$10)*ISNUMBER(H167:Z167)*H167:Z167) /
         SUMPRODUCT(($H$9:$Z$9="CO4")*ISNUMBER($H$10:$Z$10)*ISNUMBER(H167:Z167)*$H$10:$Z$10) * 0.85
       )
     ) * 100,
     ""
   )
)</f>
        <v/>
      </c>
      <c r="AE167" s="1" t="str" cm="1">
        <f t="array" ref="AE167">IF(
   SUMPRODUCT(($C$9:$G$9="CO5")*ISNUMBER($C$10:$G$10)*ISNUMBER(C167:G167)) +
   SUMPRODUCT(($H$9:$Z$9="CO5")*ISNUMBER($H$10:$Z$10)*ISNUMBER(H167:Z167)) = 0,
   "",
   IFERROR(
     (
       IF(
         SUMPRODUCT(($C$9:$G$9="CO5")*ISNUMBER($C$10:$G$10)*ISNUMBER(C167:G167)) = 0,
         0,
         SUMPRODUCT(($C$9:$G$9="CO5")*ISNUMBER($C$10:$G$10)*ISNUMBER(C167:G167)*C167:G167) /
         SUMPRODUCT(($C$9:$G$9="CO5")*ISNUMBER($C$10:$G$10)*ISNUMBER(C167:G167)*$C$10:$G$10) * 0.15
       ) +
       IF(
         SUMPRODUCT(($H$9:$Z$9="CO5")*ISNUMBER($H$10:$Z$10)*ISNUMBER(H167:Z167)) = 0,
         0,
         SUMPRODUCT(($H$9:$Z$9="CO5")*ISNUMBER($H$10:$Z$10)*ISNUMBER(H167:Z167)*H167:Z167) /
         SUMPRODUCT(($H$9:$Z$9="CO5")*ISNUMBER($H$10:$Z$10)*ISNUMBER(H167:Z167)*$H$10:$Z$10) * 0.85
       )
     ) * 100,
     ""
   )
)</f>
        <v/>
      </c>
      <c r="AF167" s="1" t="str" cm="1">
        <f t="array" ref="AF167">IF(
   SUMPRODUCT(($C$9:$G$9="CO6")*ISNUMBER($C$10:$G$10)*ISNUMBER(C167:G167)) +
   SUMPRODUCT(($H$9:$Z$9="CO6")*ISNUMBER($H$10:$Z$10)*ISNUMBER(H167:Z167)) = 0,
   "",
   IFERROR(
     (
       IF(
         SUMPRODUCT(($C$9:$G$9="CO6")*ISNUMBER($C$10:$G$10)*ISNUMBER(C167:G167)) = 0,
         0,
         SUMPRODUCT(($C$9:$G$9="CO6")*ISNUMBER($C$10:$G$10)*ISNUMBER(C167:G167)*C167:G167) /
         SUMPRODUCT(($C$9:$G$9="CO6")*ISNUMBER($C$10:$G$10)*ISNUMBER(C167:G167)*$C$10:$G$10) * 0.15
       ) +
       IF(
         SUMPRODUCT(($H$9:$Z$9="CO6")*ISNUMBER($H$10:$Z$10)*ISNUMBER(H167:Z167)) = 0,
         0,
         SUMPRODUCT(($H$9:$Z$9="CO6")*ISNUMBER($H$10:$Z$10)*ISNUMBER(H167:Z167)*H167:Z167) /
         SUMPRODUCT(($H$9:$Z$9="CO6")*ISNUMBER($H$10:$Z$10)*ISNUMBER(H167:Z167)*$H$10:$Z$10) * 0.85
       )
     ) * 100,
     ""
   )
)</f>
        <v/>
      </c>
      <c r="AG167" s="1" t="str" cm="1">
        <f t="array" ref="AG167">IF(
   SUMPRODUCT(($C$9:$G$9="CO7")*ISNUMBER($C$10:$G$10)*ISNUMBER(C167:G167)) +
   SUMPRODUCT(($H$9:$Z$9="CO7")*ISNUMBER($H$10:$Z$10)*ISNUMBER(H167:Z167)) = 0,
   "",
   IFERROR(
     (
       IF(
         SUMPRODUCT(($C$9:$G$9="CO7")*ISNUMBER($C$10:$G$10)*ISNUMBER(C167:G167)) = 0,
         0,
         SUMPRODUCT(($C$9:$G$9="CO7")*ISNUMBER($C$10:$G$10)*ISNUMBER(C167:G167)*C167:G167) /
         SUMPRODUCT(($C$9:$G$9="CO7")*ISNUMBER($C$10:$G$10)*ISNUMBER(C167:G167)*$C$10:$G$10) * 0.15
       ) +
       IF(
         SUMPRODUCT(($H$9:$Z$9="CO7")*ISNUMBER($H$10:$Z$10)*ISNUMBER(H167:Z167)) = 0,
         0,
         SUMPRODUCT(($H$9:$Z$9="CO7")*ISNUMBER($H$10:$Z$10)*ISNUMBER(H167:Z167)*H167:Z167) /
         SUMPRODUCT(($H$9:$Z$9="CO7")*ISNUMBER($H$10:$Z$10)*ISNUMBER(H167:Z167)*$H$10:$Z$10) * 0.85
       )
     ) * 100,
     ""
   )
)</f>
        <v/>
      </c>
      <c r="AH167" s="3" t="str" cm="1">
        <f t="array" ref="AH167">IF(
   SUMPRODUCT(($C$9:$G$9="CO8")*ISNUMBER($C$10:$G$10)*ISNUMBER(C167:G167)) +
   SUMPRODUCT(($H$9:$Z$9="CO8")*ISNUMBER($H$10:$Z$10)*ISNUMBER(H167:Z167)) = 0,
   "",
   IFERROR(
     (
       IF(
         SUMPRODUCT(($C$9:$G$9="CO8")*ISNUMBER($C$10:$G$10)*ISNUMBER(C167:G167)) = 0,
         0,
         SUMPRODUCT(($C$9:$G$9="CO8")*ISNUMBER($C$10:$G$10)*ISNUMBER(C167:G167)*C167:G167) /
         SUMPRODUCT(($C$9:$G$9="CO8")*ISNUMBER($C$10:$G$10)*ISNUMBER(C167:G167)*$C$10:$G$10) * 0.15
       ) +
       IF(
         SUMPRODUCT(($H$9:$Z$9="CO8")*ISNUMBER($H$10:$Z$10)*ISNUMBER(H167:Z167)) = 0,
         0,
         SUMPRODUCT(($H$9:$Z$9="CO8")*ISNUMBER($H$10:$Z$10)*ISNUMBER(H167:Z167)*H167:Z167) /
         SUMPRODUCT(($H$9:$Z$9="CO8")*ISNUMBER($H$10:$Z$10)*ISNUMBER(H167:Z167)*$H$10:$Z$10) * 0.85
       )
     ) * 100,
     ""
   )
)</f>
        <v/>
      </c>
      <c r="AI167" s="1" t="str">
        <f t="shared" si="18"/>
        <v/>
      </c>
      <c r="AJ167" s="1" t="str">
        <f t="shared" si="18"/>
        <v/>
      </c>
      <c r="AK167" s="1" t="str">
        <f t="shared" si="18"/>
        <v/>
      </c>
      <c r="AL167" s="1" t="str">
        <f t="shared" si="18"/>
        <v/>
      </c>
      <c r="AM167" s="1" t="str">
        <f t="shared" si="18"/>
        <v/>
      </c>
      <c r="AN167" s="1" t="str">
        <f t="shared" si="18"/>
        <v/>
      </c>
      <c r="AO167" s="1" t="str">
        <f t="shared" si="18"/>
        <v/>
      </c>
      <c r="AP167" s="1" t="str">
        <f t="shared" si="18"/>
        <v/>
      </c>
    </row>
    <row r="168" spans="1:42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" t="str" cm="1">
        <f t="array" ref="AA168">IF(
   SUMPRODUCT(($C$9:$G$9="CO1")*ISNUMBER($C$10:$G$10)*ISNUMBER(C168:G168)) +
   SUMPRODUCT(($H$9:$Z$9="CO1")*ISNUMBER($H$10:$Z$10)*ISNUMBER(H168:Z168)) = 0,
   "",
   IFERROR(
     (
       IF(
         SUMPRODUCT(($C$9:$G$9="CO1")*ISNUMBER($C$10:$G$10)*ISNUMBER(C168:G168)) = 0,
         0,
         SUMPRODUCT(($C$9:$G$9="CO1")*ISNUMBER($C$10:$G$10)*ISNUMBER(C168:G168)*C168:G168) /
         SUMPRODUCT(($C$9:$G$9="CO1")*ISNUMBER($C$10:$G$10)*ISNUMBER(C168:G168)*$C$10:$G$10) * 0.15
       ) +
       IF(
         SUMPRODUCT(($H$9:$Z$9="CO1")*ISNUMBER($H$10:$Z$10)*ISNUMBER(H168:Z168)) = 0,
         0,
         SUMPRODUCT(($H$9:$Z$9="CO1")*ISNUMBER($H$10:$Z$10)*ISNUMBER(H168:Z168)*H168:Z168) /
         SUMPRODUCT(($H$9:$Z$9="CO1")*ISNUMBER($H$10:$Z$10)*ISNUMBER(H168:Z168)*$H$10:$Z$10) * 0.85
       )
     ) * 100,
     ""
   )
)</f>
        <v/>
      </c>
      <c r="AB168" s="1" t="str" cm="1">
        <f t="array" ref="AB168">IF(
   SUMPRODUCT(($C$9:$G$9="CO2")*ISNUMBER($C$10:$G$10)*ISNUMBER(C168:G168)) +
   SUMPRODUCT(($H$9:$Z$9="CO2")*ISNUMBER($H$10:$Z$10)*ISNUMBER(H168:Z168)) = 0,
   "",
   IFERROR(
     (
       IF(
         SUMPRODUCT(($C$9:$G$9="CO2")*ISNUMBER($C$10:$G$10)*ISNUMBER(C168:G168)) = 0,
         0,
         SUMPRODUCT(($C$9:$G$9="CO2")*ISNUMBER($C$10:$G$10)*ISNUMBER(C168:G168)*C168:G168) /
         SUMPRODUCT(($C$9:$G$9="CO2")*ISNUMBER($C$10:$G$10)*ISNUMBER(C168:G168)*$C$10:$G$10) * 0.15
       ) +
       IF(
         SUMPRODUCT(($H$9:$Z$9="CO2")*ISNUMBER($H$10:$Z$10)*ISNUMBER(H168:Z168)) = 0,
         0,
         SUMPRODUCT(($H$9:$Z$9="CO2")*ISNUMBER($H$10:$Z$10)*ISNUMBER(H168:Z168)*H168:Z168) /
         SUMPRODUCT(($H$9:$Z$9="CO2")*ISNUMBER($H$10:$Z$10)*ISNUMBER(H168:Z168)*$H$10:$Z$10) * 0.85
       )
     ) * 100,
     ""
   )
)</f>
        <v/>
      </c>
      <c r="AC168" s="1" t="str" cm="1">
        <f t="array" ref="AC168">IF(
   SUMPRODUCT(($C$9:$G$9="CO3")*ISNUMBER($C$10:$G$10)*ISNUMBER(C168:G168)) +
   SUMPRODUCT(($H$9:$Z$9="CO3")*ISNUMBER($H$10:$Z$10)*ISNUMBER(H168:Z168)) = 0,
   "",
   IFERROR(
     (
       IF(
         SUMPRODUCT(($C$9:$G$9="CO3")*ISNUMBER($C$10:$G$10)*ISNUMBER(C168:G168)) = 0,
         0,
         SUMPRODUCT(($C$9:$G$9="CO3")*ISNUMBER($C$10:$G$10)*ISNUMBER(C168:G168)*C168:G168) /
         SUMPRODUCT(($C$9:$G$9="CO3")*ISNUMBER($C$10:$G$10)*ISNUMBER(C168:G168)*$C$10:$G$10) * 0.15
       ) +
       IF(
         SUMPRODUCT(($H$9:$Z$9="CO3")*ISNUMBER($H$10:$Z$10)*ISNUMBER(H168:Z168)) = 0,
         0,
         SUMPRODUCT(($H$9:$Z$9="CO3")*ISNUMBER($H$10:$Z$10)*ISNUMBER(H168:Z168)*H168:Z168) /
         SUMPRODUCT(($H$9:$Z$9="CO3")*ISNUMBER($H$10:$Z$10)*ISNUMBER(H168:Z168)*$H$10:$Z$10) * 0.85
       )
     ) * 100,
     ""
   )
)</f>
        <v/>
      </c>
      <c r="AD168" s="1" t="str" cm="1">
        <f t="array" ref="AD168">IF(
   SUMPRODUCT(($C$9:$G$9="CO4")*ISNUMBER($C$10:$G$10)*ISNUMBER(C168:G168)) +
   SUMPRODUCT(($H$9:$Z$9="CO4")*ISNUMBER($H$10:$Z$10)*ISNUMBER(H168:Z168)) = 0,
   "",
   IFERROR(
     (
       IF(
         SUMPRODUCT(($C$9:$G$9="CO4")*ISNUMBER($C$10:$G$10)*ISNUMBER(C168:G168)) = 0,
         0,
         SUMPRODUCT(($C$9:$G$9="CO4")*ISNUMBER($C$10:$G$10)*ISNUMBER(C168:G168)*C168:G168) /
         SUMPRODUCT(($C$9:$G$9="CO4")*ISNUMBER($C$10:$G$10)*ISNUMBER(C168:G168)*$C$10:$G$10) * 0.15
       ) +
       IF(
         SUMPRODUCT(($H$9:$Z$9="CO4")*ISNUMBER($H$10:$Z$10)*ISNUMBER(H168:Z168)) = 0,
         0,
         SUMPRODUCT(($H$9:$Z$9="CO4")*ISNUMBER($H$10:$Z$10)*ISNUMBER(H168:Z168)*H168:Z168) /
         SUMPRODUCT(($H$9:$Z$9="CO4")*ISNUMBER($H$10:$Z$10)*ISNUMBER(H168:Z168)*$H$10:$Z$10) * 0.85
       )
     ) * 100,
     ""
   )
)</f>
        <v/>
      </c>
      <c r="AE168" s="1" t="str" cm="1">
        <f t="array" ref="AE168">IF(
   SUMPRODUCT(($C$9:$G$9="CO5")*ISNUMBER($C$10:$G$10)*ISNUMBER(C168:G168)) +
   SUMPRODUCT(($H$9:$Z$9="CO5")*ISNUMBER($H$10:$Z$10)*ISNUMBER(H168:Z168)) = 0,
   "",
   IFERROR(
     (
       IF(
         SUMPRODUCT(($C$9:$G$9="CO5")*ISNUMBER($C$10:$G$10)*ISNUMBER(C168:G168)) = 0,
         0,
         SUMPRODUCT(($C$9:$G$9="CO5")*ISNUMBER($C$10:$G$10)*ISNUMBER(C168:G168)*C168:G168) /
         SUMPRODUCT(($C$9:$G$9="CO5")*ISNUMBER($C$10:$G$10)*ISNUMBER(C168:G168)*$C$10:$G$10) * 0.15
       ) +
       IF(
         SUMPRODUCT(($H$9:$Z$9="CO5")*ISNUMBER($H$10:$Z$10)*ISNUMBER(H168:Z168)) = 0,
         0,
         SUMPRODUCT(($H$9:$Z$9="CO5")*ISNUMBER($H$10:$Z$10)*ISNUMBER(H168:Z168)*H168:Z168) /
         SUMPRODUCT(($H$9:$Z$9="CO5")*ISNUMBER($H$10:$Z$10)*ISNUMBER(H168:Z168)*$H$10:$Z$10) * 0.85
       )
     ) * 100,
     ""
   )
)</f>
        <v/>
      </c>
      <c r="AF168" s="1" t="str" cm="1">
        <f t="array" ref="AF168">IF(
   SUMPRODUCT(($C$9:$G$9="CO6")*ISNUMBER($C$10:$G$10)*ISNUMBER(C168:G168)) +
   SUMPRODUCT(($H$9:$Z$9="CO6")*ISNUMBER($H$10:$Z$10)*ISNUMBER(H168:Z168)) = 0,
   "",
   IFERROR(
     (
       IF(
         SUMPRODUCT(($C$9:$G$9="CO6")*ISNUMBER($C$10:$G$10)*ISNUMBER(C168:G168)) = 0,
         0,
         SUMPRODUCT(($C$9:$G$9="CO6")*ISNUMBER($C$10:$G$10)*ISNUMBER(C168:G168)*C168:G168) /
         SUMPRODUCT(($C$9:$G$9="CO6")*ISNUMBER($C$10:$G$10)*ISNUMBER(C168:G168)*$C$10:$G$10) * 0.15
       ) +
       IF(
         SUMPRODUCT(($H$9:$Z$9="CO6")*ISNUMBER($H$10:$Z$10)*ISNUMBER(H168:Z168)) = 0,
         0,
         SUMPRODUCT(($H$9:$Z$9="CO6")*ISNUMBER($H$10:$Z$10)*ISNUMBER(H168:Z168)*H168:Z168) /
         SUMPRODUCT(($H$9:$Z$9="CO6")*ISNUMBER($H$10:$Z$10)*ISNUMBER(H168:Z168)*$H$10:$Z$10) * 0.85
       )
     ) * 100,
     ""
   )
)</f>
        <v/>
      </c>
      <c r="AG168" s="1" t="str" cm="1">
        <f t="array" ref="AG168">IF(
   SUMPRODUCT(($C$9:$G$9="CO7")*ISNUMBER($C$10:$G$10)*ISNUMBER(C168:G168)) +
   SUMPRODUCT(($H$9:$Z$9="CO7")*ISNUMBER($H$10:$Z$10)*ISNUMBER(H168:Z168)) = 0,
   "",
   IFERROR(
     (
       IF(
         SUMPRODUCT(($C$9:$G$9="CO7")*ISNUMBER($C$10:$G$10)*ISNUMBER(C168:G168)) = 0,
         0,
         SUMPRODUCT(($C$9:$G$9="CO7")*ISNUMBER($C$10:$G$10)*ISNUMBER(C168:G168)*C168:G168) /
         SUMPRODUCT(($C$9:$G$9="CO7")*ISNUMBER($C$10:$G$10)*ISNUMBER(C168:G168)*$C$10:$G$10) * 0.15
       ) +
       IF(
         SUMPRODUCT(($H$9:$Z$9="CO7")*ISNUMBER($H$10:$Z$10)*ISNUMBER(H168:Z168)) = 0,
         0,
         SUMPRODUCT(($H$9:$Z$9="CO7")*ISNUMBER($H$10:$Z$10)*ISNUMBER(H168:Z168)*H168:Z168) /
         SUMPRODUCT(($H$9:$Z$9="CO7")*ISNUMBER($H$10:$Z$10)*ISNUMBER(H168:Z168)*$H$10:$Z$10) * 0.85
       )
     ) * 100,
     ""
   )
)</f>
        <v/>
      </c>
      <c r="AH168" s="3" t="str" cm="1">
        <f t="array" ref="AH168">IF(
   SUMPRODUCT(($C$9:$G$9="CO8")*ISNUMBER($C$10:$G$10)*ISNUMBER(C168:G168)) +
   SUMPRODUCT(($H$9:$Z$9="CO8")*ISNUMBER($H$10:$Z$10)*ISNUMBER(H168:Z168)) = 0,
   "",
   IFERROR(
     (
       IF(
         SUMPRODUCT(($C$9:$G$9="CO8")*ISNUMBER($C$10:$G$10)*ISNUMBER(C168:G168)) = 0,
         0,
         SUMPRODUCT(($C$9:$G$9="CO8")*ISNUMBER($C$10:$G$10)*ISNUMBER(C168:G168)*C168:G168) /
         SUMPRODUCT(($C$9:$G$9="CO8")*ISNUMBER($C$10:$G$10)*ISNUMBER(C168:G168)*$C$10:$G$10) * 0.15
       ) +
       IF(
         SUMPRODUCT(($H$9:$Z$9="CO8")*ISNUMBER($H$10:$Z$10)*ISNUMBER(H168:Z168)) = 0,
         0,
         SUMPRODUCT(($H$9:$Z$9="CO8")*ISNUMBER($H$10:$Z$10)*ISNUMBER(H168:Z168)*H168:Z168) /
         SUMPRODUCT(($H$9:$Z$9="CO8")*ISNUMBER($H$10:$Z$10)*ISNUMBER(H168:Z168)*$H$10:$Z$10) * 0.85
       )
     ) * 100,
     ""
   )
)</f>
        <v/>
      </c>
      <c r="AI168" s="1" t="str">
        <f t="shared" si="18"/>
        <v/>
      </c>
      <c r="AJ168" s="1" t="str">
        <f t="shared" si="18"/>
        <v/>
      </c>
      <c r="AK168" s="1" t="str">
        <f t="shared" si="18"/>
        <v/>
      </c>
      <c r="AL168" s="1" t="str">
        <f t="shared" si="18"/>
        <v/>
      </c>
      <c r="AM168" s="1" t="str">
        <f t="shared" si="18"/>
        <v/>
      </c>
      <c r="AN168" s="1" t="str">
        <f t="shared" si="18"/>
        <v/>
      </c>
      <c r="AO168" s="1" t="str">
        <f t="shared" si="18"/>
        <v/>
      </c>
      <c r="AP168" s="1" t="str">
        <f t="shared" si="18"/>
        <v/>
      </c>
    </row>
    <row r="169" spans="1:42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" t="str" cm="1">
        <f t="array" ref="AA169">IF(
   SUMPRODUCT(($C$9:$G$9="CO1")*ISNUMBER($C$10:$G$10)*ISNUMBER(C169:G169)) +
   SUMPRODUCT(($H$9:$Z$9="CO1")*ISNUMBER($H$10:$Z$10)*ISNUMBER(H169:Z169)) = 0,
   "",
   IFERROR(
     (
       IF(
         SUMPRODUCT(($C$9:$G$9="CO1")*ISNUMBER($C$10:$G$10)*ISNUMBER(C169:G169)) = 0,
         0,
         SUMPRODUCT(($C$9:$G$9="CO1")*ISNUMBER($C$10:$G$10)*ISNUMBER(C169:G169)*C169:G169) /
         SUMPRODUCT(($C$9:$G$9="CO1")*ISNUMBER($C$10:$G$10)*ISNUMBER(C169:G169)*$C$10:$G$10) * 0.15
       ) +
       IF(
         SUMPRODUCT(($H$9:$Z$9="CO1")*ISNUMBER($H$10:$Z$10)*ISNUMBER(H169:Z169)) = 0,
         0,
         SUMPRODUCT(($H$9:$Z$9="CO1")*ISNUMBER($H$10:$Z$10)*ISNUMBER(H169:Z169)*H169:Z169) /
         SUMPRODUCT(($H$9:$Z$9="CO1")*ISNUMBER($H$10:$Z$10)*ISNUMBER(H169:Z169)*$H$10:$Z$10) * 0.85
       )
     ) * 100,
     ""
   )
)</f>
        <v/>
      </c>
      <c r="AB169" s="1" t="str" cm="1">
        <f t="array" ref="AB169">IF(
   SUMPRODUCT(($C$9:$G$9="CO2")*ISNUMBER($C$10:$G$10)*ISNUMBER(C169:G169)) +
   SUMPRODUCT(($H$9:$Z$9="CO2")*ISNUMBER($H$10:$Z$10)*ISNUMBER(H169:Z169)) = 0,
   "",
   IFERROR(
     (
       IF(
         SUMPRODUCT(($C$9:$G$9="CO2")*ISNUMBER($C$10:$G$10)*ISNUMBER(C169:G169)) = 0,
         0,
         SUMPRODUCT(($C$9:$G$9="CO2")*ISNUMBER($C$10:$G$10)*ISNUMBER(C169:G169)*C169:G169) /
         SUMPRODUCT(($C$9:$G$9="CO2")*ISNUMBER($C$10:$G$10)*ISNUMBER(C169:G169)*$C$10:$G$10) * 0.15
       ) +
       IF(
         SUMPRODUCT(($H$9:$Z$9="CO2")*ISNUMBER($H$10:$Z$10)*ISNUMBER(H169:Z169)) = 0,
         0,
         SUMPRODUCT(($H$9:$Z$9="CO2")*ISNUMBER($H$10:$Z$10)*ISNUMBER(H169:Z169)*H169:Z169) /
         SUMPRODUCT(($H$9:$Z$9="CO2")*ISNUMBER($H$10:$Z$10)*ISNUMBER(H169:Z169)*$H$10:$Z$10) * 0.85
       )
     ) * 100,
     ""
   )
)</f>
        <v/>
      </c>
      <c r="AC169" s="1" t="str" cm="1">
        <f t="array" ref="AC169">IF(
   SUMPRODUCT(($C$9:$G$9="CO3")*ISNUMBER($C$10:$G$10)*ISNUMBER(C169:G169)) +
   SUMPRODUCT(($H$9:$Z$9="CO3")*ISNUMBER($H$10:$Z$10)*ISNUMBER(H169:Z169)) = 0,
   "",
   IFERROR(
     (
       IF(
         SUMPRODUCT(($C$9:$G$9="CO3")*ISNUMBER($C$10:$G$10)*ISNUMBER(C169:G169)) = 0,
         0,
         SUMPRODUCT(($C$9:$G$9="CO3")*ISNUMBER($C$10:$G$10)*ISNUMBER(C169:G169)*C169:G169) /
         SUMPRODUCT(($C$9:$G$9="CO3")*ISNUMBER($C$10:$G$10)*ISNUMBER(C169:G169)*$C$10:$G$10) * 0.15
       ) +
       IF(
         SUMPRODUCT(($H$9:$Z$9="CO3")*ISNUMBER($H$10:$Z$10)*ISNUMBER(H169:Z169)) = 0,
         0,
         SUMPRODUCT(($H$9:$Z$9="CO3")*ISNUMBER($H$10:$Z$10)*ISNUMBER(H169:Z169)*H169:Z169) /
         SUMPRODUCT(($H$9:$Z$9="CO3")*ISNUMBER($H$10:$Z$10)*ISNUMBER(H169:Z169)*$H$10:$Z$10) * 0.85
       )
     ) * 100,
     ""
   )
)</f>
        <v/>
      </c>
      <c r="AD169" s="1" t="str" cm="1">
        <f t="array" ref="AD169">IF(
   SUMPRODUCT(($C$9:$G$9="CO4")*ISNUMBER($C$10:$G$10)*ISNUMBER(C169:G169)) +
   SUMPRODUCT(($H$9:$Z$9="CO4")*ISNUMBER($H$10:$Z$10)*ISNUMBER(H169:Z169)) = 0,
   "",
   IFERROR(
     (
       IF(
         SUMPRODUCT(($C$9:$G$9="CO4")*ISNUMBER($C$10:$G$10)*ISNUMBER(C169:G169)) = 0,
         0,
         SUMPRODUCT(($C$9:$G$9="CO4")*ISNUMBER($C$10:$G$10)*ISNUMBER(C169:G169)*C169:G169) /
         SUMPRODUCT(($C$9:$G$9="CO4")*ISNUMBER($C$10:$G$10)*ISNUMBER(C169:G169)*$C$10:$G$10) * 0.15
       ) +
       IF(
         SUMPRODUCT(($H$9:$Z$9="CO4")*ISNUMBER($H$10:$Z$10)*ISNUMBER(H169:Z169)) = 0,
         0,
         SUMPRODUCT(($H$9:$Z$9="CO4")*ISNUMBER($H$10:$Z$10)*ISNUMBER(H169:Z169)*H169:Z169) /
         SUMPRODUCT(($H$9:$Z$9="CO4")*ISNUMBER($H$10:$Z$10)*ISNUMBER(H169:Z169)*$H$10:$Z$10) * 0.85
       )
     ) * 100,
     ""
   )
)</f>
        <v/>
      </c>
      <c r="AE169" s="1" t="str" cm="1">
        <f t="array" ref="AE169">IF(
   SUMPRODUCT(($C$9:$G$9="CO5")*ISNUMBER($C$10:$G$10)*ISNUMBER(C169:G169)) +
   SUMPRODUCT(($H$9:$Z$9="CO5")*ISNUMBER($H$10:$Z$10)*ISNUMBER(H169:Z169)) = 0,
   "",
   IFERROR(
     (
       IF(
         SUMPRODUCT(($C$9:$G$9="CO5")*ISNUMBER($C$10:$G$10)*ISNUMBER(C169:G169)) = 0,
         0,
         SUMPRODUCT(($C$9:$G$9="CO5")*ISNUMBER($C$10:$G$10)*ISNUMBER(C169:G169)*C169:G169) /
         SUMPRODUCT(($C$9:$G$9="CO5")*ISNUMBER($C$10:$G$10)*ISNUMBER(C169:G169)*$C$10:$G$10) * 0.15
       ) +
       IF(
         SUMPRODUCT(($H$9:$Z$9="CO5")*ISNUMBER($H$10:$Z$10)*ISNUMBER(H169:Z169)) = 0,
         0,
         SUMPRODUCT(($H$9:$Z$9="CO5")*ISNUMBER($H$10:$Z$10)*ISNUMBER(H169:Z169)*H169:Z169) /
         SUMPRODUCT(($H$9:$Z$9="CO5")*ISNUMBER($H$10:$Z$10)*ISNUMBER(H169:Z169)*$H$10:$Z$10) * 0.85
       )
     ) * 100,
     ""
   )
)</f>
        <v/>
      </c>
      <c r="AF169" s="1" t="str" cm="1">
        <f t="array" ref="AF169">IF(
   SUMPRODUCT(($C$9:$G$9="CO6")*ISNUMBER($C$10:$G$10)*ISNUMBER(C169:G169)) +
   SUMPRODUCT(($H$9:$Z$9="CO6")*ISNUMBER($H$10:$Z$10)*ISNUMBER(H169:Z169)) = 0,
   "",
   IFERROR(
     (
       IF(
         SUMPRODUCT(($C$9:$G$9="CO6")*ISNUMBER($C$10:$G$10)*ISNUMBER(C169:G169)) = 0,
         0,
         SUMPRODUCT(($C$9:$G$9="CO6")*ISNUMBER($C$10:$G$10)*ISNUMBER(C169:G169)*C169:G169) /
         SUMPRODUCT(($C$9:$G$9="CO6")*ISNUMBER($C$10:$G$10)*ISNUMBER(C169:G169)*$C$10:$G$10) * 0.15
       ) +
       IF(
         SUMPRODUCT(($H$9:$Z$9="CO6")*ISNUMBER($H$10:$Z$10)*ISNUMBER(H169:Z169)) = 0,
         0,
         SUMPRODUCT(($H$9:$Z$9="CO6")*ISNUMBER($H$10:$Z$10)*ISNUMBER(H169:Z169)*H169:Z169) /
         SUMPRODUCT(($H$9:$Z$9="CO6")*ISNUMBER($H$10:$Z$10)*ISNUMBER(H169:Z169)*$H$10:$Z$10) * 0.85
       )
     ) * 100,
     ""
   )
)</f>
        <v/>
      </c>
      <c r="AG169" s="1" t="str" cm="1">
        <f t="array" ref="AG169">IF(
   SUMPRODUCT(($C$9:$G$9="CO7")*ISNUMBER($C$10:$G$10)*ISNUMBER(C169:G169)) +
   SUMPRODUCT(($H$9:$Z$9="CO7")*ISNUMBER($H$10:$Z$10)*ISNUMBER(H169:Z169)) = 0,
   "",
   IFERROR(
     (
       IF(
         SUMPRODUCT(($C$9:$G$9="CO7")*ISNUMBER($C$10:$G$10)*ISNUMBER(C169:G169)) = 0,
         0,
         SUMPRODUCT(($C$9:$G$9="CO7")*ISNUMBER($C$10:$G$10)*ISNUMBER(C169:G169)*C169:G169) /
         SUMPRODUCT(($C$9:$G$9="CO7")*ISNUMBER($C$10:$G$10)*ISNUMBER(C169:G169)*$C$10:$G$10) * 0.15
       ) +
       IF(
         SUMPRODUCT(($H$9:$Z$9="CO7")*ISNUMBER($H$10:$Z$10)*ISNUMBER(H169:Z169)) = 0,
         0,
         SUMPRODUCT(($H$9:$Z$9="CO7")*ISNUMBER($H$10:$Z$10)*ISNUMBER(H169:Z169)*H169:Z169) /
         SUMPRODUCT(($H$9:$Z$9="CO7")*ISNUMBER($H$10:$Z$10)*ISNUMBER(H169:Z169)*$H$10:$Z$10) * 0.85
       )
     ) * 100,
     ""
   )
)</f>
        <v/>
      </c>
      <c r="AH169" s="3" t="str" cm="1">
        <f t="array" ref="AH169">IF(
   SUMPRODUCT(($C$9:$G$9="CO8")*ISNUMBER($C$10:$G$10)*ISNUMBER(C169:G169)) +
   SUMPRODUCT(($H$9:$Z$9="CO8")*ISNUMBER($H$10:$Z$10)*ISNUMBER(H169:Z169)) = 0,
   "",
   IFERROR(
     (
       IF(
         SUMPRODUCT(($C$9:$G$9="CO8")*ISNUMBER($C$10:$G$10)*ISNUMBER(C169:G169)) = 0,
         0,
         SUMPRODUCT(($C$9:$G$9="CO8")*ISNUMBER($C$10:$G$10)*ISNUMBER(C169:G169)*C169:G169) /
         SUMPRODUCT(($C$9:$G$9="CO8")*ISNUMBER($C$10:$G$10)*ISNUMBER(C169:G169)*$C$10:$G$10) * 0.15
       ) +
       IF(
         SUMPRODUCT(($H$9:$Z$9="CO8")*ISNUMBER($H$10:$Z$10)*ISNUMBER(H169:Z169)) = 0,
         0,
         SUMPRODUCT(($H$9:$Z$9="CO8")*ISNUMBER($H$10:$Z$10)*ISNUMBER(H169:Z169)*H169:Z169) /
         SUMPRODUCT(($H$9:$Z$9="CO8")*ISNUMBER($H$10:$Z$10)*ISNUMBER(H169:Z169)*$H$10:$Z$10) * 0.85
       )
     ) * 100,
     ""
   )
)</f>
        <v/>
      </c>
      <c r="AI169" s="1" t="str">
        <f t="shared" si="18"/>
        <v/>
      </c>
      <c r="AJ169" s="1" t="str">
        <f t="shared" si="18"/>
        <v/>
      </c>
      <c r="AK169" s="1" t="str">
        <f t="shared" si="18"/>
        <v/>
      </c>
      <c r="AL169" s="1" t="str">
        <f t="shared" si="18"/>
        <v/>
      </c>
      <c r="AM169" s="1" t="str">
        <f t="shared" si="18"/>
        <v/>
      </c>
      <c r="AN169" s="1" t="str">
        <f t="shared" si="18"/>
        <v/>
      </c>
      <c r="AO169" s="1" t="str">
        <f t="shared" si="18"/>
        <v/>
      </c>
      <c r="AP169" s="1" t="str">
        <f t="shared" si="18"/>
        <v/>
      </c>
    </row>
    <row r="170" spans="1:42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" t="str" cm="1">
        <f t="array" ref="AA170">IF(
   SUMPRODUCT(($C$9:$G$9="CO1")*ISNUMBER($C$10:$G$10)*ISNUMBER(C170:G170)) +
   SUMPRODUCT(($H$9:$Z$9="CO1")*ISNUMBER($H$10:$Z$10)*ISNUMBER(H170:Z170)) = 0,
   "",
   IFERROR(
     (
       IF(
         SUMPRODUCT(($C$9:$G$9="CO1")*ISNUMBER($C$10:$G$10)*ISNUMBER(C170:G170)) = 0,
         0,
         SUMPRODUCT(($C$9:$G$9="CO1")*ISNUMBER($C$10:$G$10)*ISNUMBER(C170:G170)*C170:G170) /
         SUMPRODUCT(($C$9:$G$9="CO1")*ISNUMBER($C$10:$G$10)*ISNUMBER(C170:G170)*$C$10:$G$10) * 0.15
       ) +
       IF(
         SUMPRODUCT(($H$9:$Z$9="CO1")*ISNUMBER($H$10:$Z$10)*ISNUMBER(H170:Z170)) = 0,
         0,
         SUMPRODUCT(($H$9:$Z$9="CO1")*ISNUMBER($H$10:$Z$10)*ISNUMBER(H170:Z170)*H170:Z170) /
         SUMPRODUCT(($H$9:$Z$9="CO1")*ISNUMBER($H$10:$Z$10)*ISNUMBER(H170:Z170)*$H$10:$Z$10) * 0.85
       )
     ) * 100,
     ""
   )
)</f>
        <v/>
      </c>
      <c r="AB170" s="1" t="str" cm="1">
        <f t="array" ref="AB170">IF(
   SUMPRODUCT(($C$9:$G$9="CO2")*ISNUMBER($C$10:$G$10)*ISNUMBER(C170:G170)) +
   SUMPRODUCT(($H$9:$Z$9="CO2")*ISNUMBER($H$10:$Z$10)*ISNUMBER(H170:Z170)) = 0,
   "",
   IFERROR(
     (
       IF(
         SUMPRODUCT(($C$9:$G$9="CO2")*ISNUMBER($C$10:$G$10)*ISNUMBER(C170:G170)) = 0,
         0,
         SUMPRODUCT(($C$9:$G$9="CO2")*ISNUMBER($C$10:$G$10)*ISNUMBER(C170:G170)*C170:G170) /
         SUMPRODUCT(($C$9:$G$9="CO2")*ISNUMBER($C$10:$G$10)*ISNUMBER(C170:G170)*$C$10:$G$10) * 0.15
       ) +
       IF(
         SUMPRODUCT(($H$9:$Z$9="CO2")*ISNUMBER($H$10:$Z$10)*ISNUMBER(H170:Z170)) = 0,
         0,
         SUMPRODUCT(($H$9:$Z$9="CO2")*ISNUMBER($H$10:$Z$10)*ISNUMBER(H170:Z170)*H170:Z170) /
         SUMPRODUCT(($H$9:$Z$9="CO2")*ISNUMBER($H$10:$Z$10)*ISNUMBER(H170:Z170)*$H$10:$Z$10) * 0.85
       )
     ) * 100,
     ""
   )
)</f>
        <v/>
      </c>
      <c r="AC170" s="1" t="str" cm="1">
        <f t="array" ref="AC170">IF(
   SUMPRODUCT(($C$9:$G$9="CO3")*ISNUMBER($C$10:$G$10)*ISNUMBER(C170:G170)) +
   SUMPRODUCT(($H$9:$Z$9="CO3")*ISNUMBER($H$10:$Z$10)*ISNUMBER(H170:Z170)) = 0,
   "",
   IFERROR(
     (
       IF(
         SUMPRODUCT(($C$9:$G$9="CO3")*ISNUMBER($C$10:$G$10)*ISNUMBER(C170:G170)) = 0,
         0,
         SUMPRODUCT(($C$9:$G$9="CO3")*ISNUMBER($C$10:$G$10)*ISNUMBER(C170:G170)*C170:G170) /
         SUMPRODUCT(($C$9:$G$9="CO3")*ISNUMBER($C$10:$G$10)*ISNUMBER(C170:G170)*$C$10:$G$10) * 0.15
       ) +
       IF(
         SUMPRODUCT(($H$9:$Z$9="CO3")*ISNUMBER($H$10:$Z$10)*ISNUMBER(H170:Z170)) = 0,
         0,
         SUMPRODUCT(($H$9:$Z$9="CO3")*ISNUMBER($H$10:$Z$10)*ISNUMBER(H170:Z170)*H170:Z170) /
         SUMPRODUCT(($H$9:$Z$9="CO3")*ISNUMBER($H$10:$Z$10)*ISNUMBER(H170:Z170)*$H$10:$Z$10) * 0.85
       )
     ) * 100,
     ""
   )
)</f>
        <v/>
      </c>
      <c r="AD170" s="1" t="str" cm="1">
        <f t="array" ref="AD170">IF(
   SUMPRODUCT(($C$9:$G$9="CO4")*ISNUMBER($C$10:$G$10)*ISNUMBER(C170:G170)) +
   SUMPRODUCT(($H$9:$Z$9="CO4")*ISNUMBER($H$10:$Z$10)*ISNUMBER(H170:Z170)) = 0,
   "",
   IFERROR(
     (
       IF(
         SUMPRODUCT(($C$9:$G$9="CO4")*ISNUMBER($C$10:$G$10)*ISNUMBER(C170:G170)) = 0,
         0,
         SUMPRODUCT(($C$9:$G$9="CO4")*ISNUMBER($C$10:$G$10)*ISNUMBER(C170:G170)*C170:G170) /
         SUMPRODUCT(($C$9:$G$9="CO4")*ISNUMBER($C$10:$G$10)*ISNUMBER(C170:G170)*$C$10:$G$10) * 0.15
       ) +
       IF(
         SUMPRODUCT(($H$9:$Z$9="CO4")*ISNUMBER($H$10:$Z$10)*ISNUMBER(H170:Z170)) = 0,
         0,
         SUMPRODUCT(($H$9:$Z$9="CO4")*ISNUMBER($H$10:$Z$10)*ISNUMBER(H170:Z170)*H170:Z170) /
         SUMPRODUCT(($H$9:$Z$9="CO4")*ISNUMBER($H$10:$Z$10)*ISNUMBER(H170:Z170)*$H$10:$Z$10) * 0.85
       )
     ) * 100,
     ""
   )
)</f>
        <v/>
      </c>
      <c r="AE170" s="1" t="str" cm="1">
        <f t="array" ref="AE170">IF(
   SUMPRODUCT(($C$9:$G$9="CO5")*ISNUMBER($C$10:$G$10)*ISNUMBER(C170:G170)) +
   SUMPRODUCT(($H$9:$Z$9="CO5")*ISNUMBER($H$10:$Z$10)*ISNUMBER(H170:Z170)) = 0,
   "",
   IFERROR(
     (
       IF(
         SUMPRODUCT(($C$9:$G$9="CO5")*ISNUMBER($C$10:$G$10)*ISNUMBER(C170:G170)) = 0,
         0,
         SUMPRODUCT(($C$9:$G$9="CO5")*ISNUMBER($C$10:$G$10)*ISNUMBER(C170:G170)*C170:G170) /
         SUMPRODUCT(($C$9:$G$9="CO5")*ISNUMBER($C$10:$G$10)*ISNUMBER(C170:G170)*$C$10:$G$10) * 0.15
       ) +
       IF(
         SUMPRODUCT(($H$9:$Z$9="CO5")*ISNUMBER($H$10:$Z$10)*ISNUMBER(H170:Z170)) = 0,
         0,
         SUMPRODUCT(($H$9:$Z$9="CO5")*ISNUMBER($H$10:$Z$10)*ISNUMBER(H170:Z170)*H170:Z170) /
         SUMPRODUCT(($H$9:$Z$9="CO5")*ISNUMBER($H$10:$Z$10)*ISNUMBER(H170:Z170)*$H$10:$Z$10) * 0.85
       )
     ) * 100,
     ""
   )
)</f>
        <v/>
      </c>
      <c r="AF170" s="1" t="str" cm="1">
        <f t="array" ref="AF170">IF(
   SUMPRODUCT(($C$9:$G$9="CO6")*ISNUMBER($C$10:$G$10)*ISNUMBER(C170:G170)) +
   SUMPRODUCT(($H$9:$Z$9="CO6")*ISNUMBER($H$10:$Z$10)*ISNUMBER(H170:Z170)) = 0,
   "",
   IFERROR(
     (
       IF(
         SUMPRODUCT(($C$9:$G$9="CO6")*ISNUMBER($C$10:$G$10)*ISNUMBER(C170:G170)) = 0,
         0,
         SUMPRODUCT(($C$9:$G$9="CO6")*ISNUMBER($C$10:$G$10)*ISNUMBER(C170:G170)*C170:G170) /
         SUMPRODUCT(($C$9:$G$9="CO6")*ISNUMBER($C$10:$G$10)*ISNUMBER(C170:G170)*$C$10:$G$10) * 0.15
       ) +
       IF(
         SUMPRODUCT(($H$9:$Z$9="CO6")*ISNUMBER($H$10:$Z$10)*ISNUMBER(H170:Z170)) = 0,
         0,
         SUMPRODUCT(($H$9:$Z$9="CO6")*ISNUMBER($H$10:$Z$10)*ISNUMBER(H170:Z170)*H170:Z170) /
         SUMPRODUCT(($H$9:$Z$9="CO6")*ISNUMBER($H$10:$Z$10)*ISNUMBER(H170:Z170)*$H$10:$Z$10) * 0.85
       )
     ) * 100,
     ""
   )
)</f>
        <v/>
      </c>
      <c r="AG170" s="1" t="str" cm="1">
        <f t="array" ref="AG170">IF(
   SUMPRODUCT(($C$9:$G$9="CO7")*ISNUMBER($C$10:$G$10)*ISNUMBER(C170:G170)) +
   SUMPRODUCT(($H$9:$Z$9="CO7")*ISNUMBER($H$10:$Z$10)*ISNUMBER(H170:Z170)) = 0,
   "",
   IFERROR(
     (
       IF(
         SUMPRODUCT(($C$9:$G$9="CO7")*ISNUMBER($C$10:$G$10)*ISNUMBER(C170:G170)) = 0,
         0,
         SUMPRODUCT(($C$9:$G$9="CO7")*ISNUMBER($C$10:$G$10)*ISNUMBER(C170:G170)*C170:G170) /
         SUMPRODUCT(($C$9:$G$9="CO7")*ISNUMBER($C$10:$G$10)*ISNUMBER(C170:G170)*$C$10:$G$10) * 0.15
       ) +
       IF(
         SUMPRODUCT(($H$9:$Z$9="CO7")*ISNUMBER($H$10:$Z$10)*ISNUMBER(H170:Z170)) = 0,
         0,
         SUMPRODUCT(($H$9:$Z$9="CO7")*ISNUMBER($H$10:$Z$10)*ISNUMBER(H170:Z170)*H170:Z170) /
         SUMPRODUCT(($H$9:$Z$9="CO7")*ISNUMBER($H$10:$Z$10)*ISNUMBER(H170:Z170)*$H$10:$Z$10) * 0.85
       )
     ) * 100,
     ""
   )
)</f>
        <v/>
      </c>
      <c r="AH170" s="3" t="str" cm="1">
        <f t="array" ref="AH170">IF(
   SUMPRODUCT(($C$9:$G$9="CO8")*ISNUMBER($C$10:$G$10)*ISNUMBER(C170:G170)) +
   SUMPRODUCT(($H$9:$Z$9="CO8")*ISNUMBER($H$10:$Z$10)*ISNUMBER(H170:Z170)) = 0,
   "",
   IFERROR(
     (
       IF(
         SUMPRODUCT(($C$9:$G$9="CO8")*ISNUMBER($C$10:$G$10)*ISNUMBER(C170:G170)) = 0,
         0,
         SUMPRODUCT(($C$9:$G$9="CO8")*ISNUMBER($C$10:$G$10)*ISNUMBER(C170:G170)*C170:G170) /
         SUMPRODUCT(($C$9:$G$9="CO8")*ISNUMBER($C$10:$G$10)*ISNUMBER(C170:G170)*$C$10:$G$10) * 0.15
       ) +
       IF(
         SUMPRODUCT(($H$9:$Z$9="CO8")*ISNUMBER($H$10:$Z$10)*ISNUMBER(H170:Z170)) = 0,
         0,
         SUMPRODUCT(($H$9:$Z$9="CO8")*ISNUMBER($H$10:$Z$10)*ISNUMBER(H170:Z170)*H170:Z170) /
         SUMPRODUCT(($H$9:$Z$9="CO8")*ISNUMBER($H$10:$Z$10)*ISNUMBER(H170:Z170)*$H$10:$Z$10) * 0.85
       )
     ) * 100,
     ""
   )
)</f>
        <v/>
      </c>
      <c r="AI170" s="1" t="str">
        <f t="shared" si="18"/>
        <v/>
      </c>
      <c r="AJ170" s="1" t="str">
        <f t="shared" si="18"/>
        <v/>
      </c>
      <c r="AK170" s="1" t="str">
        <f t="shared" si="18"/>
        <v/>
      </c>
      <c r="AL170" s="1" t="str">
        <f t="shared" si="18"/>
        <v/>
      </c>
      <c r="AM170" s="1" t="str">
        <f t="shared" si="18"/>
        <v/>
      </c>
      <c r="AN170" s="1" t="str">
        <f t="shared" si="18"/>
        <v/>
      </c>
      <c r="AO170" s="1" t="str">
        <f t="shared" si="18"/>
        <v/>
      </c>
      <c r="AP170" s="1" t="str">
        <f t="shared" si="18"/>
        <v/>
      </c>
    </row>
    <row r="171" spans="1:42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" t="str" cm="1">
        <f t="array" ref="AA171">IF(
   SUMPRODUCT(($C$9:$G$9="CO1")*ISNUMBER($C$10:$G$10)*ISNUMBER(C171:G171)) +
   SUMPRODUCT(($H$9:$Z$9="CO1")*ISNUMBER($H$10:$Z$10)*ISNUMBER(H171:Z171)) = 0,
   "",
   IFERROR(
     (
       IF(
         SUMPRODUCT(($C$9:$G$9="CO1")*ISNUMBER($C$10:$G$10)*ISNUMBER(C171:G171)) = 0,
         0,
         SUMPRODUCT(($C$9:$G$9="CO1")*ISNUMBER($C$10:$G$10)*ISNUMBER(C171:G171)*C171:G171) /
         SUMPRODUCT(($C$9:$G$9="CO1")*ISNUMBER($C$10:$G$10)*ISNUMBER(C171:G171)*$C$10:$G$10) * 0.15
       ) +
       IF(
         SUMPRODUCT(($H$9:$Z$9="CO1")*ISNUMBER($H$10:$Z$10)*ISNUMBER(H171:Z171)) = 0,
         0,
         SUMPRODUCT(($H$9:$Z$9="CO1")*ISNUMBER($H$10:$Z$10)*ISNUMBER(H171:Z171)*H171:Z171) /
         SUMPRODUCT(($H$9:$Z$9="CO1")*ISNUMBER($H$10:$Z$10)*ISNUMBER(H171:Z171)*$H$10:$Z$10) * 0.85
       )
     ) * 100,
     ""
   )
)</f>
        <v/>
      </c>
      <c r="AB171" s="1" t="str" cm="1">
        <f t="array" ref="AB171">IF(
   SUMPRODUCT(($C$9:$G$9="CO2")*ISNUMBER($C$10:$G$10)*ISNUMBER(C171:G171)) +
   SUMPRODUCT(($H$9:$Z$9="CO2")*ISNUMBER($H$10:$Z$10)*ISNUMBER(H171:Z171)) = 0,
   "",
   IFERROR(
     (
       IF(
         SUMPRODUCT(($C$9:$G$9="CO2")*ISNUMBER($C$10:$G$10)*ISNUMBER(C171:G171)) = 0,
         0,
         SUMPRODUCT(($C$9:$G$9="CO2")*ISNUMBER($C$10:$G$10)*ISNUMBER(C171:G171)*C171:G171) /
         SUMPRODUCT(($C$9:$G$9="CO2")*ISNUMBER($C$10:$G$10)*ISNUMBER(C171:G171)*$C$10:$G$10) * 0.15
       ) +
       IF(
         SUMPRODUCT(($H$9:$Z$9="CO2")*ISNUMBER($H$10:$Z$10)*ISNUMBER(H171:Z171)) = 0,
         0,
         SUMPRODUCT(($H$9:$Z$9="CO2")*ISNUMBER($H$10:$Z$10)*ISNUMBER(H171:Z171)*H171:Z171) /
         SUMPRODUCT(($H$9:$Z$9="CO2")*ISNUMBER($H$10:$Z$10)*ISNUMBER(H171:Z171)*$H$10:$Z$10) * 0.85
       )
     ) * 100,
     ""
   )
)</f>
        <v/>
      </c>
      <c r="AC171" s="1" t="str" cm="1">
        <f t="array" ref="AC171">IF(
   SUMPRODUCT(($C$9:$G$9="CO3")*ISNUMBER($C$10:$G$10)*ISNUMBER(C171:G171)) +
   SUMPRODUCT(($H$9:$Z$9="CO3")*ISNUMBER($H$10:$Z$10)*ISNUMBER(H171:Z171)) = 0,
   "",
   IFERROR(
     (
       IF(
         SUMPRODUCT(($C$9:$G$9="CO3")*ISNUMBER($C$10:$G$10)*ISNUMBER(C171:G171)) = 0,
         0,
         SUMPRODUCT(($C$9:$G$9="CO3")*ISNUMBER($C$10:$G$10)*ISNUMBER(C171:G171)*C171:G171) /
         SUMPRODUCT(($C$9:$G$9="CO3")*ISNUMBER($C$10:$G$10)*ISNUMBER(C171:G171)*$C$10:$G$10) * 0.15
       ) +
       IF(
         SUMPRODUCT(($H$9:$Z$9="CO3")*ISNUMBER($H$10:$Z$10)*ISNUMBER(H171:Z171)) = 0,
         0,
         SUMPRODUCT(($H$9:$Z$9="CO3")*ISNUMBER($H$10:$Z$10)*ISNUMBER(H171:Z171)*H171:Z171) /
         SUMPRODUCT(($H$9:$Z$9="CO3")*ISNUMBER($H$10:$Z$10)*ISNUMBER(H171:Z171)*$H$10:$Z$10) * 0.85
       )
     ) * 100,
     ""
   )
)</f>
        <v/>
      </c>
      <c r="AD171" s="1" t="str" cm="1">
        <f t="array" ref="AD171">IF(
   SUMPRODUCT(($C$9:$G$9="CO4")*ISNUMBER($C$10:$G$10)*ISNUMBER(C171:G171)) +
   SUMPRODUCT(($H$9:$Z$9="CO4")*ISNUMBER($H$10:$Z$10)*ISNUMBER(H171:Z171)) = 0,
   "",
   IFERROR(
     (
       IF(
         SUMPRODUCT(($C$9:$G$9="CO4")*ISNUMBER($C$10:$G$10)*ISNUMBER(C171:G171)) = 0,
         0,
         SUMPRODUCT(($C$9:$G$9="CO4")*ISNUMBER($C$10:$G$10)*ISNUMBER(C171:G171)*C171:G171) /
         SUMPRODUCT(($C$9:$G$9="CO4")*ISNUMBER($C$10:$G$10)*ISNUMBER(C171:G171)*$C$10:$G$10) * 0.15
       ) +
       IF(
         SUMPRODUCT(($H$9:$Z$9="CO4")*ISNUMBER($H$10:$Z$10)*ISNUMBER(H171:Z171)) = 0,
         0,
         SUMPRODUCT(($H$9:$Z$9="CO4")*ISNUMBER($H$10:$Z$10)*ISNUMBER(H171:Z171)*H171:Z171) /
         SUMPRODUCT(($H$9:$Z$9="CO4")*ISNUMBER($H$10:$Z$10)*ISNUMBER(H171:Z171)*$H$10:$Z$10) * 0.85
       )
     ) * 100,
     ""
   )
)</f>
        <v/>
      </c>
      <c r="AE171" s="1" t="str" cm="1">
        <f t="array" ref="AE171">IF(
   SUMPRODUCT(($C$9:$G$9="CO5")*ISNUMBER($C$10:$G$10)*ISNUMBER(C171:G171)) +
   SUMPRODUCT(($H$9:$Z$9="CO5")*ISNUMBER($H$10:$Z$10)*ISNUMBER(H171:Z171)) = 0,
   "",
   IFERROR(
     (
       IF(
         SUMPRODUCT(($C$9:$G$9="CO5")*ISNUMBER($C$10:$G$10)*ISNUMBER(C171:G171)) = 0,
         0,
         SUMPRODUCT(($C$9:$G$9="CO5")*ISNUMBER($C$10:$G$10)*ISNUMBER(C171:G171)*C171:G171) /
         SUMPRODUCT(($C$9:$G$9="CO5")*ISNUMBER($C$10:$G$10)*ISNUMBER(C171:G171)*$C$10:$G$10) * 0.15
       ) +
       IF(
         SUMPRODUCT(($H$9:$Z$9="CO5")*ISNUMBER($H$10:$Z$10)*ISNUMBER(H171:Z171)) = 0,
         0,
         SUMPRODUCT(($H$9:$Z$9="CO5")*ISNUMBER($H$10:$Z$10)*ISNUMBER(H171:Z171)*H171:Z171) /
         SUMPRODUCT(($H$9:$Z$9="CO5")*ISNUMBER($H$10:$Z$10)*ISNUMBER(H171:Z171)*$H$10:$Z$10) * 0.85
       )
     ) * 100,
     ""
   )
)</f>
        <v/>
      </c>
      <c r="AF171" s="1" t="str" cm="1">
        <f t="array" ref="AF171">IF(
   SUMPRODUCT(($C$9:$G$9="CO6")*ISNUMBER($C$10:$G$10)*ISNUMBER(C171:G171)) +
   SUMPRODUCT(($H$9:$Z$9="CO6")*ISNUMBER($H$10:$Z$10)*ISNUMBER(H171:Z171)) = 0,
   "",
   IFERROR(
     (
       IF(
         SUMPRODUCT(($C$9:$G$9="CO6")*ISNUMBER($C$10:$G$10)*ISNUMBER(C171:G171)) = 0,
         0,
         SUMPRODUCT(($C$9:$G$9="CO6")*ISNUMBER($C$10:$G$10)*ISNUMBER(C171:G171)*C171:G171) /
         SUMPRODUCT(($C$9:$G$9="CO6")*ISNUMBER($C$10:$G$10)*ISNUMBER(C171:G171)*$C$10:$G$10) * 0.15
       ) +
       IF(
         SUMPRODUCT(($H$9:$Z$9="CO6")*ISNUMBER($H$10:$Z$10)*ISNUMBER(H171:Z171)) = 0,
         0,
         SUMPRODUCT(($H$9:$Z$9="CO6")*ISNUMBER($H$10:$Z$10)*ISNUMBER(H171:Z171)*H171:Z171) /
         SUMPRODUCT(($H$9:$Z$9="CO6")*ISNUMBER($H$10:$Z$10)*ISNUMBER(H171:Z171)*$H$10:$Z$10) * 0.85
       )
     ) * 100,
     ""
   )
)</f>
        <v/>
      </c>
      <c r="AG171" s="1" t="str" cm="1">
        <f t="array" ref="AG171">IF(
   SUMPRODUCT(($C$9:$G$9="CO7")*ISNUMBER($C$10:$G$10)*ISNUMBER(C171:G171)) +
   SUMPRODUCT(($H$9:$Z$9="CO7")*ISNUMBER($H$10:$Z$10)*ISNUMBER(H171:Z171)) = 0,
   "",
   IFERROR(
     (
       IF(
         SUMPRODUCT(($C$9:$G$9="CO7")*ISNUMBER($C$10:$G$10)*ISNUMBER(C171:G171)) = 0,
         0,
         SUMPRODUCT(($C$9:$G$9="CO7")*ISNUMBER($C$10:$G$10)*ISNUMBER(C171:G171)*C171:G171) /
         SUMPRODUCT(($C$9:$G$9="CO7")*ISNUMBER($C$10:$G$10)*ISNUMBER(C171:G171)*$C$10:$G$10) * 0.15
       ) +
       IF(
         SUMPRODUCT(($H$9:$Z$9="CO7")*ISNUMBER($H$10:$Z$10)*ISNUMBER(H171:Z171)) = 0,
         0,
         SUMPRODUCT(($H$9:$Z$9="CO7")*ISNUMBER($H$10:$Z$10)*ISNUMBER(H171:Z171)*H171:Z171) /
         SUMPRODUCT(($H$9:$Z$9="CO7")*ISNUMBER($H$10:$Z$10)*ISNUMBER(H171:Z171)*$H$10:$Z$10) * 0.85
       )
     ) * 100,
     ""
   )
)</f>
        <v/>
      </c>
      <c r="AH171" s="3" t="str" cm="1">
        <f t="array" ref="AH171">IF(
   SUMPRODUCT(($C$9:$G$9="CO8")*ISNUMBER($C$10:$G$10)*ISNUMBER(C171:G171)) +
   SUMPRODUCT(($H$9:$Z$9="CO8")*ISNUMBER($H$10:$Z$10)*ISNUMBER(H171:Z171)) = 0,
   "",
   IFERROR(
     (
       IF(
         SUMPRODUCT(($C$9:$G$9="CO8")*ISNUMBER($C$10:$G$10)*ISNUMBER(C171:G171)) = 0,
         0,
         SUMPRODUCT(($C$9:$G$9="CO8")*ISNUMBER($C$10:$G$10)*ISNUMBER(C171:G171)*C171:G171) /
         SUMPRODUCT(($C$9:$G$9="CO8")*ISNUMBER($C$10:$G$10)*ISNUMBER(C171:G171)*$C$10:$G$10) * 0.15
       ) +
       IF(
         SUMPRODUCT(($H$9:$Z$9="CO8")*ISNUMBER($H$10:$Z$10)*ISNUMBER(H171:Z171)) = 0,
         0,
         SUMPRODUCT(($H$9:$Z$9="CO8")*ISNUMBER($H$10:$Z$10)*ISNUMBER(H171:Z171)*H171:Z171) /
         SUMPRODUCT(($H$9:$Z$9="CO8")*ISNUMBER($H$10:$Z$10)*ISNUMBER(H171:Z171)*$H$10:$Z$10) * 0.85
       )
     ) * 100,
     ""
   )
)</f>
        <v/>
      </c>
      <c r="AI171" s="1" t="str">
        <f t="shared" si="18"/>
        <v/>
      </c>
      <c r="AJ171" s="1" t="str">
        <f t="shared" si="18"/>
        <v/>
      </c>
      <c r="AK171" s="1" t="str">
        <f t="shared" si="18"/>
        <v/>
      </c>
      <c r="AL171" s="1" t="str">
        <f t="shared" si="18"/>
        <v/>
      </c>
      <c r="AM171" s="1" t="str">
        <f t="shared" si="18"/>
        <v/>
      </c>
      <c r="AN171" s="1" t="str">
        <f t="shared" si="18"/>
        <v/>
      </c>
      <c r="AO171" s="1" t="str">
        <f t="shared" si="18"/>
        <v/>
      </c>
      <c r="AP171" s="1" t="str">
        <f t="shared" si="18"/>
        <v/>
      </c>
    </row>
    <row r="172" spans="1:42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" t="str" cm="1">
        <f t="array" ref="AA172">IF(
   SUMPRODUCT(($C$9:$G$9="CO1")*ISNUMBER($C$10:$G$10)*ISNUMBER(C172:G172)) +
   SUMPRODUCT(($H$9:$Z$9="CO1")*ISNUMBER($H$10:$Z$10)*ISNUMBER(H172:Z172)) = 0,
   "",
   IFERROR(
     (
       IF(
         SUMPRODUCT(($C$9:$G$9="CO1")*ISNUMBER($C$10:$G$10)*ISNUMBER(C172:G172)) = 0,
         0,
         SUMPRODUCT(($C$9:$G$9="CO1")*ISNUMBER($C$10:$G$10)*ISNUMBER(C172:G172)*C172:G172) /
         SUMPRODUCT(($C$9:$G$9="CO1")*ISNUMBER($C$10:$G$10)*ISNUMBER(C172:G172)*$C$10:$G$10) * 0.15
       ) +
       IF(
         SUMPRODUCT(($H$9:$Z$9="CO1")*ISNUMBER($H$10:$Z$10)*ISNUMBER(H172:Z172)) = 0,
         0,
         SUMPRODUCT(($H$9:$Z$9="CO1")*ISNUMBER($H$10:$Z$10)*ISNUMBER(H172:Z172)*H172:Z172) /
         SUMPRODUCT(($H$9:$Z$9="CO1")*ISNUMBER($H$10:$Z$10)*ISNUMBER(H172:Z172)*$H$10:$Z$10) * 0.85
       )
     ) * 100,
     ""
   )
)</f>
        <v/>
      </c>
      <c r="AB172" s="1" t="str" cm="1">
        <f t="array" ref="AB172">IF(
   SUMPRODUCT(($C$9:$G$9="CO2")*ISNUMBER($C$10:$G$10)*ISNUMBER(C172:G172)) +
   SUMPRODUCT(($H$9:$Z$9="CO2")*ISNUMBER($H$10:$Z$10)*ISNUMBER(H172:Z172)) = 0,
   "",
   IFERROR(
     (
       IF(
         SUMPRODUCT(($C$9:$G$9="CO2")*ISNUMBER($C$10:$G$10)*ISNUMBER(C172:G172)) = 0,
         0,
         SUMPRODUCT(($C$9:$G$9="CO2")*ISNUMBER($C$10:$G$10)*ISNUMBER(C172:G172)*C172:G172) /
         SUMPRODUCT(($C$9:$G$9="CO2")*ISNUMBER($C$10:$G$10)*ISNUMBER(C172:G172)*$C$10:$G$10) * 0.15
       ) +
       IF(
         SUMPRODUCT(($H$9:$Z$9="CO2")*ISNUMBER($H$10:$Z$10)*ISNUMBER(H172:Z172)) = 0,
         0,
         SUMPRODUCT(($H$9:$Z$9="CO2")*ISNUMBER($H$10:$Z$10)*ISNUMBER(H172:Z172)*H172:Z172) /
         SUMPRODUCT(($H$9:$Z$9="CO2")*ISNUMBER($H$10:$Z$10)*ISNUMBER(H172:Z172)*$H$10:$Z$10) * 0.85
       )
     ) * 100,
     ""
   )
)</f>
        <v/>
      </c>
      <c r="AC172" s="1" t="str" cm="1">
        <f t="array" ref="AC172">IF(
   SUMPRODUCT(($C$9:$G$9="CO3")*ISNUMBER($C$10:$G$10)*ISNUMBER(C172:G172)) +
   SUMPRODUCT(($H$9:$Z$9="CO3")*ISNUMBER($H$10:$Z$10)*ISNUMBER(H172:Z172)) = 0,
   "",
   IFERROR(
     (
       IF(
         SUMPRODUCT(($C$9:$G$9="CO3")*ISNUMBER($C$10:$G$10)*ISNUMBER(C172:G172)) = 0,
         0,
         SUMPRODUCT(($C$9:$G$9="CO3")*ISNUMBER($C$10:$G$10)*ISNUMBER(C172:G172)*C172:G172) /
         SUMPRODUCT(($C$9:$G$9="CO3")*ISNUMBER($C$10:$G$10)*ISNUMBER(C172:G172)*$C$10:$G$10) * 0.15
       ) +
       IF(
         SUMPRODUCT(($H$9:$Z$9="CO3")*ISNUMBER($H$10:$Z$10)*ISNUMBER(H172:Z172)) = 0,
         0,
         SUMPRODUCT(($H$9:$Z$9="CO3")*ISNUMBER($H$10:$Z$10)*ISNUMBER(H172:Z172)*H172:Z172) /
         SUMPRODUCT(($H$9:$Z$9="CO3")*ISNUMBER($H$10:$Z$10)*ISNUMBER(H172:Z172)*$H$10:$Z$10) * 0.85
       )
     ) * 100,
     ""
   )
)</f>
        <v/>
      </c>
      <c r="AD172" s="1" t="str" cm="1">
        <f t="array" ref="AD172">IF(
   SUMPRODUCT(($C$9:$G$9="CO4")*ISNUMBER($C$10:$G$10)*ISNUMBER(C172:G172)) +
   SUMPRODUCT(($H$9:$Z$9="CO4")*ISNUMBER($H$10:$Z$10)*ISNUMBER(H172:Z172)) = 0,
   "",
   IFERROR(
     (
       IF(
         SUMPRODUCT(($C$9:$G$9="CO4")*ISNUMBER($C$10:$G$10)*ISNUMBER(C172:G172)) = 0,
         0,
         SUMPRODUCT(($C$9:$G$9="CO4")*ISNUMBER($C$10:$G$10)*ISNUMBER(C172:G172)*C172:G172) /
         SUMPRODUCT(($C$9:$G$9="CO4")*ISNUMBER($C$10:$G$10)*ISNUMBER(C172:G172)*$C$10:$G$10) * 0.15
       ) +
       IF(
         SUMPRODUCT(($H$9:$Z$9="CO4")*ISNUMBER($H$10:$Z$10)*ISNUMBER(H172:Z172)) = 0,
         0,
         SUMPRODUCT(($H$9:$Z$9="CO4")*ISNUMBER($H$10:$Z$10)*ISNUMBER(H172:Z172)*H172:Z172) /
         SUMPRODUCT(($H$9:$Z$9="CO4")*ISNUMBER($H$10:$Z$10)*ISNUMBER(H172:Z172)*$H$10:$Z$10) * 0.85
       )
     ) * 100,
     ""
   )
)</f>
        <v/>
      </c>
      <c r="AE172" s="1" t="str" cm="1">
        <f t="array" ref="AE172">IF(
   SUMPRODUCT(($C$9:$G$9="CO5")*ISNUMBER($C$10:$G$10)*ISNUMBER(C172:G172)) +
   SUMPRODUCT(($H$9:$Z$9="CO5")*ISNUMBER($H$10:$Z$10)*ISNUMBER(H172:Z172)) = 0,
   "",
   IFERROR(
     (
       IF(
         SUMPRODUCT(($C$9:$G$9="CO5")*ISNUMBER($C$10:$G$10)*ISNUMBER(C172:G172)) = 0,
         0,
         SUMPRODUCT(($C$9:$G$9="CO5")*ISNUMBER($C$10:$G$10)*ISNUMBER(C172:G172)*C172:G172) /
         SUMPRODUCT(($C$9:$G$9="CO5")*ISNUMBER($C$10:$G$10)*ISNUMBER(C172:G172)*$C$10:$G$10) * 0.15
       ) +
       IF(
         SUMPRODUCT(($H$9:$Z$9="CO5")*ISNUMBER($H$10:$Z$10)*ISNUMBER(H172:Z172)) = 0,
         0,
         SUMPRODUCT(($H$9:$Z$9="CO5")*ISNUMBER($H$10:$Z$10)*ISNUMBER(H172:Z172)*H172:Z172) /
         SUMPRODUCT(($H$9:$Z$9="CO5")*ISNUMBER($H$10:$Z$10)*ISNUMBER(H172:Z172)*$H$10:$Z$10) * 0.85
       )
     ) * 100,
     ""
   )
)</f>
        <v/>
      </c>
      <c r="AF172" s="1" t="str" cm="1">
        <f t="array" ref="AF172">IF(
   SUMPRODUCT(($C$9:$G$9="CO6")*ISNUMBER($C$10:$G$10)*ISNUMBER(C172:G172)) +
   SUMPRODUCT(($H$9:$Z$9="CO6")*ISNUMBER($H$10:$Z$10)*ISNUMBER(H172:Z172)) = 0,
   "",
   IFERROR(
     (
       IF(
         SUMPRODUCT(($C$9:$G$9="CO6")*ISNUMBER($C$10:$G$10)*ISNUMBER(C172:G172)) = 0,
         0,
         SUMPRODUCT(($C$9:$G$9="CO6")*ISNUMBER($C$10:$G$10)*ISNUMBER(C172:G172)*C172:G172) /
         SUMPRODUCT(($C$9:$G$9="CO6")*ISNUMBER($C$10:$G$10)*ISNUMBER(C172:G172)*$C$10:$G$10) * 0.15
       ) +
       IF(
         SUMPRODUCT(($H$9:$Z$9="CO6")*ISNUMBER($H$10:$Z$10)*ISNUMBER(H172:Z172)) = 0,
         0,
         SUMPRODUCT(($H$9:$Z$9="CO6")*ISNUMBER($H$10:$Z$10)*ISNUMBER(H172:Z172)*H172:Z172) /
         SUMPRODUCT(($H$9:$Z$9="CO6")*ISNUMBER($H$10:$Z$10)*ISNUMBER(H172:Z172)*$H$10:$Z$10) * 0.85
       )
     ) * 100,
     ""
   )
)</f>
        <v/>
      </c>
      <c r="AG172" s="1" t="str" cm="1">
        <f t="array" ref="AG172">IF(
   SUMPRODUCT(($C$9:$G$9="CO7")*ISNUMBER($C$10:$G$10)*ISNUMBER(C172:G172)) +
   SUMPRODUCT(($H$9:$Z$9="CO7")*ISNUMBER($H$10:$Z$10)*ISNUMBER(H172:Z172)) = 0,
   "",
   IFERROR(
     (
       IF(
         SUMPRODUCT(($C$9:$G$9="CO7")*ISNUMBER($C$10:$G$10)*ISNUMBER(C172:G172)) = 0,
         0,
         SUMPRODUCT(($C$9:$G$9="CO7")*ISNUMBER($C$10:$G$10)*ISNUMBER(C172:G172)*C172:G172) /
         SUMPRODUCT(($C$9:$G$9="CO7")*ISNUMBER($C$10:$G$10)*ISNUMBER(C172:G172)*$C$10:$G$10) * 0.15
       ) +
       IF(
         SUMPRODUCT(($H$9:$Z$9="CO7")*ISNUMBER($H$10:$Z$10)*ISNUMBER(H172:Z172)) = 0,
         0,
         SUMPRODUCT(($H$9:$Z$9="CO7")*ISNUMBER($H$10:$Z$10)*ISNUMBER(H172:Z172)*H172:Z172) /
         SUMPRODUCT(($H$9:$Z$9="CO7")*ISNUMBER($H$10:$Z$10)*ISNUMBER(H172:Z172)*$H$10:$Z$10) * 0.85
       )
     ) * 100,
     ""
   )
)</f>
        <v/>
      </c>
      <c r="AH172" s="3" t="str" cm="1">
        <f t="array" ref="AH172">IF(
   SUMPRODUCT(($C$9:$G$9="CO8")*ISNUMBER($C$10:$G$10)*ISNUMBER(C172:G172)) +
   SUMPRODUCT(($H$9:$Z$9="CO8")*ISNUMBER($H$10:$Z$10)*ISNUMBER(H172:Z172)) = 0,
   "",
   IFERROR(
     (
       IF(
         SUMPRODUCT(($C$9:$G$9="CO8")*ISNUMBER($C$10:$G$10)*ISNUMBER(C172:G172)) = 0,
         0,
         SUMPRODUCT(($C$9:$G$9="CO8")*ISNUMBER($C$10:$G$10)*ISNUMBER(C172:G172)*C172:G172) /
         SUMPRODUCT(($C$9:$G$9="CO8")*ISNUMBER($C$10:$G$10)*ISNUMBER(C172:G172)*$C$10:$G$10) * 0.15
       ) +
       IF(
         SUMPRODUCT(($H$9:$Z$9="CO8")*ISNUMBER($H$10:$Z$10)*ISNUMBER(H172:Z172)) = 0,
         0,
         SUMPRODUCT(($H$9:$Z$9="CO8")*ISNUMBER($H$10:$Z$10)*ISNUMBER(H172:Z172)*H172:Z172) /
         SUMPRODUCT(($H$9:$Z$9="CO8")*ISNUMBER($H$10:$Z$10)*ISNUMBER(H172:Z172)*$H$10:$Z$10) * 0.85
       )
     ) * 100,
     ""
   )
)</f>
        <v/>
      </c>
      <c r="AI172" s="1" t="str">
        <f t="shared" si="18"/>
        <v/>
      </c>
      <c r="AJ172" s="1" t="str">
        <f t="shared" si="18"/>
        <v/>
      </c>
      <c r="AK172" s="1" t="str">
        <f t="shared" si="18"/>
        <v/>
      </c>
      <c r="AL172" s="1" t="str">
        <f t="shared" si="18"/>
        <v/>
      </c>
      <c r="AM172" s="1" t="str">
        <f t="shared" si="18"/>
        <v/>
      </c>
      <c r="AN172" s="1" t="str">
        <f t="shared" si="18"/>
        <v/>
      </c>
      <c r="AO172" s="1" t="str">
        <f t="shared" si="18"/>
        <v/>
      </c>
      <c r="AP172" s="1" t="str">
        <f t="shared" si="18"/>
        <v/>
      </c>
    </row>
    <row r="173" spans="1:42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" t="str" cm="1">
        <f t="array" ref="AA173">IF(
   SUMPRODUCT(($C$9:$G$9="CO1")*ISNUMBER($C$10:$G$10)*ISNUMBER(C173:G173)) +
   SUMPRODUCT(($H$9:$Z$9="CO1")*ISNUMBER($H$10:$Z$10)*ISNUMBER(H173:Z173)) = 0,
   "",
   IFERROR(
     (
       IF(
         SUMPRODUCT(($C$9:$G$9="CO1")*ISNUMBER($C$10:$G$10)*ISNUMBER(C173:G173)) = 0,
         0,
         SUMPRODUCT(($C$9:$G$9="CO1")*ISNUMBER($C$10:$G$10)*ISNUMBER(C173:G173)*C173:G173) /
         SUMPRODUCT(($C$9:$G$9="CO1")*ISNUMBER($C$10:$G$10)*ISNUMBER(C173:G173)*$C$10:$G$10) * 0.15
       ) +
       IF(
         SUMPRODUCT(($H$9:$Z$9="CO1")*ISNUMBER($H$10:$Z$10)*ISNUMBER(H173:Z173)) = 0,
         0,
         SUMPRODUCT(($H$9:$Z$9="CO1")*ISNUMBER($H$10:$Z$10)*ISNUMBER(H173:Z173)*H173:Z173) /
         SUMPRODUCT(($H$9:$Z$9="CO1")*ISNUMBER($H$10:$Z$10)*ISNUMBER(H173:Z173)*$H$10:$Z$10) * 0.85
       )
     ) * 100,
     ""
   )
)</f>
        <v/>
      </c>
      <c r="AB173" s="1" t="str" cm="1">
        <f t="array" ref="AB173">IF(
   SUMPRODUCT(($C$9:$G$9="CO2")*ISNUMBER($C$10:$G$10)*ISNUMBER(C173:G173)) +
   SUMPRODUCT(($H$9:$Z$9="CO2")*ISNUMBER($H$10:$Z$10)*ISNUMBER(H173:Z173)) = 0,
   "",
   IFERROR(
     (
       IF(
         SUMPRODUCT(($C$9:$G$9="CO2")*ISNUMBER($C$10:$G$10)*ISNUMBER(C173:G173)) = 0,
         0,
         SUMPRODUCT(($C$9:$G$9="CO2")*ISNUMBER($C$10:$G$10)*ISNUMBER(C173:G173)*C173:G173) /
         SUMPRODUCT(($C$9:$G$9="CO2")*ISNUMBER($C$10:$G$10)*ISNUMBER(C173:G173)*$C$10:$G$10) * 0.15
       ) +
       IF(
         SUMPRODUCT(($H$9:$Z$9="CO2")*ISNUMBER($H$10:$Z$10)*ISNUMBER(H173:Z173)) = 0,
         0,
         SUMPRODUCT(($H$9:$Z$9="CO2")*ISNUMBER($H$10:$Z$10)*ISNUMBER(H173:Z173)*H173:Z173) /
         SUMPRODUCT(($H$9:$Z$9="CO2")*ISNUMBER($H$10:$Z$10)*ISNUMBER(H173:Z173)*$H$10:$Z$10) * 0.85
       )
     ) * 100,
     ""
   )
)</f>
        <v/>
      </c>
      <c r="AC173" s="1" t="str" cm="1">
        <f t="array" ref="AC173">IF(
   SUMPRODUCT(($C$9:$G$9="CO3")*ISNUMBER($C$10:$G$10)*ISNUMBER(C173:G173)) +
   SUMPRODUCT(($H$9:$Z$9="CO3")*ISNUMBER($H$10:$Z$10)*ISNUMBER(H173:Z173)) = 0,
   "",
   IFERROR(
     (
       IF(
         SUMPRODUCT(($C$9:$G$9="CO3")*ISNUMBER($C$10:$G$10)*ISNUMBER(C173:G173)) = 0,
         0,
         SUMPRODUCT(($C$9:$G$9="CO3")*ISNUMBER($C$10:$G$10)*ISNUMBER(C173:G173)*C173:G173) /
         SUMPRODUCT(($C$9:$G$9="CO3")*ISNUMBER($C$10:$G$10)*ISNUMBER(C173:G173)*$C$10:$G$10) * 0.15
       ) +
       IF(
         SUMPRODUCT(($H$9:$Z$9="CO3")*ISNUMBER($H$10:$Z$10)*ISNUMBER(H173:Z173)) = 0,
         0,
         SUMPRODUCT(($H$9:$Z$9="CO3")*ISNUMBER($H$10:$Z$10)*ISNUMBER(H173:Z173)*H173:Z173) /
         SUMPRODUCT(($H$9:$Z$9="CO3")*ISNUMBER($H$10:$Z$10)*ISNUMBER(H173:Z173)*$H$10:$Z$10) * 0.85
       )
     ) * 100,
     ""
   )
)</f>
        <v/>
      </c>
      <c r="AD173" s="1" t="str" cm="1">
        <f t="array" ref="AD173">IF(
   SUMPRODUCT(($C$9:$G$9="CO4")*ISNUMBER($C$10:$G$10)*ISNUMBER(C173:G173)) +
   SUMPRODUCT(($H$9:$Z$9="CO4")*ISNUMBER($H$10:$Z$10)*ISNUMBER(H173:Z173)) = 0,
   "",
   IFERROR(
     (
       IF(
         SUMPRODUCT(($C$9:$G$9="CO4")*ISNUMBER($C$10:$G$10)*ISNUMBER(C173:G173)) = 0,
         0,
         SUMPRODUCT(($C$9:$G$9="CO4")*ISNUMBER($C$10:$G$10)*ISNUMBER(C173:G173)*C173:G173) /
         SUMPRODUCT(($C$9:$G$9="CO4")*ISNUMBER($C$10:$G$10)*ISNUMBER(C173:G173)*$C$10:$G$10) * 0.15
       ) +
       IF(
         SUMPRODUCT(($H$9:$Z$9="CO4")*ISNUMBER($H$10:$Z$10)*ISNUMBER(H173:Z173)) = 0,
         0,
         SUMPRODUCT(($H$9:$Z$9="CO4")*ISNUMBER($H$10:$Z$10)*ISNUMBER(H173:Z173)*H173:Z173) /
         SUMPRODUCT(($H$9:$Z$9="CO4")*ISNUMBER($H$10:$Z$10)*ISNUMBER(H173:Z173)*$H$10:$Z$10) * 0.85
       )
     ) * 100,
     ""
   )
)</f>
        <v/>
      </c>
      <c r="AE173" s="1" t="str" cm="1">
        <f t="array" ref="AE173">IF(
   SUMPRODUCT(($C$9:$G$9="CO5")*ISNUMBER($C$10:$G$10)*ISNUMBER(C173:G173)) +
   SUMPRODUCT(($H$9:$Z$9="CO5")*ISNUMBER($H$10:$Z$10)*ISNUMBER(H173:Z173)) = 0,
   "",
   IFERROR(
     (
       IF(
         SUMPRODUCT(($C$9:$G$9="CO5")*ISNUMBER($C$10:$G$10)*ISNUMBER(C173:G173)) = 0,
         0,
         SUMPRODUCT(($C$9:$G$9="CO5")*ISNUMBER($C$10:$G$10)*ISNUMBER(C173:G173)*C173:G173) /
         SUMPRODUCT(($C$9:$G$9="CO5")*ISNUMBER($C$10:$G$10)*ISNUMBER(C173:G173)*$C$10:$G$10) * 0.15
       ) +
       IF(
         SUMPRODUCT(($H$9:$Z$9="CO5")*ISNUMBER($H$10:$Z$10)*ISNUMBER(H173:Z173)) = 0,
         0,
         SUMPRODUCT(($H$9:$Z$9="CO5")*ISNUMBER($H$10:$Z$10)*ISNUMBER(H173:Z173)*H173:Z173) /
         SUMPRODUCT(($H$9:$Z$9="CO5")*ISNUMBER($H$10:$Z$10)*ISNUMBER(H173:Z173)*$H$10:$Z$10) * 0.85
       )
     ) * 100,
     ""
   )
)</f>
        <v/>
      </c>
      <c r="AF173" s="1" t="str" cm="1">
        <f t="array" ref="AF173">IF(
   SUMPRODUCT(($C$9:$G$9="CO6")*ISNUMBER($C$10:$G$10)*ISNUMBER(C173:G173)) +
   SUMPRODUCT(($H$9:$Z$9="CO6")*ISNUMBER($H$10:$Z$10)*ISNUMBER(H173:Z173)) = 0,
   "",
   IFERROR(
     (
       IF(
         SUMPRODUCT(($C$9:$G$9="CO6")*ISNUMBER($C$10:$G$10)*ISNUMBER(C173:G173)) = 0,
         0,
         SUMPRODUCT(($C$9:$G$9="CO6")*ISNUMBER($C$10:$G$10)*ISNUMBER(C173:G173)*C173:G173) /
         SUMPRODUCT(($C$9:$G$9="CO6")*ISNUMBER($C$10:$G$10)*ISNUMBER(C173:G173)*$C$10:$G$10) * 0.15
       ) +
       IF(
         SUMPRODUCT(($H$9:$Z$9="CO6")*ISNUMBER($H$10:$Z$10)*ISNUMBER(H173:Z173)) = 0,
         0,
         SUMPRODUCT(($H$9:$Z$9="CO6")*ISNUMBER($H$10:$Z$10)*ISNUMBER(H173:Z173)*H173:Z173) /
         SUMPRODUCT(($H$9:$Z$9="CO6")*ISNUMBER($H$10:$Z$10)*ISNUMBER(H173:Z173)*$H$10:$Z$10) * 0.85
       )
     ) * 100,
     ""
   )
)</f>
        <v/>
      </c>
      <c r="AG173" s="1" t="str" cm="1">
        <f t="array" ref="AG173">IF(
   SUMPRODUCT(($C$9:$G$9="CO7")*ISNUMBER($C$10:$G$10)*ISNUMBER(C173:G173)) +
   SUMPRODUCT(($H$9:$Z$9="CO7")*ISNUMBER($H$10:$Z$10)*ISNUMBER(H173:Z173)) = 0,
   "",
   IFERROR(
     (
       IF(
         SUMPRODUCT(($C$9:$G$9="CO7")*ISNUMBER($C$10:$G$10)*ISNUMBER(C173:G173)) = 0,
         0,
         SUMPRODUCT(($C$9:$G$9="CO7")*ISNUMBER($C$10:$G$10)*ISNUMBER(C173:G173)*C173:G173) /
         SUMPRODUCT(($C$9:$G$9="CO7")*ISNUMBER($C$10:$G$10)*ISNUMBER(C173:G173)*$C$10:$G$10) * 0.15
       ) +
       IF(
         SUMPRODUCT(($H$9:$Z$9="CO7")*ISNUMBER($H$10:$Z$10)*ISNUMBER(H173:Z173)) = 0,
         0,
         SUMPRODUCT(($H$9:$Z$9="CO7")*ISNUMBER($H$10:$Z$10)*ISNUMBER(H173:Z173)*H173:Z173) /
         SUMPRODUCT(($H$9:$Z$9="CO7")*ISNUMBER($H$10:$Z$10)*ISNUMBER(H173:Z173)*$H$10:$Z$10) * 0.85
       )
     ) * 100,
     ""
   )
)</f>
        <v/>
      </c>
      <c r="AH173" s="3" t="str" cm="1">
        <f t="array" ref="AH173">IF(
   SUMPRODUCT(($C$9:$G$9="CO8")*ISNUMBER($C$10:$G$10)*ISNUMBER(C173:G173)) +
   SUMPRODUCT(($H$9:$Z$9="CO8")*ISNUMBER($H$10:$Z$10)*ISNUMBER(H173:Z173)) = 0,
   "",
   IFERROR(
     (
       IF(
         SUMPRODUCT(($C$9:$G$9="CO8")*ISNUMBER($C$10:$G$10)*ISNUMBER(C173:G173)) = 0,
         0,
         SUMPRODUCT(($C$9:$G$9="CO8")*ISNUMBER($C$10:$G$10)*ISNUMBER(C173:G173)*C173:G173) /
         SUMPRODUCT(($C$9:$G$9="CO8")*ISNUMBER($C$10:$G$10)*ISNUMBER(C173:G173)*$C$10:$G$10) * 0.15
       ) +
       IF(
         SUMPRODUCT(($H$9:$Z$9="CO8")*ISNUMBER($H$10:$Z$10)*ISNUMBER(H173:Z173)) = 0,
         0,
         SUMPRODUCT(($H$9:$Z$9="CO8")*ISNUMBER($H$10:$Z$10)*ISNUMBER(H173:Z173)*H173:Z173) /
         SUMPRODUCT(($H$9:$Z$9="CO8")*ISNUMBER($H$10:$Z$10)*ISNUMBER(H173:Z173)*$H$10:$Z$10) * 0.85
       )
     ) * 100,
     ""
   )
)</f>
        <v/>
      </c>
      <c r="AI173" s="1" t="str">
        <f t="shared" si="18"/>
        <v/>
      </c>
      <c r="AJ173" s="1" t="str">
        <f t="shared" si="18"/>
        <v/>
      </c>
      <c r="AK173" s="1" t="str">
        <f t="shared" si="18"/>
        <v/>
      </c>
      <c r="AL173" s="1" t="str">
        <f t="shared" si="18"/>
        <v/>
      </c>
      <c r="AM173" s="1" t="str">
        <f t="shared" si="18"/>
        <v/>
      </c>
      <c r="AN173" s="1" t="str">
        <f t="shared" si="18"/>
        <v/>
      </c>
      <c r="AO173" s="1" t="str">
        <f t="shared" si="18"/>
        <v/>
      </c>
      <c r="AP173" s="1" t="str">
        <f t="shared" si="18"/>
        <v/>
      </c>
    </row>
    <row r="174" spans="1:42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" t="str" cm="1">
        <f t="array" ref="AA174">IF(
   SUMPRODUCT(($C$9:$G$9="CO1")*ISNUMBER($C$10:$G$10)*ISNUMBER(C174:G174)) +
   SUMPRODUCT(($H$9:$Z$9="CO1")*ISNUMBER($H$10:$Z$10)*ISNUMBER(H174:Z174)) = 0,
   "",
   IFERROR(
     (
       IF(
         SUMPRODUCT(($C$9:$G$9="CO1")*ISNUMBER($C$10:$G$10)*ISNUMBER(C174:G174)) = 0,
         0,
         SUMPRODUCT(($C$9:$G$9="CO1")*ISNUMBER($C$10:$G$10)*ISNUMBER(C174:G174)*C174:G174) /
         SUMPRODUCT(($C$9:$G$9="CO1")*ISNUMBER($C$10:$G$10)*ISNUMBER(C174:G174)*$C$10:$G$10) * 0.15
       ) +
       IF(
         SUMPRODUCT(($H$9:$Z$9="CO1")*ISNUMBER($H$10:$Z$10)*ISNUMBER(H174:Z174)) = 0,
         0,
         SUMPRODUCT(($H$9:$Z$9="CO1")*ISNUMBER($H$10:$Z$10)*ISNUMBER(H174:Z174)*H174:Z174) /
         SUMPRODUCT(($H$9:$Z$9="CO1")*ISNUMBER($H$10:$Z$10)*ISNUMBER(H174:Z174)*$H$10:$Z$10) * 0.85
       )
     ) * 100,
     ""
   )
)</f>
        <v/>
      </c>
      <c r="AB174" s="1" t="str" cm="1">
        <f t="array" ref="AB174">IF(
   SUMPRODUCT(($C$9:$G$9="CO2")*ISNUMBER($C$10:$G$10)*ISNUMBER(C174:G174)) +
   SUMPRODUCT(($H$9:$Z$9="CO2")*ISNUMBER($H$10:$Z$10)*ISNUMBER(H174:Z174)) = 0,
   "",
   IFERROR(
     (
       IF(
         SUMPRODUCT(($C$9:$G$9="CO2")*ISNUMBER($C$10:$G$10)*ISNUMBER(C174:G174)) = 0,
         0,
         SUMPRODUCT(($C$9:$G$9="CO2")*ISNUMBER($C$10:$G$10)*ISNUMBER(C174:G174)*C174:G174) /
         SUMPRODUCT(($C$9:$G$9="CO2")*ISNUMBER($C$10:$G$10)*ISNUMBER(C174:G174)*$C$10:$G$10) * 0.15
       ) +
       IF(
         SUMPRODUCT(($H$9:$Z$9="CO2")*ISNUMBER($H$10:$Z$10)*ISNUMBER(H174:Z174)) = 0,
         0,
         SUMPRODUCT(($H$9:$Z$9="CO2")*ISNUMBER($H$10:$Z$10)*ISNUMBER(H174:Z174)*H174:Z174) /
         SUMPRODUCT(($H$9:$Z$9="CO2")*ISNUMBER($H$10:$Z$10)*ISNUMBER(H174:Z174)*$H$10:$Z$10) * 0.85
       )
     ) * 100,
     ""
   )
)</f>
        <v/>
      </c>
      <c r="AC174" s="1" t="str" cm="1">
        <f t="array" ref="AC174">IF(
   SUMPRODUCT(($C$9:$G$9="CO3")*ISNUMBER($C$10:$G$10)*ISNUMBER(C174:G174)) +
   SUMPRODUCT(($H$9:$Z$9="CO3")*ISNUMBER($H$10:$Z$10)*ISNUMBER(H174:Z174)) = 0,
   "",
   IFERROR(
     (
       IF(
         SUMPRODUCT(($C$9:$G$9="CO3")*ISNUMBER($C$10:$G$10)*ISNUMBER(C174:G174)) = 0,
         0,
         SUMPRODUCT(($C$9:$G$9="CO3")*ISNUMBER($C$10:$G$10)*ISNUMBER(C174:G174)*C174:G174) /
         SUMPRODUCT(($C$9:$G$9="CO3")*ISNUMBER($C$10:$G$10)*ISNUMBER(C174:G174)*$C$10:$G$10) * 0.15
       ) +
       IF(
         SUMPRODUCT(($H$9:$Z$9="CO3")*ISNUMBER($H$10:$Z$10)*ISNUMBER(H174:Z174)) = 0,
         0,
         SUMPRODUCT(($H$9:$Z$9="CO3")*ISNUMBER($H$10:$Z$10)*ISNUMBER(H174:Z174)*H174:Z174) /
         SUMPRODUCT(($H$9:$Z$9="CO3")*ISNUMBER($H$10:$Z$10)*ISNUMBER(H174:Z174)*$H$10:$Z$10) * 0.85
       )
     ) * 100,
     ""
   )
)</f>
        <v/>
      </c>
      <c r="AD174" s="1" t="str" cm="1">
        <f t="array" ref="AD174">IF(
   SUMPRODUCT(($C$9:$G$9="CO4")*ISNUMBER($C$10:$G$10)*ISNUMBER(C174:G174)) +
   SUMPRODUCT(($H$9:$Z$9="CO4")*ISNUMBER($H$10:$Z$10)*ISNUMBER(H174:Z174)) = 0,
   "",
   IFERROR(
     (
       IF(
         SUMPRODUCT(($C$9:$G$9="CO4")*ISNUMBER($C$10:$G$10)*ISNUMBER(C174:G174)) = 0,
         0,
         SUMPRODUCT(($C$9:$G$9="CO4")*ISNUMBER($C$10:$G$10)*ISNUMBER(C174:G174)*C174:G174) /
         SUMPRODUCT(($C$9:$G$9="CO4")*ISNUMBER($C$10:$G$10)*ISNUMBER(C174:G174)*$C$10:$G$10) * 0.15
       ) +
       IF(
         SUMPRODUCT(($H$9:$Z$9="CO4")*ISNUMBER($H$10:$Z$10)*ISNUMBER(H174:Z174)) = 0,
         0,
         SUMPRODUCT(($H$9:$Z$9="CO4")*ISNUMBER($H$10:$Z$10)*ISNUMBER(H174:Z174)*H174:Z174) /
         SUMPRODUCT(($H$9:$Z$9="CO4")*ISNUMBER($H$10:$Z$10)*ISNUMBER(H174:Z174)*$H$10:$Z$10) * 0.85
       )
     ) * 100,
     ""
   )
)</f>
        <v/>
      </c>
      <c r="AE174" s="1" t="str" cm="1">
        <f t="array" ref="AE174">IF(
   SUMPRODUCT(($C$9:$G$9="CO5")*ISNUMBER($C$10:$G$10)*ISNUMBER(C174:G174)) +
   SUMPRODUCT(($H$9:$Z$9="CO5")*ISNUMBER($H$10:$Z$10)*ISNUMBER(H174:Z174)) = 0,
   "",
   IFERROR(
     (
       IF(
         SUMPRODUCT(($C$9:$G$9="CO5")*ISNUMBER($C$10:$G$10)*ISNUMBER(C174:G174)) = 0,
         0,
         SUMPRODUCT(($C$9:$G$9="CO5")*ISNUMBER($C$10:$G$10)*ISNUMBER(C174:G174)*C174:G174) /
         SUMPRODUCT(($C$9:$G$9="CO5")*ISNUMBER($C$10:$G$10)*ISNUMBER(C174:G174)*$C$10:$G$10) * 0.15
       ) +
       IF(
         SUMPRODUCT(($H$9:$Z$9="CO5")*ISNUMBER($H$10:$Z$10)*ISNUMBER(H174:Z174)) = 0,
         0,
         SUMPRODUCT(($H$9:$Z$9="CO5")*ISNUMBER($H$10:$Z$10)*ISNUMBER(H174:Z174)*H174:Z174) /
         SUMPRODUCT(($H$9:$Z$9="CO5")*ISNUMBER($H$10:$Z$10)*ISNUMBER(H174:Z174)*$H$10:$Z$10) * 0.85
       )
     ) * 100,
     ""
   )
)</f>
        <v/>
      </c>
      <c r="AF174" s="1" t="str" cm="1">
        <f t="array" ref="AF174">IF(
   SUMPRODUCT(($C$9:$G$9="CO6")*ISNUMBER($C$10:$G$10)*ISNUMBER(C174:G174)) +
   SUMPRODUCT(($H$9:$Z$9="CO6")*ISNUMBER($H$10:$Z$10)*ISNUMBER(H174:Z174)) = 0,
   "",
   IFERROR(
     (
       IF(
         SUMPRODUCT(($C$9:$G$9="CO6")*ISNUMBER($C$10:$G$10)*ISNUMBER(C174:G174)) = 0,
         0,
         SUMPRODUCT(($C$9:$G$9="CO6")*ISNUMBER($C$10:$G$10)*ISNUMBER(C174:G174)*C174:G174) /
         SUMPRODUCT(($C$9:$G$9="CO6")*ISNUMBER($C$10:$G$10)*ISNUMBER(C174:G174)*$C$10:$G$10) * 0.15
       ) +
       IF(
         SUMPRODUCT(($H$9:$Z$9="CO6")*ISNUMBER($H$10:$Z$10)*ISNUMBER(H174:Z174)) = 0,
         0,
         SUMPRODUCT(($H$9:$Z$9="CO6")*ISNUMBER($H$10:$Z$10)*ISNUMBER(H174:Z174)*H174:Z174) /
         SUMPRODUCT(($H$9:$Z$9="CO6")*ISNUMBER($H$10:$Z$10)*ISNUMBER(H174:Z174)*$H$10:$Z$10) * 0.85
       )
     ) * 100,
     ""
   )
)</f>
        <v/>
      </c>
      <c r="AG174" s="1" t="str" cm="1">
        <f t="array" ref="AG174">IF(
   SUMPRODUCT(($C$9:$G$9="CO7")*ISNUMBER($C$10:$G$10)*ISNUMBER(C174:G174)) +
   SUMPRODUCT(($H$9:$Z$9="CO7")*ISNUMBER($H$10:$Z$10)*ISNUMBER(H174:Z174)) = 0,
   "",
   IFERROR(
     (
       IF(
         SUMPRODUCT(($C$9:$G$9="CO7")*ISNUMBER($C$10:$G$10)*ISNUMBER(C174:G174)) = 0,
         0,
         SUMPRODUCT(($C$9:$G$9="CO7")*ISNUMBER($C$10:$G$10)*ISNUMBER(C174:G174)*C174:G174) /
         SUMPRODUCT(($C$9:$G$9="CO7")*ISNUMBER($C$10:$G$10)*ISNUMBER(C174:G174)*$C$10:$G$10) * 0.15
       ) +
       IF(
         SUMPRODUCT(($H$9:$Z$9="CO7")*ISNUMBER($H$10:$Z$10)*ISNUMBER(H174:Z174)) = 0,
         0,
         SUMPRODUCT(($H$9:$Z$9="CO7")*ISNUMBER($H$10:$Z$10)*ISNUMBER(H174:Z174)*H174:Z174) /
         SUMPRODUCT(($H$9:$Z$9="CO7")*ISNUMBER($H$10:$Z$10)*ISNUMBER(H174:Z174)*$H$10:$Z$10) * 0.85
       )
     ) * 100,
     ""
   )
)</f>
        <v/>
      </c>
      <c r="AH174" s="3" t="str" cm="1">
        <f t="array" ref="AH174">IF(
   SUMPRODUCT(($C$9:$G$9="CO8")*ISNUMBER($C$10:$G$10)*ISNUMBER(C174:G174)) +
   SUMPRODUCT(($H$9:$Z$9="CO8")*ISNUMBER($H$10:$Z$10)*ISNUMBER(H174:Z174)) = 0,
   "",
   IFERROR(
     (
       IF(
         SUMPRODUCT(($C$9:$G$9="CO8")*ISNUMBER($C$10:$G$10)*ISNUMBER(C174:G174)) = 0,
         0,
         SUMPRODUCT(($C$9:$G$9="CO8")*ISNUMBER($C$10:$G$10)*ISNUMBER(C174:G174)*C174:G174) /
         SUMPRODUCT(($C$9:$G$9="CO8")*ISNUMBER($C$10:$G$10)*ISNUMBER(C174:G174)*$C$10:$G$10) * 0.15
       ) +
       IF(
         SUMPRODUCT(($H$9:$Z$9="CO8")*ISNUMBER($H$10:$Z$10)*ISNUMBER(H174:Z174)) = 0,
         0,
         SUMPRODUCT(($H$9:$Z$9="CO8")*ISNUMBER($H$10:$Z$10)*ISNUMBER(H174:Z174)*H174:Z174) /
         SUMPRODUCT(($H$9:$Z$9="CO8")*ISNUMBER($H$10:$Z$10)*ISNUMBER(H174:Z174)*$H$10:$Z$10) * 0.85
       )
     ) * 100,
     ""
   )
)</f>
        <v/>
      </c>
      <c r="AI174" s="1" t="str">
        <f t="shared" si="18"/>
        <v/>
      </c>
      <c r="AJ174" s="1" t="str">
        <f t="shared" si="18"/>
        <v/>
      </c>
      <c r="AK174" s="1" t="str">
        <f t="shared" si="18"/>
        <v/>
      </c>
      <c r="AL174" s="1" t="str">
        <f t="shared" si="18"/>
        <v/>
      </c>
      <c r="AM174" s="1" t="str">
        <f t="shared" si="18"/>
        <v/>
      </c>
      <c r="AN174" s="1" t="str">
        <f t="shared" si="18"/>
        <v/>
      </c>
      <c r="AO174" s="1" t="str">
        <f t="shared" si="18"/>
        <v/>
      </c>
      <c r="AP174" s="1" t="str">
        <f t="shared" si="18"/>
        <v/>
      </c>
    </row>
    <row r="175" spans="1:42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" t="str" cm="1">
        <f t="array" ref="AA175">IF(
   SUMPRODUCT(($C$9:$G$9="CO1")*ISNUMBER($C$10:$G$10)*ISNUMBER(C175:G175)) +
   SUMPRODUCT(($H$9:$Z$9="CO1")*ISNUMBER($H$10:$Z$10)*ISNUMBER(H175:Z175)) = 0,
   "",
   IFERROR(
     (
       IF(
         SUMPRODUCT(($C$9:$G$9="CO1")*ISNUMBER($C$10:$G$10)*ISNUMBER(C175:G175)) = 0,
         0,
         SUMPRODUCT(($C$9:$G$9="CO1")*ISNUMBER($C$10:$G$10)*ISNUMBER(C175:G175)*C175:G175) /
         SUMPRODUCT(($C$9:$G$9="CO1")*ISNUMBER($C$10:$G$10)*ISNUMBER(C175:G175)*$C$10:$G$10) * 0.15
       ) +
       IF(
         SUMPRODUCT(($H$9:$Z$9="CO1")*ISNUMBER($H$10:$Z$10)*ISNUMBER(H175:Z175)) = 0,
         0,
         SUMPRODUCT(($H$9:$Z$9="CO1")*ISNUMBER($H$10:$Z$10)*ISNUMBER(H175:Z175)*H175:Z175) /
         SUMPRODUCT(($H$9:$Z$9="CO1")*ISNUMBER($H$10:$Z$10)*ISNUMBER(H175:Z175)*$H$10:$Z$10) * 0.85
       )
     ) * 100,
     ""
   )
)</f>
        <v/>
      </c>
      <c r="AB175" s="1" t="str" cm="1">
        <f t="array" ref="AB175">IF(
   SUMPRODUCT(($C$9:$G$9="CO2")*ISNUMBER($C$10:$G$10)*ISNUMBER(C175:G175)) +
   SUMPRODUCT(($H$9:$Z$9="CO2")*ISNUMBER($H$10:$Z$10)*ISNUMBER(H175:Z175)) = 0,
   "",
   IFERROR(
     (
       IF(
         SUMPRODUCT(($C$9:$G$9="CO2")*ISNUMBER($C$10:$G$10)*ISNUMBER(C175:G175)) = 0,
         0,
         SUMPRODUCT(($C$9:$G$9="CO2")*ISNUMBER($C$10:$G$10)*ISNUMBER(C175:G175)*C175:G175) /
         SUMPRODUCT(($C$9:$G$9="CO2")*ISNUMBER($C$10:$G$10)*ISNUMBER(C175:G175)*$C$10:$G$10) * 0.15
       ) +
       IF(
         SUMPRODUCT(($H$9:$Z$9="CO2")*ISNUMBER($H$10:$Z$10)*ISNUMBER(H175:Z175)) = 0,
         0,
         SUMPRODUCT(($H$9:$Z$9="CO2")*ISNUMBER($H$10:$Z$10)*ISNUMBER(H175:Z175)*H175:Z175) /
         SUMPRODUCT(($H$9:$Z$9="CO2")*ISNUMBER($H$10:$Z$10)*ISNUMBER(H175:Z175)*$H$10:$Z$10) * 0.85
       )
     ) * 100,
     ""
   )
)</f>
        <v/>
      </c>
      <c r="AC175" s="1" t="str" cm="1">
        <f t="array" ref="AC175">IF(
   SUMPRODUCT(($C$9:$G$9="CO3")*ISNUMBER($C$10:$G$10)*ISNUMBER(C175:G175)) +
   SUMPRODUCT(($H$9:$Z$9="CO3")*ISNUMBER($H$10:$Z$10)*ISNUMBER(H175:Z175)) = 0,
   "",
   IFERROR(
     (
       IF(
         SUMPRODUCT(($C$9:$G$9="CO3")*ISNUMBER($C$10:$G$10)*ISNUMBER(C175:G175)) = 0,
         0,
         SUMPRODUCT(($C$9:$G$9="CO3")*ISNUMBER($C$10:$G$10)*ISNUMBER(C175:G175)*C175:G175) /
         SUMPRODUCT(($C$9:$G$9="CO3")*ISNUMBER($C$10:$G$10)*ISNUMBER(C175:G175)*$C$10:$G$10) * 0.15
       ) +
       IF(
         SUMPRODUCT(($H$9:$Z$9="CO3")*ISNUMBER($H$10:$Z$10)*ISNUMBER(H175:Z175)) = 0,
         0,
         SUMPRODUCT(($H$9:$Z$9="CO3")*ISNUMBER($H$10:$Z$10)*ISNUMBER(H175:Z175)*H175:Z175) /
         SUMPRODUCT(($H$9:$Z$9="CO3")*ISNUMBER($H$10:$Z$10)*ISNUMBER(H175:Z175)*$H$10:$Z$10) * 0.85
       )
     ) * 100,
     ""
   )
)</f>
        <v/>
      </c>
      <c r="AD175" s="1" t="str" cm="1">
        <f t="array" ref="AD175">IF(
   SUMPRODUCT(($C$9:$G$9="CO4")*ISNUMBER($C$10:$G$10)*ISNUMBER(C175:G175)) +
   SUMPRODUCT(($H$9:$Z$9="CO4")*ISNUMBER($H$10:$Z$10)*ISNUMBER(H175:Z175)) = 0,
   "",
   IFERROR(
     (
       IF(
         SUMPRODUCT(($C$9:$G$9="CO4")*ISNUMBER($C$10:$G$10)*ISNUMBER(C175:G175)) = 0,
         0,
         SUMPRODUCT(($C$9:$G$9="CO4")*ISNUMBER($C$10:$G$10)*ISNUMBER(C175:G175)*C175:G175) /
         SUMPRODUCT(($C$9:$G$9="CO4")*ISNUMBER($C$10:$G$10)*ISNUMBER(C175:G175)*$C$10:$G$10) * 0.15
       ) +
       IF(
         SUMPRODUCT(($H$9:$Z$9="CO4")*ISNUMBER($H$10:$Z$10)*ISNUMBER(H175:Z175)) = 0,
         0,
         SUMPRODUCT(($H$9:$Z$9="CO4")*ISNUMBER($H$10:$Z$10)*ISNUMBER(H175:Z175)*H175:Z175) /
         SUMPRODUCT(($H$9:$Z$9="CO4")*ISNUMBER($H$10:$Z$10)*ISNUMBER(H175:Z175)*$H$10:$Z$10) * 0.85
       )
     ) * 100,
     ""
   )
)</f>
        <v/>
      </c>
      <c r="AE175" s="1" t="str" cm="1">
        <f t="array" ref="AE175">IF(
   SUMPRODUCT(($C$9:$G$9="CO5")*ISNUMBER($C$10:$G$10)*ISNUMBER(C175:G175)) +
   SUMPRODUCT(($H$9:$Z$9="CO5")*ISNUMBER($H$10:$Z$10)*ISNUMBER(H175:Z175)) = 0,
   "",
   IFERROR(
     (
       IF(
         SUMPRODUCT(($C$9:$G$9="CO5")*ISNUMBER($C$10:$G$10)*ISNUMBER(C175:G175)) = 0,
         0,
         SUMPRODUCT(($C$9:$G$9="CO5")*ISNUMBER($C$10:$G$10)*ISNUMBER(C175:G175)*C175:G175) /
         SUMPRODUCT(($C$9:$G$9="CO5")*ISNUMBER($C$10:$G$10)*ISNUMBER(C175:G175)*$C$10:$G$10) * 0.15
       ) +
       IF(
         SUMPRODUCT(($H$9:$Z$9="CO5")*ISNUMBER($H$10:$Z$10)*ISNUMBER(H175:Z175)) = 0,
         0,
         SUMPRODUCT(($H$9:$Z$9="CO5")*ISNUMBER($H$10:$Z$10)*ISNUMBER(H175:Z175)*H175:Z175) /
         SUMPRODUCT(($H$9:$Z$9="CO5")*ISNUMBER($H$10:$Z$10)*ISNUMBER(H175:Z175)*$H$10:$Z$10) * 0.85
       )
     ) * 100,
     ""
   )
)</f>
        <v/>
      </c>
      <c r="AF175" s="1" t="str" cm="1">
        <f t="array" ref="AF175">IF(
   SUMPRODUCT(($C$9:$G$9="CO6")*ISNUMBER($C$10:$G$10)*ISNUMBER(C175:G175)) +
   SUMPRODUCT(($H$9:$Z$9="CO6")*ISNUMBER($H$10:$Z$10)*ISNUMBER(H175:Z175)) = 0,
   "",
   IFERROR(
     (
       IF(
         SUMPRODUCT(($C$9:$G$9="CO6")*ISNUMBER($C$10:$G$10)*ISNUMBER(C175:G175)) = 0,
         0,
         SUMPRODUCT(($C$9:$G$9="CO6")*ISNUMBER($C$10:$G$10)*ISNUMBER(C175:G175)*C175:G175) /
         SUMPRODUCT(($C$9:$G$9="CO6")*ISNUMBER($C$10:$G$10)*ISNUMBER(C175:G175)*$C$10:$G$10) * 0.15
       ) +
       IF(
         SUMPRODUCT(($H$9:$Z$9="CO6")*ISNUMBER($H$10:$Z$10)*ISNUMBER(H175:Z175)) = 0,
         0,
         SUMPRODUCT(($H$9:$Z$9="CO6")*ISNUMBER($H$10:$Z$10)*ISNUMBER(H175:Z175)*H175:Z175) /
         SUMPRODUCT(($H$9:$Z$9="CO6")*ISNUMBER($H$10:$Z$10)*ISNUMBER(H175:Z175)*$H$10:$Z$10) * 0.85
       )
     ) * 100,
     ""
   )
)</f>
        <v/>
      </c>
      <c r="AG175" s="1" t="str" cm="1">
        <f t="array" ref="AG175">IF(
   SUMPRODUCT(($C$9:$G$9="CO7")*ISNUMBER($C$10:$G$10)*ISNUMBER(C175:G175)) +
   SUMPRODUCT(($H$9:$Z$9="CO7")*ISNUMBER($H$10:$Z$10)*ISNUMBER(H175:Z175)) = 0,
   "",
   IFERROR(
     (
       IF(
         SUMPRODUCT(($C$9:$G$9="CO7")*ISNUMBER($C$10:$G$10)*ISNUMBER(C175:G175)) = 0,
         0,
         SUMPRODUCT(($C$9:$G$9="CO7")*ISNUMBER($C$10:$G$10)*ISNUMBER(C175:G175)*C175:G175) /
         SUMPRODUCT(($C$9:$G$9="CO7")*ISNUMBER($C$10:$G$10)*ISNUMBER(C175:G175)*$C$10:$G$10) * 0.15
       ) +
       IF(
         SUMPRODUCT(($H$9:$Z$9="CO7")*ISNUMBER($H$10:$Z$10)*ISNUMBER(H175:Z175)) = 0,
         0,
         SUMPRODUCT(($H$9:$Z$9="CO7")*ISNUMBER($H$10:$Z$10)*ISNUMBER(H175:Z175)*H175:Z175) /
         SUMPRODUCT(($H$9:$Z$9="CO7")*ISNUMBER($H$10:$Z$10)*ISNUMBER(H175:Z175)*$H$10:$Z$10) * 0.85
       )
     ) * 100,
     ""
   )
)</f>
        <v/>
      </c>
      <c r="AH175" s="3" t="str" cm="1">
        <f t="array" ref="AH175">IF(
   SUMPRODUCT(($C$9:$G$9="CO8")*ISNUMBER($C$10:$G$10)*ISNUMBER(C175:G175)) +
   SUMPRODUCT(($H$9:$Z$9="CO8")*ISNUMBER($H$10:$Z$10)*ISNUMBER(H175:Z175)) = 0,
   "",
   IFERROR(
     (
       IF(
         SUMPRODUCT(($C$9:$G$9="CO8")*ISNUMBER($C$10:$G$10)*ISNUMBER(C175:G175)) = 0,
         0,
         SUMPRODUCT(($C$9:$G$9="CO8")*ISNUMBER($C$10:$G$10)*ISNUMBER(C175:G175)*C175:G175) /
         SUMPRODUCT(($C$9:$G$9="CO8")*ISNUMBER($C$10:$G$10)*ISNUMBER(C175:G175)*$C$10:$G$10) * 0.15
       ) +
       IF(
         SUMPRODUCT(($H$9:$Z$9="CO8")*ISNUMBER($H$10:$Z$10)*ISNUMBER(H175:Z175)) = 0,
         0,
         SUMPRODUCT(($H$9:$Z$9="CO8")*ISNUMBER($H$10:$Z$10)*ISNUMBER(H175:Z175)*H175:Z175) /
         SUMPRODUCT(($H$9:$Z$9="CO8")*ISNUMBER($H$10:$Z$10)*ISNUMBER(H175:Z175)*$H$10:$Z$10) * 0.85
       )
     ) * 100,
     ""
   )
)</f>
        <v/>
      </c>
      <c r="AI175" s="1" t="str">
        <f t="shared" si="18"/>
        <v/>
      </c>
      <c r="AJ175" s="1" t="str">
        <f t="shared" si="18"/>
        <v/>
      </c>
      <c r="AK175" s="1" t="str">
        <f t="shared" si="18"/>
        <v/>
      </c>
      <c r="AL175" s="1" t="str">
        <f t="shared" si="18"/>
        <v/>
      </c>
      <c r="AM175" s="1" t="str">
        <f t="shared" si="18"/>
        <v/>
      </c>
      <c r="AN175" s="1" t="str">
        <f t="shared" si="18"/>
        <v/>
      </c>
      <c r="AO175" s="1" t="str">
        <f t="shared" si="18"/>
        <v/>
      </c>
      <c r="AP175" s="1" t="str">
        <f t="shared" si="18"/>
        <v/>
      </c>
    </row>
    <row r="176" spans="1:42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" t="str" cm="1">
        <f t="array" ref="AA176">IF(
   SUMPRODUCT(($C$9:$G$9="CO1")*ISNUMBER($C$10:$G$10)*ISNUMBER(C176:G176)) +
   SUMPRODUCT(($H$9:$Z$9="CO1")*ISNUMBER($H$10:$Z$10)*ISNUMBER(H176:Z176)) = 0,
   "",
   IFERROR(
     (
       IF(
         SUMPRODUCT(($C$9:$G$9="CO1")*ISNUMBER($C$10:$G$10)*ISNUMBER(C176:G176)) = 0,
         0,
         SUMPRODUCT(($C$9:$G$9="CO1")*ISNUMBER($C$10:$G$10)*ISNUMBER(C176:G176)*C176:G176) /
         SUMPRODUCT(($C$9:$G$9="CO1")*ISNUMBER($C$10:$G$10)*ISNUMBER(C176:G176)*$C$10:$G$10) * 0.15
       ) +
       IF(
         SUMPRODUCT(($H$9:$Z$9="CO1")*ISNUMBER($H$10:$Z$10)*ISNUMBER(H176:Z176)) = 0,
         0,
         SUMPRODUCT(($H$9:$Z$9="CO1")*ISNUMBER($H$10:$Z$10)*ISNUMBER(H176:Z176)*H176:Z176) /
         SUMPRODUCT(($H$9:$Z$9="CO1")*ISNUMBER($H$10:$Z$10)*ISNUMBER(H176:Z176)*$H$10:$Z$10) * 0.85
       )
     ) * 100,
     ""
   )
)</f>
        <v/>
      </c>
      <c r="AB176" s="1" t="str" cm="1">
        <f t="array" ref="AB176">IF(
   SUMPRODUCT(($C$9:$G$9="CO2")*ISNUMBER($C$10:$G$10)*ISNUMBER(C176:G176)) +
   SUMPRODUCT(($H$9:$Z$9="CO2")*ISNUMBER($H$10:$Z$10)*ISNUMBER(H176:Z176)) = 0,
   "",
   IFERROR(
     (
       IF(
         SUMPRODUCT(($C$9:$G$9="CO2")*ISNUMBER($C$10:$G$10)*ISNUMBER(C176:G176)) = 0,
         0,
         SUMPRODUCT(($C$9:$G$9="CO2")*ISNUMBER($C$10:$G$10)*ISNUMBER(C176:G176)*C176:G176) /
         SUMPRODUCT(($C$9:$G$9="CO2")*ISNUMBER($C$10:$G$10)*ISNUMBER(C176:G176)*$C$10:$G$10) * 0.15
       ) +
       IF(
         SUMPRODUCT(($H$9:$Z$9="CO2")*ISNUMBER($H$10:$Z$10)*ISNUMBER(H176:Z176)) = 0,
         0,
         SUMPRODUCT(($H$9:$Z$9="CO2")*ISNUMBER($H$10:$Z$10)*ISNUMBER(H176:Z176)*H176:Z176) /
         SUMPRODUCT(($H$9:$Z$9="CO2")*ISNUMBER($H$10:$Z$10)*ISNUMBER(H176:Z176)*$H$10:$Z$10) * 0.85
       )
     ) * 100,
     ""
   )
)</f>
        <v/>
      </c>
      <c r="AC176" s="1" t="str" cm="1">
        <f t="array" ref="AC176">IF(
   SUMPRODUCT(($C$9:$G$9="CO3")*ISNUMBER($C$10:$G$10)*ISNUMBER(C176:G176)) +
   SUMPRODUCT(($H$9:$Z$9="CO3")*ISNUMBER($H$10:$Z$10)*ISNUMBER(H176:Z176)) = 0,
   "",
   IFERROR(
     (
       IF(
         SUMPRODUCT(($C$9:$G$9="CO3")*ISNUMBER($C$10:$G$10)*ISNUMBER(C176:G176)) = 0,
         0,
         SUMPRODUCT(($C$9:$G$9="CO3")*ISNUMBER($C$10:$G$10)*ISNUMBER(C176:G176)*C176:G176) /
         SUMPRODUCT(($C$9:$G$9="CO3")*ISNUMBER($C$10:$G$10)*ISNUMBER(C176:G176)*$C$10:$G$10) * 0.15
       ) +
       IF(
         SUMPRODUCT(($H$9:$Z$9="CO3")*ISNUMBER($H$10:$Z$10)*ISNUMBER(H176:Z176)) = 0,
         0,
         SUMPRODUCT(($H$9:$Z$9="CO3")*ISNUMBER($H$10:$Z$10)*ISNUMBER(H176:Z176)*H176:Z176) /
         SUMPRODUCT(($H$9:$Z$9="CO3")*ISNUMBER($H$10:$Z$10)*ISNUMBER(H176:Z176)*$H$10:$Z$10) * 0.85
       )
     ) * 100,
     ""
   )
)</f>
        <v/>
      </c>
      <c r="AD176" s="1" t="str" cm="1">
        <f t="array" ref="AD176">IF(
   SUMPRODUCT(($C$9:$G$9="CO4")*ISNUMBER($C$10:$G$10)*ISNUMBER(C176:G176)) +
   SUMPRODUCT(($H$9:$Z$9="CO4")*ISNUMBER($H$10:$Z$10)*ISNUMBER(H176:Z176)) = 0,
   "",
   IFERROR(
     (
       IF(
         SUMPRODUCT(($C$9:$G$9="CO4")*ISNUMBER($C$10:$G$10)*ISNUMBER(C176:G176)) = 0,
         0,
         SUMPRODUCT(($C$9:$G$9="CO4")*ISNUMBER($C$10:$G$10)*ISNUMBER(C176:G176)*C176:G176) /
         SUMPRODUCT(($C$9:$G$9="CO4")*ISNUMBER($C$10:$G$10)*ISNUMBER(C176:G176)*$C$10:$G$10) * 0.15
       ) +
       IF(
         SUMPRODUCT(($H$9:$Z$9="CO4")*ISNUMBER($H$10:$Z$10)*ISNUMBER(H176:Z176)) = 0,
         0,
         SUMPRODUCT(($H$9:$Z$9="CO4")*ISNUMBER($H$10:$Z$10)*ISNUMBER(H176:Z176)*H176:Z176) /
         SUMPRODUCT(($H$9:$Z$9="CO4")*ISNUMBER($H$10:$Z$10)*ISNUMBER(H176:Z176)*$H$10:$Z$10) * 0.85
       )
     ) * 100,
     ""
   )
)</f>
        <v/>
      </c>
      <c r="AE176" s="1" t="str" cm="1">
        <f t="array" ref="AE176">IF(
   SUMPRODUCT(($C$9:$G$9="CO5")*ISNUMBER($C$10:$G$10)*ISNUMBER(C176:G176)) +
   SUMPRODUCT(($H$9:$Z$9="CO5")*ISNUMBER($H$10:$Z$10)*ISNUMBER(H176:Z176)) = 0,
   "",
   IFERROR(
     (
       IF(
         SUMPRODUCT(($C$9:$G$9="CO5")*ISNUMBER($C$10:$G$10)*ISNUMBER(C176:G176)) = 0,
         0,
         SUMPRODUCT(($C$9:$G$9="CO5")*ISNUMBER($C$10:$G$10)*ISNUMBER(C176:G176)*C176:G176) /
         SUMPRODUCT(($C$9:$G$9="CO5")*ISNUMBER($C$10:$G$10)*ISNUMBER(C176:G176)*$C$10:$G$10) * 0.15
       ) +
       IF(
         SUMPRODUCT(($H$9:$Z$9="CO5")*ISNUMBER($H$10:$Z$10)*ISNUMBER(H176:Z176)) = 0,
         0,
         SUMPRODUCT(($H$9:$Z$9="CO5")*ISNUMBER($H$10:$Z$10)*ISNUMBER(H176:Z176)*H176:Z176) /
         SUMPRODUCT(($H$9:$Z$9="CO5")*ISNUMBER($H$10:$Z$10)*ISNUMBER(H176:Z176)*$H$10:$Z$10) * 0.85
       )
     ) * 100,
     ""
   )
)</f>
        <v/>
      </c>
      <c r="AF176" s="1" t="str" cm="1">
        <f t="array" ref="AF176">IF(
   SUMPRODUCT(($C$9:$G$9="CO6")*ISNUMBER($C$10:$G$10)*ISNUMBER(C176:G176)) +
   SUMPRODUCT(($H$9:$Z$9="CO6")*ISNUMBER($H$10:$Z$10)*ISNUMBER(H176:Z176)) = 0,
   "",
   IFERROR(
     (
       IF(
         SUMPRODUCT(($C$9:$G$9="CO6")*ISNUMBER($C$10:$G$10)*ISNUMBER(C176:G176)) = 0,
         0,
         SUMPRODUCT(($C$9:$G$9="CO6")*ISNUMBER($C$10:$G$10)*ISNUMBER(C176:G176)*C176:G176) /
         SUMPRODUCT(($C$9:$G$9="CO6")*ISNUMBER($C$10:$G$10)*ISNUMBER(C176:G176)*$C$10:$G$10) * 0.15
       ) +
       IF(
         SUMPRODUCT(($H$9:$Z$9="CO6")*ISNUMBER($H$10:$Z$10)*ISNUMBER(H176:Z176)) = 0,
         0,
         SUMPRODUCT(($H$9:$Z$9="CO6")*ISNUMBER($H$10:$Z$10)*ISNUMBER(H176:Z176)*H176:Z176) /
         SUMPRODUCT(($H$9:$Z$9="CO6")*ISNUMBER($H$10:$Z$10)*ISNUMBER(H176:Z176)*$H$10:$Z$10) * 0.85
       )
     ) * 100,
     ""
   )
)</f>
        <v/>
      </c>
      <c r="AG176" s="1" t="str" cm="1">
        <f t="array" ref="AG176">IF(
   SUMPRODUCT(($C$9:$G$9="CO7")*ISNUMBER($C$10:$G$10)*ISNUMBER(C176:G176)) +
   SUMPRODUCT(($H$9:$Z$9="CO7")*ISNUMBER($H$10:$Z$10)*ISNUMBER(H176:Z176)) = 0,
   "",
   IFERROR(
     (
       IF(
         SUMPRODUCT(($C$9:$G$9="CO7")*ISNUMBER($C$10:$G$10)*ISNUMBER(C176:G176)) = 0,
         0,
         SUMPRODUCT(($C$9:$G$9="CO7")*ISNUMBER($C$10:$G$10)*ISNUMBER(C176:G176)*C176:G176) /
         SUMPRODUCT(($C$9:$G$9="CO7")*ISNUMBER($C$10:$G$10)*ISNUMBER(C176:G176)*$C$10:$G$10) * 0.15
       ) +
       IF(
         SUMPRODUCT(($H$9:$Z$9="CO7")*ISNUMBER($H$10:$Z$10)*ISNUMBER(H176:Z176)) = 0,
         0,
         SUMPRODUCT(($H$9:$Z$9="CO7")*ISNUMBER($H$10:$Z$10)*ISNUMBER(H176:Z176)*H176:Z176) /
         SUMPRODUCT(($H$9:$Z$9="CO7")*ISNUMBER($H$10:$Z$10)*ISNUMBER(H176:Z176)*$H$10:$Z$10) * 0.85
       )
     ) * 100,
     ""
   )
)</f>
        <v/>
      </c>
      <c r="AH176" s="3" t="str" cm="1">
        <f t="array" ref="AH176">IF(
   SUMPRODUCT(($C$9:$G$9="CO8")*ISNUMBER($C$10:$G$10)*ISNUMBER(C176:G176)) +
   SUMPRODUCT(($H$9:$Z$9="CO8")*ISNUMBER($H$10:$Z$10)*ISNUMBER(H176:Z176)) = 0,
   "",
   IFERROR(
     (
       IF(
         SUMPRODUCT(($C$9:$G$9="CO8")*ISNUMBER($C$10:$G$10)*ISNUMBER(C176:G176)) = 0,
         0,
         SUMPRODUCT(($C$9:$G$9="CO8")*ISNUMBER($C$10:$G$10)*ISNUMBER(C176:G176)*C176:G176) /
         SUMPRODUCT(($C$9:$G$9="CO8")*ISNUMBER($C$10:$G$10)*ISNUMBER(C176:G176)*$C$10:$G$10) * 0.15
       ) +
       IF(
         SUMPRODUCT(($H$9:$Z$9="CO8")*ISNUMBER($H$10:$Z$10)*ISNUMBER(H176:Z176)) = 0,
         0,
         SUMPRODUCT(($H$9:$Z$9="CO8")*ISNUMBER($H$10:$Z$10)*ISNUMBER(H176:Z176)*H176:Z176) /
         SUMPRODUCT(($H$9:$Z$9="CO8")*ISNUMBER($H$10:$Z$10)*ISNUMBER(H176:Z176)*$H$10:$Z$10) * 0.85
       )
     ) * 100,
     ""
   )
)</f>
        <v/>
      </c>
      <c r="AI176" s="1" t="str">
        <f t="shared" si="18"/>
        <v/>
      </c>
      <c r="AJ176" s="1" t="str">
        <f t="shared" si="18"/>
        <v/>
      </c>
      <c r="AK176" s="1" t="str">
        <f t="shared" si="18"/>
        <v/>
      </c>
      <c r="AL176" s="1" t="str">
        <f t="shared" si="18"/>
        <v/>
      </c>
      <c r="AM176" s="1" t="str">
        <f t="shared" si="18"/>
        <v/>
      </c>
      <c r="AN176" s="1" t="str">
        <f t="shared" si="18"/>
        <v/>
      </c>
      <c r="AO176" s="1" t="str">
        <f t="shared" si="18"/>
        <v/>
      </c>
      <c r="AP176" s="1" t="str">
        <f t="shared" si="18"/>
        <v/>
      </c>
    </row>
    <row r="177" spans="1:42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" t="str" cm="1">
        <f t="array" ref="AA177">IF(
   SUMPRODUCT(($C$9:$G$9="CO1")*ISNUMBER($C$10:$G$10)*ISNUMBER(C177:G177)) +
   SUMPRODUCT(($H$9:$Z$9="CO1")*ISNUMBER($H$10:$Z$10)*ISNUMBER(H177:Z177)) = 0,
   "",
   IFERROR(
     (
       IF(
         SUMPRODUCT(($C$9:$G$9="CO1")*ISNUMBER($C$10:$G$10)*ISNUMBER(C177:G177)) = 0,
         0,
         SUMPRODUCT(($C$9:$G$9="CO1")*ISNUMBER($C$10:$G$10)*ISNUMBER(C177:G177)*C177:G177) /
         SUMPRODUCT(($C$9:$G$9="CO1")*ISNUMBER($C$10:$G$10)*ISNUMBER(C177:G177)*$C$10:$G$10) * 0.15
       ) +
       IF(
         SUMPRODUCT(($H$9:$Z$9="CO1")*ISNUMBER($H$10:$Z$10)*ISNUMBER(H177:Z177)) = 0,
         0,
         SUMPRODUCT(($H$9:$Z$9="CO1")*ISNUMBER($H$10:$Z$10)*ISNUMBER(H177:Z177)*H177:Z177) /
         SUMPRODUCT(($H$9:$Z$9="CO1")*ISNUMBER($H$10:$Z$10)*ISNUMBER(H177:Z177)*$H$10:$Z$10) * 0.85
       )
     ) * 100,
     ""
   )
)</f>
        <v/>
      </c>
      <c r="AB177" s="1" t="str" cm="1">
        <f t="array" ref="AB177">IF(
   SUMPRODUCT(($C$9:$G$9="CO2")*ISNUMBER($C$10:$G$10)*ISNUMBER(C177:G177)) +
   SUMPRODUCT(($H$9:$Z$9="CO2")*ISNUMBER($H$10:$Z$10)*ISNUMBER(H177:Z177)) = 0,
   "",
   IFERROR(
     (
       IF(
         SUMPRODUCT(($C$9:$G$9="CO2")*ISNUMBER($C$10:$G$10)*ISNUMBER(C177:G177)) = 0,
         0,
         SUMPRODUCT(($C$9:$G$9="CO2")*ISNUMBER($C$10:$G$10)*ISNUMBER(C177:G177)*C177:G177) /
         SUMPRODUCT(($C$9:$G$9="CO2")*ISNUMBER($C$10:$G$10)*ISNUMBER(C177:G177)*$C$10:$G$10) * 0.15
       ) +
       IF(
         SUMPRODUCT(($H$9:$Z$9="CO2")*ISNUMBER($H$10:$Z$10)*ISNUMBER(H177:Z177)) = 0,
         0,
         SUMPRODUCT(($H$9:$Z$9="CO2")*ISNUMBER($H$10:$Z$10)*ISNUMBER(H177:Z177)*H177:Z177) /
         SUMPRODUCT(($H$9:$Z$9="CO2")*ISNUMBER($H$10:$Z$10)*ISNUMBER(H177:Z177)*$H$10:$Z$10) * 0.85
       )
     ) * 100,
     ""
   )
)</f>
        <v/>
      </c>
      <c r="AC177" s="1" t="str" cm="1">
        <f t="array" ref="AC177">IF(
   SUMPRODUCT(($C$9:$G$9="CO3")*ISNUMBER($C$10:$G$10)*ISNUMBER(C177:G177)) +
   SUMPRODUCT(($H$9:$Z$9="CO3")*ISNUMBER($H$10:$Z$10)*ISNUMBER(H177:Z177)) = 0,
   "",
   IFERROR(
     (
       IF(
         SUMPRODUCT(($C$9:$G$9="CO3")*ISNUMBER($C$10:$G$10)*ISNUMBER(C177:G177)) = 0,
         0,
         SUMPRODUCT(($C$9:$G$9="CO3")*ISNUMBER($C$10:$G$10)*ISNUMBER(C177:G177)*C177:G177) /
         SUMPRODUCT(($C$9:$G$9="CO3")*ISNUMBER($C$10:$G$10)*ISNUMBER(C177:G177)*$C$10:$G$10) * 0.15
       ) +
       IF(
         SUMPRODUCT(($H$9:$Z$9="CO3")*ISNUMBER($H$10:$Z$10)*ISNUMBER(H177:Z177)) = 0,
         0,
         SUMPRODUCT(($H$9:$Z$9="CO3")*ISNUMBER($H$10:$Z$10)*ISNUMBER(H177:Z177)*H177:Z177) /
         SUMPRODUCT(($H$9:$Z$9="CO3")*ISNUMBER($H$10:$Z$10)*ISNUMBER(H177:Z177)*$H$10:$Z$10) * 0.85
       )
     ) * 100,
     ""
   )
)</f>
        <v/>
      </c>
      <c r="AD177" s="1" t="str" cm="1">
        <f t="array" ref="AD177">IF(
   SUMPRODUCT(($C$9:$G$9="CO4")*ISNUMBER($C$10:$G$10)*ISNUMBER(C177:G177)) +
   SUMPRODUCT(($H$9:$Z$9="CO4")*ISNUMBER($H$10:$Z$10)*ISNUMBER(H177:Z177)) = 0,
   "",
   IFERROR(
     (
       IF(
         SUMPRODUCT(($C$9:$G$9="CO4")*ISNUMBER($C$10:$G$10)*ISNUMBER(C177:G177)) = 0,
         0,
         SUMPRODUCT(($C$9:$G$9="CO4")*ISNUMBER($C$10:$G$10)*ISNUMBER(C177:G177)*C177:G177) /
         SUMPRODUCT(($C$9:$G$9="CO4")*ISNUMBER($C$10:$G$10)*ISNUMBER(C177:G177)*$C$10:$G$10) * 0.15
       ) +
       IF(
         SUMPRODUCT(($H$9:$Z$9="CO4")*ISNUMBER($H$10:$Z$10)*ISNUMBER(H177:Z177)) = 0,
         0,
         SUMPRODUCT(($H$9:$Z$9="CO4")*ISNUMBER($H$10:$Z$10)*ISNUMBER(H177:Z177)*H177:Z177) /
         SUMPRODUCT(($H$9:$Z$9="CO4")*ISNUMBER($H$10:$Z$10)*ISNUMBER(H177:Z177)*$H$10:$Z$10) * 0.85
       )
     ) * 100,
     ""
   )
)</f>
        <v/>
      </c>
      <c r="AE177" s="1" t="str" cm="1">
        <f t="array" ref="AE177">IF(
   SUMPRODUCT(($C$9:$G$9="CO5")*ISNUMBER($C$10:$G$10)*ISNUMBER(C177:G177)) +
   SUMPRODUCT(($H$9:$Z$9="CO5")*ISNUMBER($H$10:$Z$10)*ISNUMBER(H177:Z177)) = 0,
   "",
   IFERROR(
     (
       IF(
         SUMPRODUCT(($C$9:$G$9="CO5")*ISNUMBER($C$10:$G$10)*ISNUMBER(C177:G177)) = 0,
         0,
         SUMPRODUCT(($C$9:$G$9="CO5")*ISNUMBER($C$10:$G$10)*ISNUMBER(C177:G177)*C177:G177) /
         SUMPRODUCT(($C$9:$G$9="CO5")*ISNUMBER($C$10:$G$10)*ISNUMBER(C177:G177)*$C$10:$G$10) * 0.15
       ) +
       IF(
         SUMPRODUCT(($H$9:$Z$9="CO5")*ISNUMBER($H$10:$Z$10)*ISNUMBER(H177:Z177)) = 0,
         0,
         SUMPRODUCT(($H$9:$Z$9="CO5")*ISNUMBER($H$10:$Z$10)*ISNUMBER(H177:Z177)*H177:Z177) /
         SUMPRODUCT(($H$9:$Z$9="CO5")*ISNUMBER($H$10:$Z$10)*ISNUMBER(H177:Z177)*$H$10:$Z$10) * 0.85
       )
     ) * 100,
     ""
   )
)</f>
        <v/>
      </c>
      <c r="AF177" s="1" t="str" cm="1">
        <f t="array" ref="AF177">IF(
   SUMPRODUCT(($C$9:$G$9="CO6")*ISNUMBER($C$10:$G$10)*ISNUMBER(C177:G177)) +
   SUMPRODUCT(($H$9:$Z$9="CO6")*ISNUMBER($H$10:$Z$10)*ISNUMBER(H177:Z177)) = 0,
   "",
   IFERROR(
     (
       IF(
         SUMPRODUCT(($C$9:$G$9="CO6")*ISNUMBER($C$10:$G$10)*ISNUMBER(C177:G177)) = 0,
         0,
         SUMPRODUCT(($C$9:$G$9="CO6")*ISNUMBER($C$10:$G$10)*ISNUMBER(C177:G177)*C177:G177) /
         SUMPRODUCT(($C$9:$G$9="CO6")*ISNUMBER($C$10:$G$10)*ISNUMBER(C177:G177)*$C$10:$G$10) * 0.15
       ) +
       IF(
         SUMPRODUCT(($H$9:$Z$9="CO6")*ISNUMBER($H$10:$Z$10)*ISNUMBER(H177:Z177)) = 0,
         0,
         SUMPRODUCT(($H$9:$Z$9="CO6")*ISNUMBER($H$10:$Z$10)*ISNUMBER(H177:Z177)*H177:Z177) /
         SUMPRODUCT(($H$9:$Z$9="CO6")*ISNUMBER($H$10:$Z$10)*ISNUMBER(H177:Z177)*$H$10:$Z$10) * 0.85
       )
     ) * 100,
     ""
   )
)</f>
        <v/>
      </c>
      <c r="AG177" s="1" t="str" cm="1">
        <f t="array" ref="AG177">IF(
   SUMPRODUCT(($C$9:$G$9="CO7")*ISNUMBER($C$10:$G$10)*ISNUMBER(C177:G177)) +
   SUMPRODUCT(($H$9:$Z$9="CO7")*ISNUMBER($H$10:$Z$10)*ISNUMBER(H177:Z177)) = 0,
   "",
   IFERROR(
     (
       IF(
         SUMPRODUCT(($C$9:$G$9="CO7")*ISNUMBER($C$10:$G$10)*ISNUMBER(C177:G177)) = 0,
         0,
         SUMPRODUCT(($C$9:$G$9="CO7")*ISNUMBER($C$10:$G$10)*ISNUMBER(C177:G177)*C177:G177) /
         SUMPRODUCT(($C$9:$G$9="CO7")*ISNUMBER($C$10:$G$10)*ISNUMBER(C177:G177)*$C$10:$G$10) * 0.15
       ) +
       IF(
         SUMPRODUCT(($H$9:$Z$9="CO7")*ISNUMBER($H$10:$Z$10)*ISNUMBER(H177:Z177)) = 0,
         0,
         SUMPRODUCT(($H$9:$Z$9="CO7")*ISNUMBER($H$10:$Z$10)*ISNUMBER(H177:Z177)*H177:Z177) /
         SUMPRODUCT(($H$9:$Z$9="CO7")*ISNUMBER($H$10:$Z$10)*ISNUMBER(H177:Z177)*$H$10:$Z$10) * 0.85
       )
     ) * 100,
     ""
   )
)</f>
        <v/>
      </c>
      <c r="AH177" s="3" t="str" cm="1">
        <f t="array" ref="AH177">IF(
   SUMPRODUCT(($C$9:$G$9="CO8")*ISNUMBER($C$10:$G$10)*ISNUMBER(C177:G177)) +
   SUMPRODUCT(($H$9:$Z$9="CO8")*ISNUMBER($H$10:$Z$10)*ISNUMBER(H177:Z177)) = 0,
   "",
   IFERROR(
     (
       IF(
         SUMPRODUCT(($C$9:$G$9="CO8")*ISNUMBER($C$10:$G$10)*ISNUMBER(C177:G177)) = 0,
         0,
         SUMPRODUCT(($C$9:$G$9="CO8")*ISNUMBER($C$10:$G$10)*ISNUMBER(C177:G177)*C177:G177) /
         SUMPRODUCT(($C$9:$G$9="CO8")*ISNUMBER($C$10:$G$10)*ISNUMBER(C177:G177)*$C$10:$G$10) * 0.15
       ) +
       IF(
         SUMPRODUCT(($H$9:$Z$9="CO8")*ISNUMBER($H$10:$Z$10)*ISNUMBER(H177:Z177)) = 0,
         0,
         SUMPRODUCT(($H$9:$Z$9="CO8")*ISNUMBER($H$10:$Z$10)*ISNUMBER(H177:Z177)*H177:Z177) /
         SUMPRODUCT(($H$9:$Z$9="CO8")*ISNUMBER($H$10:$Z$10)*ISNUMBER(H177:Z177)*$H$10:$Z$10) * 0.85
       )
     ) * 100,
     ""
   )
)</f>
        <v/>
      </c>
      <c r="AI177" s="1" t="str">
        <f t="shared" si="18"/>
        <v/>
      </c>
      <c r="AJ177" s="1" t="str">
        <f t="shared" si="18"/>
        <v/>
      </c>
      <c r="AK177" s="1" t="str">
        <f t="shared" si="18"/>
        <v/>
      </c>
      <c r="AL177" s="1" t="str">
        <f t="shared" si="18"/>
        <v/>
      </c>
      <c r="AM177" s="1" t="str">
        <f t="shared" si="18"/>
        <v/>
      </c>
      <c r="AN177" s="1" t="str">
        <f t="shared" si="18"/>
        <v/>
      </c>
      <c r="AO177" s="1" t="str">
        <f t="shared" si="18"/>
        <v/>
      </c>
      <c r="AP177" s="1" t="str">
        <f t="shared" si="18"/>
        <v/>
      </c>
    </row>
    <row r="178" spans="1:42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" t="str" cm="1">
        <f t="array" ref="AA178">IF(
   SUMPRODUCT(($C$9:$G$9="CO1")*ISNUMBER($C$10:$G$10)*ISNUMBER(C178:G178)) +
   SUMPRODUCT(($H$9:$Z$9="CO1")*ISNUMBER($H$10:$Z$10)*ISNUMBER(H178:Z178)) = 0,
   "",
   IFERROR(
     (
       IF(
         SUMPRODUCT(($C$9:$G$9="CO1")*ISNUMBER($C$10:$G$10)*ISNUMBER(C178:G178)) = 0,
         0,
         SUMPRODUCT(($C$9:$G$9="CO1")*ISNUMBER($C$10:$G$10)*ISNUMBER(C178:G178)*C178:G178) /
         SUMPRODUCT(($C$9:$G$9="CO1")*ISNUMBER($C$10:$G$10)*ISNUMBER(C178:G178)*$C$10:$G$10) * 0.15
       ) +
       IF(
         SUMPRODUCT(($H$9:$Z$9="CO1")*ISNUMBER($H$10:$Z$10)*ISNUMBER(H178:Z178)) = 0,
         0,
         SUMPRODUCT(($H$9:$Z$9="CO1")*ISNUMBER($H$10:$Z$10)*ISNUMBER(H178:Z178)*H178:Z178) /
         SUMPRODUCT(($H$9:$Z$9="CO1")*ISNUMBER($H$10:$Z$10)*ISNUMBER(H178:Z178)*$H$10:$Z$10) * 0.85
       )
     ) * 100,
     ""
   )
)</f>
        <v/>
      </c>
      <c r="AB178" s="1" t="str" cm="1">
        <f t="array" ref="AB178">IF(
   SUMPRODUCT(($C$9:$G$9="CO2")*ISNUMBER($C$10:$G$10)*ISNUMBER(C178:G178)) +
   SUMPRODUCT(($H$9:$Z$9="CO2")*ISNUMBER($H$10:$Z$10)*ISNUMBER(H178:Z178)) = 0,
   "",
   IFERROR(
     (
       IF(
         SUMPRODUCT(($C$9:$G$9="CO2")*ISNUMBER($C$10:$G$10)*ISNUMBER(C178:G178)) = 0,
         0,
         SUMPRODUCT(($C$9:$G$9="CO2")*ISNUMBER($C$10:$G$10)*ISNUMBER(C178:G178)*C178:G178) /
         SUMPRODUCT(($C$9:$G$9="CO2")*ISNUMBER($C$10:$G$10)*ISNUMBER(C178:G178)*$C$10:$G$10) * 0.15
       ) +
       IF(
         SUMPRODUCT(($H$9:$Z$9="CO2")*ISNUMBER($H$10:$Z$10)*ISNUMBER(H178:Z178)) = 0,
         0,
         SUMPRODUCT(($H$9:$Z$9="CO2")*ISNUMBER($H$10:$Z$10)*ISNUMBER(H178:Z178)*H178:Z178) /
         SUMPRODUCT(($H$9:$Z$9="CO2")*ISNUMBER($H$10:$Z$10)*ISNUMBER(H178:Z178)*$H$10:$Z$10) * 0.85
       )
     ) * 100,
     ""
   )
)</f>
        <v/>
      </c>
      <c r="AC178" s="1" t="str" cm="1">
        <f t="array" ref="AC178">IF(
   SUMPRODUCT(($C$9:$G$9="CO3")*ISNUMBER($C$10:$G$10)*ISNUMBER(C178:G178)) +
   SUMPRODUCT(($H$9:$Z$9="CO3")*ISNUMBER($H$10:$Z$10)*ISNUMBER(H178:Z178)) = 0,
   "",
   IFERROR(
     (
       IF(
         SUMPRODUCT(($C$9:$G$9="CO3")*ISNUMBER($C$10:$G$10)*ISNUMBER(C178:G178)) = 0,
         0,
         SUMPRODUCT(($C$9:$G$9="CO3")*ISNUMBER($C$10:$G$10)*ISNUMBER(C178:G178)*C178:G178) /
         SUMPRODUCT(($C$9:$G$9="CO3")*ISNUMBER($C$10:$G$10)*ISNUMBER(C178:G178)*$C$10:$G$10) * 0.15
       ) +
       IF(
         SUMPRODUCT(($H$9:$Z$9="CO3")*ISNUMBER($H$10:$Z$10)*ISNUMBER(H178:Z178)) = 0,
         0,
         SUMPRODUCT(($H$9:$Z$9="CO3")*ISNUMBER($H$10:$Z$10)*ISNUMBER(H178:Z178)*H178:Z178) /
         SUMPRODUCT(($H$9:$Z$9="CO3")*ISNUMBER($H$10:$Z$10)*ISNUMBER(H178:Z178)*$H$10:$Z$10) * 0.85
       )
     ) * 100,
     ""
   )
)</f>
        <v/>
      </c>
      <c r="AD178" s="1" t="str" cm="1">
        <f t="array" ref="AD178">IF(
   SUMPRODUCT(($C$9:$G$9="CO4")*ISNUMBER($C$10:$G$10)*ISNUMBER(C178:G178)) +
   SUMPRODUCT(($H$9:$Z$9="CO4")*ISNUMBER($H$10:$Z$10)*ISNUMBER(H178:Z178)) = 0,
   "",
   IFERROR(
     (
       IF(
         SUMPRODUCT(($C$9:$G$9="CO4")*ISNUMBER($C$10:$G$10)*ISNUMBER(C178:G178)) = 0,
         0,
         SUMPRODUCT(($C$9:$G$9="CO4")*ISNUMBER($C$10:$G$10)*ISNUMBER(C178:G178)*C178:G178) /
         SUMPRODUCT(($C$9:$G$9="CO4")*ISNUMBER($C$10:$G$10)*ISNUMBER(C178:G178)*$C$10:$G$10) * 0.15
       ) +
       IF(
         SUMPRODUCT(($H$9:$Z$9="CO4")*ISNUMBER($H$10:$Z$10)*ISNUMBER(H178:Z178)) = 0,
         0,
         SUMPRODUCT(($H$9:$Z$9="CO4")*ISNUMBER($H$10:$Z$10)*ISNUMBER(H178:Z178)*H178:Z178) /
         SUMPRODUCT(($H$9:$Z$9="CO4")*ISNUMBER($H$10:$Z$10)*ISNUMBER(H178:Z178)*$H$10:$Z$10) * 0.85
       )
     ) * 100,
     ""
   )
)</f>
        <v/>
      </c>
      <c r="AE178" s="1" t="str" cm="1">
        <f t="array" ref="AE178">IF(
   SUMPRODUCT(($C$9:$G$9="CO5")*ISNUMBER($C$10:$G$10)*ISNUMBER(C178:G178)) +
   SUMPRODUCT(($H$9:$Z$9="CO5")*ISNUMBER($H$10:$Z$10)*ISNUMBER(H178:Z178)) = 0,
   "",
   IFERROR(
     (
       IF(
         SUMPRODUCT(($C$9:$G$9="CO5")*ISNUMBER($C$10:$G$10)*ISNUMBER(C178:G178)) = 0,
         0,
         SUMPRODUCT(($C$9:$G$9="CO5")*ISNUMBER($C$10:$G$10)*ISNUMBER(C178:G178)*C178:G178) /
         SUMPRODUCT(($C$9:$G$9="CO5")*ISNUMBER($C$10:$G$10)*ISNUMBER(C178:G178)*$C$10:$G$10) * 0.15
       ) +
       IF(
         SUMPRODUCT(($H$9:$Z$9="CO5")*ISNUMBER($H$10:$Z$10)*ISNUMBER(H178:Z178)) = 0,
         0,
         SUMPRODUCT(($H$9:$Z$9="CO5")*ISNUMBER($H$10:$Z$10)*ISNUMBER(H178:Z178)*H178:Z178) /
         SUMPRODUCT(($H$9:$Z$9="CO5")*ISNUMBER($H$10:$Z$10)*ISNUMBER(H178:Z178)*$H$10:$Z$10) * 0.85
       )
     ) * 100,
     ""
   )
)</f>
        <v/>
      </c>
      <c r="AF178" s="1" t="str" cm="1">
        <f t="array" ref="AF178">IF(
   SUMPRODUCT(($C$9:$G$9="CO6")*ISNUMBER($C$10:$G$10)*ISNUMBER(C178:G178)) +
   SUMPRODUCT(($H$9:$Z$9="CO6")*ISNUMBER($H$10:$Z$10)*ISNUMBER(H178:Z178)) = 0,
   "",
   IFERROR(
     (
       IF(
         SUMPRODUCT(($C$9:$G$9="CO6")*ISNUMBER($C$10:$G$10)*ISNUMBER(C178:G178)) = 0,
         0,
         SUMPRODUCT(($C$9:$G$9="CO6")*ISNUMBER($C$10:$G$10)*ISNUMBER(C178:G178)*C178:G178) /
         SUMPRODUCT(($C$9:$G$9="CO6")*ISNUMBER($C$10:$G$10)*ISNUMBER(C178:G178)*$C$10:$G$10) * 0.15
       ) +
       IF(
         SUMPRODUCT(($H$9:$Z$9="CO6")*ISNUMBER($H$10:$Z$10)*ISNUMBER(H178:Z178)) = 0,
         0,
         SUMPRODUCT(($H$9:$Z$9="CO6")*ISNUMBER($H$10:$Z$10)*ISNUMBER(H178:Z178)*H178:Z178) /
         SUMPRODUCT(($H$9:$Z$9="CO6")*ISNUMBER($H$10:$Z$10)*ISNUMBER(H178:Z178)*$H$10:$Z$10) * 0.85
       )
     ) * 100,
     ""
   )
)</f>
        <v/>
      </c>
      <c r="AG178" s="1" t="str" cm="1">
        <f t="array" ref="AG178">IF(
   SUMPRODUCT(($C$9:$G$9="CO7")*ISNUMBER($C$10:$G$10)*ISNUMBER(C178:G178)) +
   SUMPRODUCT(($H$9:$Z$9="CO7")*ISNUMBER($H$10:$Z$10)*ISNUMBER(H178:Z178)) = 0,
   "",
   IFERROR(
     (
       IF(
         SUMPRODUCT(($C$9:$G$9="CO7")*ISNUMBER($C$10:$G$10)*ISNUMBER(C178:G178)) = 0,
         0,
         SUMPRODUCT(($C$9:$G$9="CO7")*ISNUMBER($C$10:$G$10)*ISNUMBER(C178:G178)*C178:G178) /
         SUMPRODUCT(($C$9:$G$9="CO7")*ISNUMBER($C$10:$G$10)*ISNUMBER(C178:G178)*$C$10:$G$10) * 0.15
       ) +
       IF(
         SUMPRODUCT(($H$9:$Z$9="CO7")*ISNUMBER($H$10:$Z$10)*ISNUMBER(H178:Z178)) = 0,
         0,
         SUMPRODUCT(($H$9:$Z$9="CO7")*ISNUMBER($H$10:$Z$10)*ISNUMBER(H178:Z178)*H178:Z178) /
         SUMPRODUCT(($H$9:$Z$9="CO7")*ISNUMBER($H$10:$Z$10)*ISNUMBER(H178:Z178)*$H$10:$Z$10) * 0.85
       )
     ) * 100,
     ""
   )
)</f>
        <v/>
      </c>
      <c r="AH178" s="3" t="str" cm="1">
        <f t="array" ref="AH178">IF(
   SUMPRODUCT(($C$9:$G$9="CO8")*ISNUMBER($C$10:$G$10)*ISNUMBER(C178:G178)) +
   SUMPRODUCT(($H$9:$Z$9="CO8")*ISNUMBER($H$10:$Z$10)*ISNUMBER(H178:Z178)) = 0,
   "",
   IFERROR(
     (
       IF(
         SUMPRODUCT(($C$9:$G$9="CO8")*ISNUMBER($C$10:$G$10)*ISNUMBER(C178:G178)) = 0,
         0,
         SUMPRODUCT(($C$9:$G$9="CO8")*ISNUMBER($C$10:$G$10)*ISNUMBER(C178:G178)*C178:G178) /
         SUMPRODUCT(($C$9:$G$9="CO8")*ISNUMBER($C$10:$G$10)*ISNUMBER(C178:G178)*$C$10:$G$10) * 0.15
       ) +
       IF(
         SUMPRODUCT(($H$9:$Z$9="CO8")*ISNUMBER($H$10:$Z$10)*ISNUMBER(H178:Z178)) = 0,
         0,
         SUMPRODUCT(($H$9:$Z$9="CO8")*ISNUMBER($H$10:$Z$10)*ISNUMBER(H178:Z178)*H178:Z178) /
         SUMPRODUCT(($H$9:$Z$9="CO8")*ISNUMBER($H$10:$Z$10)*ISNUMBER(H178:Z178)*$H$10:$Z$10) * 0.85
       )
     ) * 100,
     ""
   )
)</f>
        <v/>
      </c>
      <c r="AI178" s="1" t="str">
        <f t="shared" si="18"/>
        <v/>
      </c>
      <c r="AJ178" s="1" t="str">
        <f t="shared" si="18"/>
        <v/>
      </c>
      <c r="AK178" s="1" t="str">
        <f t="shared" si="18"/>
        <v/>
      </c>
      <c r="AL178" s="1" t="str">
        <f t="shared" si="18"/>
        <v/>
      </c>
      <c r="AM178" s="1" t="str">
        <f t="shared" si="18"/>
        <v/>
      </c>
      <c r="AN178" s="1" t="str">
        <f t="shared" si="18"/>
        <v/>
      </c>
      <c r="AO178" s="1" t="str">
        <f t="shared" si="18"/>
        <v/>
      </c>
      <c r="AP178" s="1" t="str">
        <f t="shared" si="18"/>
        <v/>
      </c>
    </row>
    <row r="179" spans="1:42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" t="str" cm="1">
        <f t="array" ref="AA179">IF(
   SUMPRODUCT(($C$9:$G$9="CO1")*ISNUMBER($C$10:$G$10)*ISNUMBER(C179:G179)) +
   SUMPRODUCT(($H$9:$Z$9="CO1")*ISNUMBER($H$10:$Z$10)*ISNUMBER(H179:Z179)) = 0,
   "",
   IFERROR(
     (
       IF(
         SUMPRODUCT(($C$9:$G$9="CO1")*ISNUMBER($C$10:$G$10)*ISNUMBER(C179:G179)) = 0,
         0,
         SUMPRODUCT(($C$9:$G$9="CO1")*ISNUMBER($C$10:$G$10)*ISNUMBER(C179:G179)*C179:G179) /
         SUMPRODUCT(($C$9:$G$9="CO1")*ISNUMBER($C$10:$G$10)*ISNUMBER(C179:G179)*$C$10:$G$10) * 0.15
       ) +
       IF(
         SUMPRODUCT(($H$9:$Z$9="CO1")*ISNUMBER($H$10:$Z$10)*ISNUMBER(H179:Z179)) = 0,
         0,
         SUMPRODUCT(($H$9:$Z$9="CO1")*ISNUMBER($H$10:$Z$10)*ISNUMBER(H179:Z179)*H179:Z179) /
         SUMPRODUCT(($H$9:$Z$9="CO1")*ISNUMBER($H$10:$Z$10)*ISNUMBER(H179:Z179)*$H$10:$Z$10) * 0.85
       )
     ) * 100,
     ""
   )
)</f>
        <v/>
      </c>
      <c r="AB179" s="1" t="str" cm="1">
        <f t="array" ref="AB179">IF(
   SUMPRODUCT(($C$9:$G$9="CO2")*ISNUMBER($C$10:$G$10)*ISNUMBER(C179:G179)) +
   SUMPRODUCT(($H$9:$Z$9="CO2")*ISNUMBER($H$10:$Z$10)*ISNUMBER(H179:Z179)) = 0,
   "",
   IFERROR(
     (
       IF(
         SUMPRODUCT(($C$9:$G$9="CO2")*ISNUMBER($C$10:$G$10)*ISNUMBER(C179:G179)) = 0,
         0,
         SUMPRODUCT(($C$9:$G$9="CO2")*ISNUMBER($C$10:$G$10)*ISNUMBER(C179:G179)*C179:G179) /
         SUMPRODUCT(($C$9:$G$9="CO2")*ISNUMBER($C$10:$G$10)*ISNUMBER(C179:G179)*$C$10:$G$10) * 0.15
       ) +
       IF(
         SUMPRODUCT(($H$9:$Z$9="CO2")*ISNUMBER($H$10:$Z$10)*ISNUMBER(H179:Z179)) = 0,
         0,
         SUMPRODUCT(($H$9:$Z$9="CO2")*ISNUMBER($H$10:$Z$10)*ISNUMBER(H179:Z179)*H179:Z179) /
         SUMPRODUCT(($H$9:$Z$9="CO2")*ISNUMBER($H$10:$Z$10)*ISNUMBER(H179:Z179)*$H$10:$Z$10) * 0.85
       )
     ) * 100,
     ""
   )
)</f>
        <v/>
      </c>
      <c r="AC179" s="1" t="str" cm="1">
        <f t="array" ref="AC179">IF(
   SUMPRODUCT(($C$9:$G$9="CO3")*ISNUMBER($C$10:$G$10)*ISNUMBER(C179:G179)) +
   SUMPRODUCT(($H$9:$Z$9="CO3")*ISNUMBER($H$10:$Z$10)*ISNUMBER(H179:Z179)) = 0,
   "",
   IFERROR(
     (
       IF(
         SUMPRODUCT(($C$9:$G$9="CO3")*ISNUMBER($C$10:$G$10)*ISNUMBER(C179:G179)) = 0,
         0,
         SUMPRODUCT(($C$9:$G$9="CO3")*ISNUMBER($C$10:$G$10)*ISNUMBER(C179:G179)*C179:G179) /
         SUMPRODUCT(($C$9:$G$9="CO3")*ISNUMBER($C$10:$G$10)*ISNUMBER(C179:G179)*$C$10:$G$10) * 0.15
       ) +
       IF(
         SUMPRODUCT(($H$9:$Z$9="CO3")*ISNUMBER($H$10:$Z$10)*ISNUMBER(H179:Z179)) = 0,
         0,
         SUMPRODUCT(($H$9:$Z$9="CO3")*ISNUMBER($H$10:$Z$10)*ISNUMBER(H179:Z179)*H179:Z179) /
         SUMPRODUCT(($H$9:$Z$9="CO3")*ISNUMBER($H$10:$Z$10)*ISNUMBER(H179:Z179)*$H$10:$Z$10) * 0.85
       )
     ) * 100,
     ""
   )
)</f>
        <v/>
      </c>
      <c r="AD179" s="1" t="str" cm="1">
        <f t="array" ref="AD179">IF(
   SUMPRODUCT(($C$9:$G$9="CO4")*ISNUMBER($C$10:$G$10)*ISNUMBER(C179:G179)) +
   SUMPRODUCT(($H$9:$Z$9="CO4")*ISNUMBER($H$10:$Z$10)*ISNUMBER(H179:Z179)) = 0,
   "",
   IFERROR(
     (
       IF(
         SUMPRODUCT(($C$9:$G$9="CO4")*ISNUMBER($C$10:$G$10)*ISNUMBER(C179:G179)) = 0,
         0,
         SUMPRODUCT(($C$9:$G$9="CO4")*ISNUMBER($C$10:$G$10)*ISNUMBER(C179:G179)*C179:G179) /
         SUMPRODUCT(($C$9:$G$9="CO4")*ISNUMBER($C$10:$G$10)*ISNUMBER(C179:G179)*$C$10:$G$10) * 0.15
       ) +
       IF(
         SUMPRODUCT(($H$9:$Z$9="CO4")*ISNUMBER($H$10:$Z$10)*ISNUMBER(H179:Z179)) = 0,
         0,
         SUMPRODUCT(($H$9:$Z$9="CO4")*ISNUMBER($H$10:$Z$10)*ISNUMBER(H179:Z179)*H179:Z179) /
         SUMPRODUCT(($H$9:$Z$9="CO4")*ISNUMBER($H$10:$Z$10)*ISNUMBER(H179:Z179)*$H$10:$Z$10) * 0.85
       )
     ) * 100,
     ""
   )
)</f>
        <v/>
      </c>
      <c r="AE179" s="1" t="str" cm="1">
        <f t="array" ref="AE179">IF(
   SUMPRODUCT(($C$9:$G$9="CO5")*ISNUMBER($C$10:$G$10)*ISNUMBER(C179:G179)) +
   SUMPRODUCT(($H$9:$Z$9="CO5")*ISNUMBER($H$10:$Z$10)*ISNUMBER(H179:Z179)) = 0,
   "",
   IFERROR(
     (
       IF(
         SUMPRODUCT(($C$9:$G$9="CO5")*ISNUMBER($C$10:$G$10)*ISNUMBER(C179:G179)) = 0,
         0,
         SUMPRODUCT(($C$9:$G$9="CO5")*ISNUMBER($C$10:$G$10)*ISNUMBER(C179:G179)*C179:G179) /
         SUMPRODUCT(($C$9:$G$9="CO5")*ISNUMBER($C$10:$G$10)*ISNUMBER(C179:G179)*$C$10:$G$10) * 0.15
       ) +
       IF(
         SUMPRODUCT(($H$9:$Z$9="CO5")*ISNUMBER($H$10:$Z$10)*ISNUMBER(H179:Z179)) = 0,
         0,
         SUMPRODUCT(($H$9:$Z$9="CO5")*ISNUMBER($H$10:$Z$10)*ISNUMBER(H179:Z179)*H179:Z179) /
         SUMPRODUCT(($H$9:$Z$9="CO5")*ISNUMBER($H$10:$Z$10)*ISNUMBER(H179:Z179)*$H$10:$Z$10) * 0.85
       )
     ) * 100,
     ""
   )
)</f>
        <v/>
      </c>
      <c r="AF179" s="1" t="str" cm="1">
        <f t="array" ref="AF179">IF(
   SUMPRODUCT(($C$9:$G$9="CO6")*ISNUMBER($C$10:$G$10)*ISNUMBER(C179:G179)) +
   SUMPRODUCT(($H$9:$Z$9="CO6")*ISNUMBER($H$10:$Z$10)*ISNUMBER(H179:Z179)) = 0,
   "",
   IFERROR(
     (
       IF(
         SUMPRODUCT(($C$9:$G$9="CO6")*ISNUMBER($C$10:$G$10)*ISNUMBER(C179:G179)) = 0,
         0,
         SUMPRODUCT(($C$9:$G$9="CO6")*ISNUMBER($C$10:$G$10)*ISNUMBER(C179:G179)*C179:G179) /
         SUMPRODUCT(($C$9:$G$9="CO6")*ISNUMBER($C$10:$G$10)*ISNUMBER(C179:G179)*$C$10:$G$10) * 0.15
       ) +
       IF(
         SUMPRODUCT(($H$9:$Z$9="CO6")*ISNUMBER($H$10:$Z$10)*ISNUMBER(H179:Z179)) = 0,
         0,
         SUMPRODUCT(($H$9:$Z$9="CO6")*ISNUMBER($H$10:$Z$10)*ISNUMBER(H179:Z179)*H179:Z179) /
         SUMPRODUCT(($H$9:$Z$9="CO6")*ISNUMBER($H$10:$Z$10)*ISNUMBER(H179:Z179)*$H$10:$Z$10) * 0.85
       )
     ) * 100,
     ""
   )
)</f>
        <v/>
      </c>
      <c r="AG179" s="1" t="str" cm="1">
        <f t="array" ref="AG179">IF(
   SUMPRODUCT(($C$9:$G$9="CO7")*ISNUMBER($C$10:$G$10)*ISNUMBER(C179:G179)) +
   SUMPRODUCT(($H$9:$Z$9="CO7")*ISNUMBER($H$10:$Z$10)*ISNUMBER(H179:Z179)) = 0,
   "",
   IFERROR(
     (
       IF(
         SUMPRODUCT(($C$9:$G$9="CO7")*ISNUMBER($C$10:$G$10)*ISNUMBER(C179:G179)) = 0,
         0,
         SUMPRODUCT(($C$9:$G$9="CO7")*ISNUMBER($C$10:$G$10)*ISNUMBER(C179:G179)*C179:G179) /
         SUMPRODUCT(($C$9:$G$9="CO7")*ISNUMBER($C$10:$G$10)*ISNUMBER(C179:G179)*$C$10:$G$10) * 0.15
       ) +
       IF(
         SUMPRODUCT(($H$9:$Z$9="CO7")*ISNUMBER($H$10:$Z$10)*ISNUMBER(H179:Z179)) = 0,
         0,
         SUMPRODUCT(($H$9:$Z$9="CO7")*ISNUMBER($H$10:$Z$10)*ISNUMBER(H179:Z179)*H179:Z179) /
         SUMPRODUCT(($H$9:$Z$9="CO7")*ISNUMBER($H$10:$Z$10)*ISNUMBER(H179:Z179)*$H$10:$Z$10) * 0.85
       )
     ) * 100,
     ""
   )
)</f>
        <v/>
      </c>
      <c r="AH179" s="3" t="str" cm="1">
        <f t="array" ref="AH179">IF(
   SUMPRODUCT(($C$9:$G$9="CO8")*ISNUMBER($C$10:$G$10)*ISNUMBER(C179:G179)) +
   SUMPRODUCT(($H$9:$Z$9="CO8")*ISNUMBER($H$10:$Z$10)*ISNUMBER(H179:Z179)) = 0,
   "",
   IFERROR(
     (
       IF(
         SUMPRODUCT(($C$9:$G$9="CO8")*ISNUMBER($C$10:$G$10)*ISNUMBER(C179:G179)) = 0,
         0,
         SUMPRODUCT(($C$9:$G$9="CO8")*ISNUMBER($C$10:$G$10)*ISNUMBER(C179:G179)*C179:G179) /
         SUMPRODUCT(($C$9:$G$9="CO8")*ISNUMBER($C$10:$G$10)*ISNUMBER(C179:G179)*$C$10:$G$10) * 0.15
       ) +
       IF(
         SUMPRODUCT(($H$9:$Z$9="CO8")*ISNUMBER($H$10:$Z$10)*ISNUMBER(H179:Z179)) = 0,
         0,
         SUMPRODUCT(($H$9:$Z$9="CO8")*ISNUMBER($H$10:$Z$10)*ISNUMBER(H179:Z179)*H179:Z179) /
         SUMPRODUCT(($H$9:$Z$9="CO8")*ISNUMBER($H$10:$Z$10)*ISNUMBER(H179:Z179)*$H$10:$Z$10) * 0.85
       )
     ) * 100,
     ""
   )
)</f>
        <v/>
      </c>
      <c r="AI179" s="1" t="str">
        <f t="shared" si="18"/>
        <v/>
      </c>
      <c r="AJ179" s="1" t="str">
        <f t="shared" si="18"/>
        <v/>
      </c>
      <c r="AK179" s="1" t="str">
        <f t="shared" si="18"/>
        <v/>
      </c>
      <c r="AL179" s="1" t="str">
        <f t="shared" si="18"/>
        <v/>
      </c>
      <c r="AM179" s="1" t="str">
        <f t="shared" si="18"/>
        <v/>
      </c>
      <c r="AN179" s="1" t="str">
        <f t="shared" si="18"/>
        <v/>
      </c>
      <c r="AO179" s="1" t="str">
        <f t="shared" si="18"/>
        <v/>
      </c>
      <c r="AP179" s="1" t="str">
        <f t="shared" si="18"/>
        <v/>
      </c>
    </row>
    <row r="180" spans="1:42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" t="str" cm="1">
        <f t="array" ref="AA180">IF(
   SUMPRODUCT(($C$9:$G$9="CO1")*ISNUMBER($C$10:$G$10)*ISNUMBER(C180:G180)) +
   SUMPRODUCT(($H$9:$Z$9="CO1")*ISNUMBER($H$10:$Z$10)*ISNUMBER(H180:Z180)) = 0,
   "",
   IFERROR(
     (
       IF(
         SUMPRODUCT(($C$9:$G$9="CO1")*ISNUMBER($C$10:$G$10)*ISNUMBER(C180:G180)) = 0,
         0,
         SUMPRODUCT(($C$9:$G$9="CO1")*ISNUMBER($C$10:$G$10)*ISNUMBER(C180:G180)*C180:G180) /
         SUMPRODUCT(($C$9:$G$9="CO1")*ISNUMBER($C$10:$G$10)*ISNUMBER(C180:G180)*$C$10:$G$10) * 0.15
       ) +
       IF(
         SUMPRODUCT(($H$9:$Z$9="CO1")*ISNUMBER($H$10:$Z$10)*ISNUMBER(H180:Z180)) = 0,
         0,
         SUMPRODUCT(($H$9:$Z$9="CO1")*ISNUMBER($H$10:$Z$10)*ISNUMBER(H180:Z180)*H180:Z180) /
         SUMPRODUCT(($H$9:$Z$9="CO1")*ISNUMBER($H$10:$Z$10)*ISNUMBER(H180:Z180)*$H$10:$Z$10) * 0.85
       )
     ) * 100,
     ""
   )
)</f>
        <v/>
      </c>
      <c r="AB180" s="1" t="str" cm="1">
        <f t="array" ref="AB180">IF(
   SUMPRODUCT(($C$9:$G$9="CO2")*ISNUMBER($C$10:$G$10)*ISNUMBER(C180:G180)) +
   SUMPRODUCT(($H$9:$Z$9="CO2")*ISNUMBER($H$10:$Z$10)*ISNUMBER(H180:Z180)) = 0,
   "",
   IFERROR(
     (
       IF(
         SUMPRODUCT(($C$9:$G$9="CO2")*ISNUMBER($C$10:$G$10)*ISNUMBER(C180:G180)) = 0,
         0,
         SUMPRODUCT(($C$9:$G$9="CO2")*ISNUMBER($C$10:$G$10)*ISNUMBER(C180:G180)*C180:G180) /
         SUMPRODUCT(($C$9:$G$9="CO2")*ISNUMBER($C$10:$G$10)*ISNUMBER(C180:G180)*$C$10:$G$10) * 0.15
       ) +
       IF(
         SUMPRODUCT(($H$9:$Z$9="CO2")*ISNUMBER($H$10:$Z$10)*ISNUMBER(H180:Z180)) = 0,
         0,
         SUMPRODUCT(($H$9:$Z$9="CO2")*ISNUMBER($H$10:$Z$10)*ISNUMBER(H180:Z180)*H180:Z180) /
         SUMPRODUCT(($H$9:$Z$9="CO2")*ISNUMBER($H$10:$Z$10)*ISNUMBER(H180:Z180)*$H$10:$Z$10) * 0.85
       )
     ) * 100,
     ""
   )
)</f>
        <v/>
      </c>
      <c r="AC180" s="1" t="str" cm="1">
        <f t="array" ref="AC180">IF(
   SUMPRODUCT(($C$9:$G$9="CO3")*ISNUMBER($C$10:$G$10)*ISNUMBER(C180:G180)) +
   SUMPRODUCT(($H$9:$Z$9="CO3")*ISNUMBER($H$10:$Z$10)*ISNUMBER(H180:Z180)) = 0,
   "",
   IFERROR(
     (
       IF(
         SUMPRODUCT(($C$9:$G$9="CO3")*ISNUMBER($C$10:$G$10)*ISNUMBER(C180:G180)) = 0,
         0,
         SUMPRODUCT(($C$9:$G$9="CO3")*ISNUMBER($C$10:$G$10)*ISNUMBER(C180:G180)*C180:G180) /
         SUMPRODUCT(($C$9:$G$9="CO3")*ISNUMBER($C$10:$G$10)*ISNUMBER(C180:G180)*$C$10:$G$10) * 0.15
       ) +
       IF(
         SUMPRODUCT(($H$9:$Z$9="CO3")*ISNUMBER($H$10:$Z$10)*ISNUMBER(H180:Z180)) = 0,
         0,
         SUMPRODUCT(($H$9:$Z$9="CO3")*ISNUMBER($H$10:$Z$10)*ISNUMBER(H180:Z180)*H180:Z180) /
         SUMPRODUCT(($H$9:$Z$9="CO3")*ISNUMBER($H$10:$Z$10)*ISNUMBER(H180:Z180)*$H$10:$Z$10) * 0.85
       )
     ) * 100,
     ""
   )
)</f>
        <v/>
      </c>
      <c r="AD180" s="1" t="str" cm="1">
        <f t="array" ref="AD180">IF(
   SUMPRODUCT(($C$9:$G$9="CO4")*ISNUMBER($C$10:$G$10)*ISNUMBER(C180:G180)) +
   SUMPRODUCT(($H$9:$Z$9="CO4")*ISNUMBER($H$10:$Z$10)*ISNUMBER(H180:Z180)) = 0,
   "",
   IFERROR(
     (
       IF(
         SUMPRODUCT(($C$9:$G$9="CO4")*ISNUMBER($C$10:$G$10)*ISNUMBER(C180:G180)) = 0,
         0,
         SUMPRODUCT(($C$9:$G$9="CO4")*ISNUMBER($C$10:$G$10)*ISNUMBER(C180:G180)*C180:G180) /
         SUMPRODUCT(($C$9:$G$9="CO4")*ISNUMBER($C$10:$G$10)*ISNUMBER(C180:G180)*$C$10:$G$10) * 0.15
       ) +
       IF(
         SUMPRODUCT(($H$9:$Z$9="CO4")*ISNUMBER($H$10:$Z$10)*ISNUMBER(H180:Z180)) = 0,
         0,
         SUMPRODUCT(($H$9:$Z$9="CO4")*ISNUMBER($H$10:$Z$10)*ISNUMBER(H180:Z180)*H180:Z180) /
         SUMPRODUCT(($H$9:$Z$9="CO4")*ISNUMBER($H$10:$Z$10)*ISNUMBER(H180:Z180)*$H$10:$Z$10) * 0.85
       )
     ) * 100,
     ""
   )
)</f>
        <v/>
      </c>
      <c r="AE180" s="1" t="str" cm="1">
        <f t="array" ref="AE180">IF(
   SUMPRODUCT(($C$9:$G$9="CO5")*ISNUMBER($C$10:$G$10)*ISNUMBER(C180:G180)) +
   SUMPRODUCT(($H$9:$Z$9="CO5")*ISNUMBER($H$10:$Z$10)*ISNUMBER(H180:Z180)) = 0,
   "",
   IFERROR(
     (
       IF(
         SUMPRODUCT(($C$9:$G$9="CO5")*ISNUMBER($C$10:$G$10)*ISNUMBER(C180:G180)) = 0,
         0,
         SUMPRODUCT(($C$9:$G$9="CO5")*ISNUMBER($C$10:$G$10)*ISNUMBER(C180:G180)*C180:G180) /
         SUMPRODUCT(($C$9:$G$9="CO5")*ISNUMBER($C$10:$G$10)*ISNUMBER(C180:G180)*$C$10:$G$10) * 0.15
       ) +
       IF(
         SUMPRODUCT(($H$9:$Z$9="CO5")*ISNUMBER($H$10:$Z$10)*ISNUMBER(H180:Z180)) = 0,
         0,
         SUMPRODUCT(($H$9:$Z$9="CO5")*ISNUMBER($H$10:$Z$10)*ISNUMBER(H180:Z180)*H180:Z180) /
         SUMPRODUCT(($H$9:$Z$9="CO5")*ISNUMBER($H$10:$Z$10)*ISNUMBER(H180:Z180)*$H$10:$Z$10) * 0.85
       )
     ) * 100,
     ""
   )
)</f>
        <v/>
      </c>
      <c r="AF180" s="1" t="str" cm="1">
        <f t="array" ref="AF180">IF(
   SUMPRODUCT(($C$9:$G$9="CO6")*ISNUMBER($C$10:$G$10)*ISNUMBER(C180:G180)) +
   SUMPRODUCT(($H$9:$Z$9="CO6")*ISNUMBER($H$10:$Z$10)*ISNUMBER(H180:Z180)) = 0,
   "",
   IFERROR(
     (
       IF(
         SUMPRODUCT(($C$9:$G$9="CO6")*ISNUMBER($C$10:$G$10)*ISNUMBER(C180:G180)) = 0,
         0,
         SUMPRODUCT(($C$9:$G$9="CO6")*ISNUMBER($C$10:$G$10)*ISNUMBER(C180:G180)*C180:G180) /
         SUMPRODUCT(($C$9:$G$9="CO6")*ISNUMBER($C$10:$G$10)*ISNUMBER(C180:G180)*$C$10:$G$10) * 0.15
       ) +
       IF(
         SUMPRODUCT(($H$9:$Z$9="CO6")*ISNUMBER($H$10:$Z$10)*ISNUMBER(H180:Z180)) = 0,
         0,
         SUMPRODUCT(($H$9:$Z$9="CO6")*ISNUMBER($H$10:$Z$10)*ISNUMBER(H180:Z180)*H180:Z180) /
         SUMPRODUCT(($H$9:$Z$9="CO6")*ISNUMBER($H$10:$Z$10)*ISNUMBER(H180:Z180)*$H$10:$Z$10) * 0.85
       )
     ) * 100,
     ""
   )
)</f>
        <v/>
      </c>
      <c r="AG180" s="1" t="str" cm="1">
        <f t="array" ref="AG180">IF(
   SUMPRODUCT(($C$9:$G$9="CO7")*ISNUMBER($C$10:$G$10)*ISNUMBER(C180:G180)) +
   SUMPRODUCT(($H$9:$Z$9="CO7")*ISNUMBER($H$10:$Z$10)*ISNUMBER(H180:Z180)) = 0,
   "",
   IFERROR(
     (
       IF(
         SUMPRODUCT(($C$9:$G$9="CO7")*ISNUMBER($C$10:$G$10)*ISNUMBER(C180:G180)) = 0,
         0,
         SUMPRODUCT(($C$9:$G$9="CO7")*ISNUMBER($C$10:$G$10)*ISNUMBER(C180:G180)*C180:G180) /
         SUMPRODUCT(($C$9:$G$9="CO7")*ISNUMBER($C$10:$G$10)*ISNUMBER(C180:G180)*$C$10:$G$10) * 0.15
       ) +
       IF(
         SUMPRODUCT(($H$9:$Z$9="CO7")*ISNUMBER($H$10:$Z$10)*ISNUMBER(H180:Z180)) = 0,
         0,
         SUMPRODUCT(($H$9:$Z$9="CO7")*ISNUMBER($H$10:$Z$10)*ISNUMBER(H180:Z180)*H180:Z180) /
         SUMPRODUCT(($H$9:$Z$9="CO7")*ISNUMBER($H$10:$Z$10)*ISNUMBER(H180:Z180)*$H$10:$Z$10) * 0.85
       )
     ) * 100,
     ""
   )
)</f>
        <v/>
      </c>
      <c r="AH180" s="3" t="str" cm="1">
        <f t="array" ref="AH180">IF(
   SUMPRODUCT(($C$9:$G$9="CO8")*ISNUMBER($C$10:$G$10)*ISNUMBER(C180:G180)) +
   SUMPRODUCT(($H$9:$Z$9="CO8")*ISNUMBER($H$10:$Z$10)*ISNUMBER(H180:Z180)) = 0,
   "",
   IFERROR(
     (
       IF(
         SUMPRODUCT(($C$9:$G$9="CO8")*ISNUMBER($C$10:$G$10)*ISNUMBER(C180:G180)) = 0,
         0,
         SUMPRODUCT(($C$9:$G$9="CO8")*ISNUMBER($C$10:$G$10)*ISNUMBER(C180:G180)*C180:G180) /
         SUMPRODUCT(($C$9:$G$9="CO8")*ISNUMBER($C$10:$G$10)*ISNUMBER(C180:G180)*$C$10:$G$10) * 0.15
       ) +
       IF(
         SUMPRODUCT(($H$9:$Z$9="CO8")*ISNUMBER($H$10:$Z$10)*ISNUMBER(H180:Z180)) = 0,
         0,
         SUMPRODUCT(($H$9:$Z$9="CO8")*ISNUMBER($H$10:$Z$10)*ISNUMBER(H180:Z180)*H180:Z180) /
         SUMPRODUCT(($H$9:$Z$9="CO8")*ISNUMBER($H$10:$Z$10)*ISNUMBER(H180:Z180)*$H$10:$Z$10) * 0.85
       )
     ) * 100,
     ""
   )
)</f>
        <v/>
      </c>
      <c r="AI180" s="1" t="str">
        <f t="shared" si="18"/>
        <v/>
      </c>
      <c r="AJ180" s="1" t="str">
        <f t="shared" si="18"/>
        <v/>
      </c>
      <c r="AK180" s="1" t="str">
        <f t="shared" si="18"/>
        <v/>
      </c>
      <c r="AL180" s="1" t="str">
        <f t="shared" si="18"/>
        <v/>
      </c>
      <c r="AM180" s="1" t="str">
        <f t="shared" si="18"/>
        <v/>
      </c>
      <c r="AN180" s="1" t="str">
        <f t="shared" si="18"/>
        <v/>
      </c>
      <c r="AO180" s="1" t="str">
        <f t="shared" si="18"/>
        <v/>
      </c>
      <c r="AP180" s="1" t="str">
        <f t="shared" si="18"/>
        <v/>
      </c>
    </row>
    <row r="181" spans="1:42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" t="str" cm="1">
        <f t="array" ref="AA181">IF(
   SUMPRODUCT(($C$9:$G$9="CO1")*ISNUMBER($C$10:$G$10)*ISNUMBER(C181:G181)) +
   SUMPRODUCT(($H$9:$Z$9="CO1")*ISNUMBER($H$10:$Z$10)*ISNUMBER(H181:Z181)) = 0,
   "",
   IFERROR(
     (
       IF(
         SUMPRODUCT(($C$9:$G$9="CO1")*ISNUMBER($C$10:$G$10)*ISNUMBER(C181:G181)) = 0,
         0,
         SUMPRODUCT(($C$9:$G$9="CO1")*ISNUMBER($C$10:$G$10)*ISNUMBER(C181:G181)*C181:G181) /
         SUMPRODUCT(($C$9:$G$9="CO1")*ISNUMBER($C$10:$G$10)*ISNUMBER(C181:G181)*$C$10:$G$10) * 0.15
       ) +
       IF(
         SUMPRODUCT(($H$9:$Z$9="CO1")*ISNUMBER($H$10:$Z$10)*ISNUMBER(H181:Z181)) = 0,
         0,
         SUMPRODUCT(($H$9:$Z$9="CO1")*ISNUMBER($H$10:$Z$10)*ISNUMBER(H181:Z181)*H181:Z181) /
         SUMPRODUCT(($H$9:$Z$9="CO1")*ISNUMBER($H$10:$Z$10)*ISNUMBER(H181:Z181)*$H$10:$Z$10) * 0.85
       )
     ) * 100,
     ""
   )
)</f>
        <v/>
      </c>
      <c r="AB181" s="1" t="str" cm="1">
        <f t="array" ref="AB181">IF(
   SUMPRODUCT(($C$9:$G$9="CO2")*ISNUMBER($C$10:$G$10)*ISNUMBER(C181:G181)) +
   SUMPRODUCT(($H$9:$Z$9="CO2")*ISNUMBER($H$10:$Z$10)*ISNUMBER(H181:Z181)) = 0,
   "",
   IFERROR(
     (
       IF(
         SUMPRODUCT(($C$9:$G$9="CO2")*ISNUMBER($C$10:$G$10)*ISNUMBER(C181:G181)) = 0,
         0,
         SUMPRODUCT(($C$9:$G$9="CO2")*ISNUMBER($C$10:$G$10)*ISNUMBER(C181:G181)*C181:G181) /
         SUMPRODUCT(($C$9:$G$9="CO2")*ISNUMBER($C$10:$G$10)*ISNUMBER(C181:G181)*$C$10:$G$10) * 0.15
       ) +
       IF(
         SUMPRODUCT(($H$9:$Z$9="CO2")*ISNUMBER($H$10:$Z$10)*ISNUMBER(H181:Z181)) = 0,
         0,
         SUMPRODUCT(($H$9:$Z$9="CO2")*ISNUMBER($H$10:$Z$10)*ISNUMBER(H181:Z181)*H181:Z181) /
         SUMPRODUCT(($H$9:$Z$9="CO2")*ISNUMBER($H$10:$Z$10)*ISNUMBER(H181:Z181)*$H$10:$Z$10) * 0.85
       )
     ) * 100,
     ""
   )
)</f>
        <v/>
      </c>
      <c r="AC181" s="1" t="str" cm="1">
        <f t="array" ref="AC181">IF(
   SUMPRODUCT(($C$9:$G$9="CO3")*ISNUMBER($C$10:$G$10)*ISNUMBER(C181:G181)) +
   SUMPRODUCT(($H$9:$Z$9="CO3")*ISNUMBER($H$10:$Z$10)*ISNUMBER(H181:Z181)) = 0,
   "",
   IFERROR(
     (
       IF(
         SUMPRODUCT(($C$9:$G$9="CO3")*ISNUMBER($C$10:$G$10)*ISNUMBER(C181:G181)) = 0,
         0,
         SUMPRODUCT(($C$9:$G$9="CO3")*ISNUMBER($C$10:$G$10)*ISNUMBER(C181:G181)*C181:G181) /
         SUMPRODUCT(($C$9:$G$9="CO3")*ISNUMBER($C$10:$G$10)*ISNUMBER(C181:G181)*$C$10:$G$10) * 0.15
       ) +
       IF(
         SUMPRODUCT(($H$9:$Z$9="CO3")*ISNUMBER($H$10:$Z$10)*ISNUMBER(H181:Z181)) = 0,
         0,
         SUMPRODUCT(($H$9:$Z$9="CO3")*ISNUMBER($H$10:$Z$10)*ISNUMBER(H181:Z181)*H181:Z181) /
         SUMPRODUCT(($H$9:$Z$9="CO3")*ISNUMBER($H$10:$Z$10)*ISNUMBER(H181:Z181)*$H$10:$Z$10) * 0.85
       )
     ) * 100,
     ""
   )
)</f>
        <v/>
      </c>
      <c r="AD181" s="1" t="str" cm="1">
        <f t="array" ref="AD181">IF(
   SUMPRODUCT(($C$9:$G$9="CO4")*ISNUMBER($C$10:$G$10)*ISNUMBER(C181:G181)) +
   SUMPRODUCT(($H$9:$Z$9="CO4")*ISNUMBER($H$10:$Z$10)*ISNUMBER(H181:Z181)) = 0,
   "",
   IFERROR(
     (
       IF(
         SUMPRODUCT(($C$9:$G$9="CO4")*ISNUMBER($C$10:$G$10)*ISNUMBER(C181:G181)) = 0,
         0,
         SUMPRODUCT(($C$9:$G$9="CO4")*ISNUMBER($C$10:$G$10)*ISNUMBER(C181:G181)*C181:G181) /
         SUMPRODUCT(($C$9:$G$9="CO4")*ISNUMBER($C$10:$G$10)*ISNUMBER(C181:G181)*$C$10:$G$10) * 0.15
       ) +
       IF(
         SUMPRODUCT(($H$9:$Z$9="CO4")*ISNUMBER($H$10:$Z$10)*ISNUMBER(H181:Z181)) = 0,
         0,
         SUMPRODUCT(($H$9:$Z$9="CO4")*ISNUMBER($H$10:$Z$10)*ISNUMBER(H181:Z181)*H181:Z181) /
         SUMPRODUCT(($H$9:$Z$9="CO4")*ISNUMBER($H$10:$Z$10)*ISNUMBER(H181:Z181)*$H$10:$Z$10) * 0.85
       )
     ) * 100,
     ""
   )
)</f>
        <v/>
      </c>
      <c r="AE181" s="1" t="str" cm="1">
        <f t="array" ref="AE181">IF(
   SUMPRODUCT(($C$9:$G$9="CO5")*ISNUMBER($C$10:$G$10)*ISNUMBER(C181:G181)) +
   SUMPRODUCT(($H$9:$Z$9="CO5")*ISNUMBER($H$10:$Z$10)*ISNUMBER(H181:Z181)) = 0,
   "",
   IFERROR(
     (
       IF(
         SUMPRODUCT(($C$9:$G$9="CO5")*ISNUMBER($C$10:$G$10)*ISNUMBER(C181:G181)) = 0,
         0,
         SUMPRODUCT(($C$9:$G$9="CO5")*ISNUMBER($C$10:$G$10)*ISNUMBER(C181:G181)*C181:G181) /
         SUMPRODUCT(($C$9:$G$9="CO5")*ISNUMBER($C$10:$G$10)*ISNUMBER(C181:G181)*$C$10:$G$10) * 0.15
       ) +
       IF(
         SUMPRODUCT(($H$9:$Z$9="CO5")*ISNUMBER($H$10:$Z$10)*ISNUMBER(H181:Z181)) = 0,
         0,
         SUMPRODUCT(($H$9:$Z$9="CO5")*ISNUMBER($H$10:$Z$10)*ISNUMBER(H181:Z181)*H181:Z181) /
         SUMPRODUCT(($H$9:$Z$9="CO5")*ISNUMBER($H$10:$Z$10)*ISNUMBER(H181:Z181)*$H$10:$Z$10) * 0.85
       )
     ) * 100,
     ""
   )
)</f>
        <v/>
      </c>
      <c r="AF181" s="1" t="str" cm="1">
        <f t="array" ref="AF181">IF(
   SUMPRODUCT(($C$9:$G$9="CO6")*ISNUMBER($C$10:$G$10)*ISNUMBER(C181:G181)) +
   SUMPRODUCT(($H$9:$Z$9="CO6")*ISNUMBER($H$10:$Z$10)*ISNUMBER(H181:Z181)) = 0,
   "",
   IFERROR(
     (
       IF(
         SUMPRODUCT(($C$9:$G$9="CO6")*ISNUMBER($C$10:$G$10)*ISNUMBER(C181:G181)) = 0,
         0,
         SUMPRODUCT(($C$9:$G$9="CO6")*ISNUMBER($C$10:$G$10)*ISNUMBER(C181:G181)*C181:G181) /
         SUMPRODUCT(($C$9:$G$9="CO6")*ISNUMBER($C$10:$G$10)*ISNUMBER(C181:G181)*$C$10:$G$10) * 0.15
       ) +
       IF(
         SUMPRODUCT(($H$9:$Z$9="CO6")*ISNUMBER($H$10:$Z$10)*ISNUMBER(H181:Z181)) = 0,
         0,
         SUMPRODUCT(($H$9:$Z$9="CO6")*ISNUMBER($H$10:$Z$10)*ISNUMBER(H181:Z181)*H181:Z181) /
         SUMPRODUCT(($H$9:$Z$9="CO6")*ISNUMBER($H$10:$Z$10)*ISNUMBER(H181:Z181)*$H$10:$Z$10) * 0.85
       )
     ) * 100,
     ""
   )
)</f>
        <v/>
      </c>
      <c r="AG181" s="1" t="str" cm="1">
        <f t="array" ref="AG181">IF(
   SUMPRODUCT(($C$9:$G$9="CO7")*ISNUMBER($C$10:$G$10)*ISNUMBER(C181:G181)) +
   SUMPRODUCT(($H$9:$Z$9="CO7")*ISNUMBER($H$10:$Z$10)*ISNUMBER(H181:Z181)) = 0,
   "",
   IFERROR(
     (
       IF(
         SUMPRODUCT(($C$9:$G$9="CO7")*ISNUMBER($C$10:$G$10)*ISNUMBER(C181:G181)) = 0,
         0,
         SUMPRODUCT(($C$9:$G$9="CO7")*ISNUMBER($C$10:$G$10)*ISNUMBER(C181:G181)*C181:G181) /
         SUMPRODUCT(($C$9:$G$9="CO7")*ISNUMBER($C$10:$G$10)*ISNUMBER(C181:G181)*$C$10:$G$10) * 0.15
       ) +
       IF(
         SUMPRODUCT(($H$9:$Z$9="CO7")*ISNUMBER($H$10:$Z$10)*ISNUMBER(H181:Z181)) = 0,
         0,
         SUMPRODUCT(($H$9:$Z$9="CO7")*ISNUMBER($H$10:$Z$10)*ISNUMBER(H181:Z181)*H181:Z181) /
         SUMPRODUCT(($H$9:$Z$9="CO7")*ISNUMBER($H$10:$Z$10)*ISNUMBER(H181:Z181)*$H$10:$Z$10) * 0.85
       )
     ) * 100,
     ""
   )
)</f>
        <v/>
      </c>
      <c r="AH181" s="3" t="str" cm="1">
        <f t="array" ref="AH181">IF(
   SUMPRODUCT(($C$9:$G$9="CO8")*ISNUMBER($C$10:$G$10)*ISNUMBER(C181:G181)) +
   SUMPRODUCT(($H$9:$Z$9="CO8")*ISNUMBER($H$10:$Z$10)*ISNUMBER(H181:Z181)) = 0,
   "",
   IFERROR(
     (
       IF(
         SUMPRODUCT(($C$9:$G$9="CO8")*ISNUMBER($C$10:$G$10)*ISNUMBER(C181:G181)) = 0,
         0,
         SUMPRODUCT(($C$9:$G$9="CO8")*ISNUMBER($C$10:$G$10)*ISNUMBER(C181:G181)*C181:G181) /
         SUMPRODUCT(($C$9:$G$9="CO8")*ISNUMBER($C$10:$G$10)*ISNUMBER(C181:G181)*$C$10:$G$10) * 0.15
       ) +
       IF(
         SUMPRODUCT(($H$9:$Z$9="CO8")*ISNUMBER($H$10:$Z$10)*ISNUMBER(H181:Z181)) = 0,
         0,
         SUMPRODUCT(($H$9:$Z$9="CO8")*ISNUMBER($H$10:$Z$10)*ISNUMBER(H181:Z181)*H181:Z181) /
         SUMPRODUCT(($H$9:$Z$9="CO8")*ISNUMBER($H$10:$Z$10)*ISNUMBER(H181:Z181)*$H$10:$Z$10) * 0.85
       )
     ) * 100,
     ""
   )
)</f>
        <v/>
      </c>
      <c r="AI181" s="1" t="str">
        <f t="shared" si="18"/>
        <v/>
      </c>
      <c r="AJ181" s="1" t="str">
        <f t="shared" si="18"/>
        <v/>
      </c>
      <c r="AK181" s="1" t="str">
        <f t="shared" si="18"/>
        <v/>
      </c>
      <c r="AL181" s="1" t="str">
        <f t="shared" si="18"/>
        <v/>
      </c>
      <c r="AM181" s="1" t="str">
        <f t="shared" si="18"/>
        <v/>
      </c>
      <c r="AN181" s="1" t="str">
        <f t="shared" si="18"/>
        <v/>
      </c>
      <c r="AO181" s="1" t="str">
        <f t="shared" si="18"/>
        <v/>
      </c>
      <c r="AP181" s="1" t="str">
        <f t="shared" si="18"/>
        <v/>
      </c>
    </row>
    <row r="182" spans="1:42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" t="str" cm="1">
        <f t="array" ref="AA182">IF(
   SUMPRODUCT(($C$9:$G$9="CO1")*ISNUMBER($C$10:$G$10)*ISNUMBER(C182:G182)) +
   SUMPRODUCT(($H$9:$Z$9="CO1")*ISNUMBER($H$10:$Z$10)*ISNUMBER(H182:Z182)) = 0,
   "",
   IFERROR(
     (
       IF(
         SUMPRODUCT(($C$9:$G$9="CO1")*ISNUMBER($C$10:$G$10)*ISNUMBER(C182:G182)) = 0,
         0,
         SUMPRODUCT(($C$9:$G$9="CO1")*ISNUMBER($C$10:$G$10)*ISNUMBER(C182:G182)*C182:G182) /
         SUMPRODUCT(($C$9:$G$9="CO1")*ISNUMBER($C$10:$G$10)*ISNUMBER(C182:G182)*$C$10:$G$10) * 0.15
       ) +
       IF(
         SUMPRODUCT(($H$9:$Z$9="CO1")*ISNUMBER($H$10:$Z$10)*ISNUMBER(H182:Z182)) = 0,
         0,
         SUMPRODUCT(($H$9:$Z$9="CO1")*ISNUMBER($H$10:$Z$10)*ISNUMBER(H182:Z182)*H182:Z182) /
         SUMPRODUCT(($H$9:$Z$9="CO1")*ISNUMBER($H$10:$Z$10)*ISNUMBER(H182:Z182)*$H$10:$Z$10) * 0.85
       )
     ) * 100,
     ""
   )
)</f>
        <v/>
      </c>
      <c r="AB182" s="1" t="str" cm="1">
        <f t="array" ref="AB182">IF(
   SUMPRODUCT(($C$9:$G$9="CO2")*ISNUMBER($C$10:$G$10)*ISNUMBER(C182:G182)) +
   SUMPRODUCT(($H$9:$Z$9="CO2")*ISNUMBER($H$10:$Z$10)*ISNUMBER(H182:Z182)) = 0,
   "",
   IFERROR(
     (
       IF(
         SUMPRODUCT(($C$9:$G$9="CO2")*ISNUMBER($C$10:$G$10)*ISNUMBER(C182:G182)) = 0,
         0,
         SUMPRODUCT(($C$9:$G$9="CO2")*ISNUMBER($C$10:$G$10)*ISNUMBER(C182:G182)*C182:G182) /
         SUMPRODUCT(($C$9:$G$9="CO2")*ISNUMBER($C$10:$G$10)*ISNUMBER(C182:G182)*$C$10:$G$10) * 0.15
       ) +
       IF(
         SUMPRODUCT(($H$9:$Z$9="CO2")*ISNUMBER($H$10:$Z$10)*ISNUMBER(H182:Z182)) = 0,
         0,
         SUMPRODUCT(($H$9:$Z$9="CO2")*ISNUMBER($H$10:$Z$10)*ISNUMBER(H182:Z182)*H182:Z182) /
         SUMPRODUCT(($H$9:$Z$9="CO2")*ISNUMBER($H$10:$Z$10)*ISNUMBER(H182:Z182)*$H$10:$Z$10) * 0.85
       )
     ) * 100,
     ""
   )
)</f>
        <v/>
      </c>
      <c r="AC182" s="1" t="str" cm="1">
        <f t="array" ref="AC182">IF(
   SUMPRODUCT(($C$9:$G$9="CO3")*ISNUMBER($C$10:$G$10)*ISNUMBER(C182:G182)) +
   SUMPRODUCT(($H$9:$Z$9="CO3")*ISNUMBER($H$10:$Z$10)*ISNUMBER(H182:Z182)) = 0,
   "",
   IFERROR(
     (
       IF(
         SUMPRODUCT(($C$9:$G$9="CO3")*ISNUMBER($C$10:$G$10)*ISNUMBER(C182:G182)) = 0,
         0,
         SUMPRODUCT(($C$9:$G$9="CO3")*ISNUMBER($C$10:$G$10)*ISNUMBER(C182:G182)*C182:G182) /
         SUMPRODUCT(($C$9:$G$9="CO3")*ISNUMBER($C$10:$G$10)*ISNUMBER(C182:G182)*$C$10:$G$10) * 0.15
       ) +
       IF(
         SUMPRODUCT(($H$9:$Z$9="CO3")*ISNUMBER($H$10:$Z$10)*ISNUMBER(H182:Z182)) = 0,
         0,
         SUMPRODUCT(($H$9:$Z$9="CO3")*ISNUMBER($H$10:$Z$10)*ISNUMBER(H182:Z182)*H182:Z182) /
         SUMPRODUCT(($H$9:$Z$9="CO3")*ISNUMBER($H$10:$Z$10)*ISNUMBER(H182:Z182)*$H$10:$Z$10) * 0.85
       )
     ) * 100,
     ""
   )
)</f>
        <v/>
      </c>
      <c r="AD182" s="1" t="str" cm="1">
        <f t="array" ref="AD182">IF(
   SUMPRODUCT(($C$9:$G$9="CO4")*ISNUMBER($C$10:$G$10)*ISNUMBER(C182:G182)) +
   SUMPRODUCT(($H$9:$Z$9="CO4")*ISNUMBER($H$10:$Z$10)*ISNUMBER(H182:Z182)) = 0,
   "",
   IFERROR(
     (
       IF(
         SUMPRODUCT(($C$9:$G$9="CO4")*ISNUMBER($C$10:$G$10)*ISNUMBER(C182:G182)) = 0,
         0,
         SUMPRODUCT(($C$9:$G$9="CO4")*ISNUMBER($C$10:$G$10)*ISNUMBER(C182:G182)*C182:G182) /
         SUMPRODUCT(($C$9:$G$9="CO4")*ISNUMBER($C$10:$G$10)*ISNUMBER(C182:G182)*$C$10:$G$10) * 0.15
       ) +
       IF(
         SUMPRODUCT(($H$9:$Z$9="CO4")*ISNUMBER($H$10:$Z$10)*ISNUMBER(H182:Z182)) = 0,
         0,
         SUMPRODUCT(($H$9:$Z$9="CO4")*ISNUMBER($H$10:$Z$10)*ISNUMBER(H182:Z182)*H182:Z182) /
         SUMPRODUCT(($H$9:$Z$9="CO4")*ISNUMBER($H$10:$Z$10)*ISNUMBER(H182:Z182)*$H$10:$Z$10) * 0.85
       )
     ) * 100,
     ""
   )
)</f>
        <v/>
      </c>
      <c r="AE182" s="1" t="str" cm="1">
        <f t="array" ref="AE182">IF(
   SUMPRODUCT(($C$9:$G$9="CO5")*ISNUMBER($C$10:$G$10)*ISNUMBER(C182:G182)) +
   SUMPRODUCT(($H$9:$Z$9="CO5")*ISNUMBER($H$10:$Z$10)*ISNUMBER(H182:Z182)) = 0,
   "",
   IFERROR(
     (
       IF(
         SUMPRODUCT(($C$9:$G$9="CO5")*ISNUMBER($C$10:$G$10)*ISNUMBER(C182:G182)) = 0,
         0,
         SUMPRODUCT(($C$9:$G$9="CO5")*ISNUMBER($C$10:$G$10)*ISNUMBER(C182:G182)*C182:G182) /
         SUMPRODUCT(($C$9:$G$9="CO5")*ISNUMBER($C$10:$G$10)*ISNUMBER(C182:G182)*$C$10:$G$10) * 0.15
       ) +
       IF(
         SUMPRODUCT(($H$9:$Z$9="CO5")*ISNUMBER($H$10:$Z$10)*ISNUMBER(H182:Z182)) = 0,
         0,
         SUMPRODUCT(($H$9:$Z$9="CO5")*ISNUMBER($H$10:$Z$10)*ISNUMBER(H182:Z182)*H182:Z182) /
         SUMPRODUCT(($H$9:$Z$9="CO5")*ISNUMBER($H$10:$Z$10)*ISNUMBER(H182:Z182)*$H$10:$Z$10) * 0.85
       )
     ) * 100,
     ""
   )
)</f>
        <v/>
      </c>
      <c r="AF182" s="1" t="str" cm="1">
        <f t="array" ref="AF182">IF(
   SUMPRODUCT(($C$9:$G$9="CO6")*ISNUMBER($C$10:$G$10)*ISNUMBER(C182:G182)) +
   SUMPRODUCT(($H$9:$Z$9="CO6")*ISNUMBER($H$10:$Z$10)*ISNUMBER(H182:Z182)) = 0,
   "",
   IFERROR(
     (
       IF(
         SUMPRODUCT(($C$9:$G$9="CO6")*ISNUMBER($C$10:$G$10)*ISNUMBER(C182:G182)) = 0,
         0,
         SUMPRODUCT(($C$9:$G$9="CO6")*ISNUMBER($C$10:$G$10)*ISNUMBER(C182:G182)*C182:G182) /
         SUMPRODUCT(($C$9:$G$9="CO6")*ISNUMBER($C$10:$G$10)*ISNUMBER(C182:G182)*$C$10:$G$10) * 0.15
       ) +
       IF(
         SUMPRODUCT(($H$9:$Z$9="CO6")*ISNUMBER($H$10:$Z$10)*ISNUMBER(H182:Z182)) = 0,
         0,
         SUMPRODUCT(($H$9:$Z$9="CO6")*ISNUMBER($H$10:$Z$10)*ISNUMBER(H182:Z182)*H182:Z182) /
         SUMPRODUCT(($H$9:$Z$9="CO6")*ISNUMBER($H$10:$Z$10)*ISNUMBER(H182:Z182)*$H$10:$Z$10) * 0.85
       )
     ) * 100,
     ""
   )
)</f>
        <v/>
      </c>
      <c r="AG182" s="1" t="str" cm="1">
        <f t="array" ref="AG182">IF(
   SUMPRODUCT(($C$9:$G$9="CO7")*ISNUMBER($C$10:$G$10)*ISNUMBER(C182:G182)) +
   SUMPRODUCT(($H$9:$Z$9="CO7")*ISNUMBER($H$10:$Z$10)*ISNUMBER(H182:Z182)) = 0,
   "",
   IFERROR(
     (
       IF(
         SUMPRODUCT(($C$9:$G$9="CO7")*ISNUMBER($C$10:$G$10)*ISNUMBER(C182:G182)) = 0,
         0,
         SUMPRODUCT(($C$9:$G$9="CO7")*ISNUMBER($C$10:$G$10)*ISNUMBER(C182:G182)*C182:G182) /
         SUMPRODUCT(($C$9:$G$9="CO7")*ISNUMBER($C$10:$G$10)*ISNUMBER(C182:G182)*$C$10:$G$10) * 0.15
       ) +
       IF(
         SUMPRODUCT(($H$9:$Z$9="CO7")*ISNUMBER($H$10:$Z$10)*ISNUMBER(H182:Z182)) = 0,
         0,
         SUMPRODUCT(($H$9:$Z$9="CO7")*ISNUMBER($H$10:$Z$10)*ISNUMBER(H182:Z182)*H182:Z182) /
         SUMPRODUCT(($H$9:$Z$9="CO7")*ISNUMBER($H$10:$Z$10)*ISNUMBER(H182:Z182)*$H$10:$Z$10) * 0.85
       )
     ) * 100,
     ""
   )
)</f>
        <v/>
      </c>
      <c r="AH182" s="3" t="str" cm="1">
        <f t="array" ref="AH182">IF(
   SUMPRODUCT(($C$9:$G$9="CO8")*ISNUMBER($C$10:$G$10)*ISNUMBER(C182:G182)) +
   SUMPRODUCT(($H$9:$Z$9="CO8")*ISNUMBER($H$10:$Z$10)*ISNUMBER(H182:Z182)) = 0,
   "",
   IFERROR(
     (
       IF(
         SUMPRODUCT(($C$9:$G$9="CO8")*ISNUMBER($C$10:$G$10)*ISNUMBER(C182:G182)) = 0,
         0,
         SUMPRODUCT(($C$9:$G$9="CO8")*ISNUMBER($C$10:$G$10)*ISNUMBER(C182:G182)*C182:G182) /
         SUMPRODUCT(($C$9:$G$9="CO8")*ISNUMBER($C$10:$G$10)*ISNUMBER(C182:G182)*$C$10:$G$10) * 0.15
       ) +
       IF(
         SUMPRODUCT(($H$9:$Z$9="CO8")*ISNUMBER($H$10:$Z$10)*ISNUMBER(H182:Z182)) = 0,
         0,
         SUMPRODUCT(($H$9:$Z$9="CO8")*ISNUMBER($H$10:$Z$10)*ISNUMBER(H182:Z182)*H182:Z182) /
         SUMPRODUCT(($H$9:$Z$9="CO8")*ISNUMBER($H$10:$Z$10)*ISNUMBER(H182:Z182)*$H$10:$Z$10) * 0.85
       )
     ) * 100,
     ""
   )
)</f>
        <v/>
      </c>
      <c r="AI182" s="1" t="str">
        <f t="shared" si="18"/>
        <v/>
      </c>
      <c r="AJ182" s="1" t="str">
        <f t="shared" si="18"/>
        <v/>
      </c>
      <c r="AK182" s="1" t="str">
        <f t="shared" si="18"/>
        <v/>
      </c>
      <c r="AL182" s="1" t="str">
        <f t="shared" si="18"/>
        <v/>
      </c>
      <c r="AM182" s="1" t="str">
        <f t="shared" si="18"/>
        <v/>
      </c>
      <c r="AN182" s="1" t="str">
        <f t="shared" si="18"/>
        <v/>
      </c>
      <c r="AO182" s="1" t="str">
        <f t="shared" si="18"/>
        <v/>
      </c>
      <c r="AP182" s="1" t="str">
        <f t="shared" si="18"/>
        <v/>
      </c>
    </row>
    <row r="183" spans="1:42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" t="str" cm="1">
        <f t="array" ref="AA183">IF(
   SUMPRODUCT(($C$9:$G$9="CO1")*ISNUMBER($C$10:$G$10)*ISNUMBER(C183:G183)) +
   SUMPRODUCT(($H$9:$Z$9="CO1")*ISNUMBER($H$10:$Z$10)*ISNUMBER(H183:Z183)) = 0,
   "",
   IFERROR(
     (
       IF(
         SUMPRODUCT(($C$9:$G$9="CO1")*ISNUMBER($C$10:$G$10)*ISNUMBER(C183:G183)) = 0,
         0,
         SUMPRODUCT(($C$9:$G$9="CO1")*ISNUMBER($C$10:$G$10)*ISNUMBER(C183:G183)*C183:G183) /
         SUMPRODUCT(($C$9:$G$9="CO1")*ISNUMBER($C$10:$G$10)*ISNUMBER(C183:G183)*$C$10:$G$10) * 0.15
       ) +
       IF(
         SUMPRODUCT(($H$9:$Z$9="CO1")*ISNUMBER($H$10:$Z$10)*ISNUMBER(H183:Z183)) = 0,
         0,
         SUMPRODUCT(($H$9:$Z$9="CO1")*ISNUMBER($H$10:$Z$10)*ISNUMBER(H183:Z183)*H183:Z183) /
         SUMPRODUCT(($H$9:$Z$9="CO1")*ISNUMBER($H$10:$Z$10)*ISNUMBER(H183:Z183)*$H$10:$Z$10) * 0.85
       )
     ) * 100,
     ""
   )
)</f>
        <v/>
      </c>
      <c r="AB183" s="1" t="str" cm="1">
        <f t="array" ref="AB183">IF(
   SUMPRODUCT(($C$9:$G$9="CO2")*ISNUMBER($C$10:$G$10)*ISNUMBER(C183:G183)) +
   SUMPRODUCT(($H$9:$Z$9="CO2")*ISNUMBER($H$10:$Z$10)*ISNUMBER(H183:Z183)) = 0,
   "",
   IFERROR(
     (
       IF(
         SUMPRODUCT(($C$9:$G$9="CO2")*ISNUMBER($C$10:$G$10)*ISNUMBER(C183:G183)) = 0,
         0,
         SUMPRODUCT(($C$9:$G$9="CO2")*ISNUMBER($C$10:$G$10)*ISNUMBER(C183:G183)*C183:G183) /
         SUMPRODUCT(($C$9:$G$9="CO2")*ISNUMBER($C$10:$G$10)*ISNUMBER(C183:G183)*$C$10:$G$10) * 0.15
       ) +
       IF(
         SUMPRODUCT(($H$9:$Z$9="CO2")*ISNUMBER($H$10:$Z$10)*ISNUMBER(H183:Z183)) = 0,
         0,
         SUMPRODUCT(($H$9:$Z$9="CO2")*ISNUMBER($H$10:$Z$10)*ISNUMBER(H183:Z183)*H183:Z183) /
         SUMPRODUCT(($H$9:$Z$9="CO2")*ISNUMBER($H$10:$Z$10)*ISNUMBER(H183:Z183)*$H$10:$Z$10) * 0.85
       )
     ) * 100,
     ""
   )
)</f>
        <v/>
      </c>
      <c r="AC183" s="1" t="str" cm="1">
        <f t="array" ref="AC183">IF(
   SUMPRODUCT(($C$9:$G$9="CO3")*ISNUMBER($C$10:$G$10)*ISNUMBER(C183:G183)) +
   SUMPRODUCT(($H$9:$Z$9="CO3")*ISNUMBER($H$10:$Z$10)*ISNUMBER(H183:Z183)) = 0,
   "",
   IFERROR(
     (
       IF(
         SUMPRODUCT(($C$9:$G$9="CO3")*ISNUMBER($C$10:$G$10)*ISNUMBER(C183:G183)) = 0,
         0,
         SUMPRODUCT(($C$9:$G$9="CO3")*ISNUMBER($C$10:$G$10)*ISNUMBER(C183:G183)*C183:G183) /
         SUMPRODUCT(($C$9:$G$9="CO3")*ISNUMBER($C$10:$G$10)*ISNUMBER(C183:G183)*$C$10:$G$10) * 0.15
       ) +
       IF(
         SUMPRODUCT(($H$9:$Z$9="CO3")*ISNUMBER($H$10:$Z$10)*ISNUMBER(H183:Z183)) = 0,
         0,
         SUMPRODUCT(($H$9:$Z$9="CO3")*ISNUMBER($H$10:$Z$10)*ISNUMBER(H183:Z183)*H183:Z183) /
         SUMPRODUCT(($H$9:$Z$9="CO3")*ISNUMBER($H$10:$Z$10)*ISNUMBER(H183:Z183)*$H$10:$Z$10) * 0.85
       )
     ) * 100,
     ""
   )
)</f>
        <v/>
      </c>
      <c r="AD183" s="1" t="str" cm="1">
        <f t="array" ref="AD183">IF(
   SUMPRODUCT(($C$9:$G$9="CO4")*ISNUMBER($C$10:$G$10)*ISNUMBER(C183:G183)) +
   SUMPRODUCT(($H$9:$Z$9="CO4")*ISNUMBER($H$10:$Z$10)*ISNUMBER(H183:Z183)) = 0,
   "",
   IFERROR(
     (
       IF(
         SUMPRODUCT(($C$9:$G$9="CO4")*ISNUMBER($C$10:$G$10)*ISNUMBER(C183:G183)) = 0,
         0,
         SUMPRODUCT(($C$9:$G$9="CO4")*ISNUMBER($C$10:$G$10)*ISNUMBER(C183:G183)*C183:G183) /
         SUMPRODUCT(($C$9:$G$9="CO4")*ISNUMBER($C$10:$G$10)*ISNUMBER(C183:G183)*$C$10:$G$10) * 0.15
       ) +
       IF(
         SUMPRODUCT(($H$9:$Z$9="CO4")*ISNUMBER($H$10:$Z$10)*ISNUMBER(H183:Z183)) = 0,
         0,
         SUMPRODUCT(($H$9:$Z$9="CO4")*ISNUMBER($H$10:$Z$10)*ISNUMBER(H183:Z183)*H183:Z183) /
         SUMPRODUCT(($H$9:$Z$9="CO4")*ISNUMBER($H$10:$Z$10)*ISNUMBER(H183:Z183)*$H$10:$Z$10) * 0.85
       )
     ) * 100,
     ""
   )
)</f>
        <v/>
      </c>
      <c r="AE183" s="1" t="str" cm="1">
        <f t="array" ref="AE183">IF(
   SUMPRODUCT(($C$9:$G$9="CO5")*ISNUMBER($C$10:$G$10)*ISNUMBER(C183:G183)) +
   SUMPRODUCT(($H$9:$Z$9="CO5")*ISNUMBER($H$10:$Z$10)*ISNUMBER(H183:Z183)) = 0,
   "",
   IFERROR(
     (
       IF(
         SUMPRODUCT(($C$9:$G$9="CO5")*ISNUMBER($C$10:$G$10)*ISNUMBER(C183:G183)) = 0,
         0,
         SUMPRODUCT(($C$9:$G$9="CO5")*ISNUMBER($C$10:$G$10)*ISNUMBER(C183:G183)*C183:G183) /
         SUMPRODUCT(($C$9:$G$9="CO5")*ISNUMBER($C$10:$G$10)*ISNUMBER(C183:G183)*$C$10:$G$10) * 0.15
       ) +
       IF(
         SUMPRODUCT(($H$9:$Z$9="CO5")*ISNUMBER($H$10:$Z$10)*ISNUMBER(H183:Z183)) = 0,
         0,
         SUMPRODUCT(($H$9:$Z$9="CO5")*ISNUMBER($H$10:$Z$10)*ISNUMBER(H183:Z183)*H183:Z183) /
         SUMPRODUCT(($H$9:$Z$9="CO5")*ISNUMBER($H$10:$Z$10)*ISNUMBER(H183:Z183)*$H$10:$Z$10) * 0.85
       )
     ) * 100,
     ""
   )
)</f>
        <v/>
      </c>
      <c r="AF183" s="1" t="str" cm="1">
        <f t="array" ref="AF183">IF(
   SUMPRODUCT(($C$9:$G$9="CO6")*ISNUMBER($C$10:$G$10)*ISNUMBER(C183:G183)) +
   SUMPRODUCT(($H$9:$Z$9="CO6")*ISNUMBER($H$10:$Z$10)*ISNUMBER(H183:Z183)) = 0,
   "",
   IFERROR(
     (
       IF(
         SUMPRODUCT(($C$9:$G$9="CO6")*ISNUMBER($C$10:$G$10)*ISNUMBER(C183:G183)) = 0,
         0,
         SUMPRODUCT(($C$9:$G$9="CO6")*ISNUMBER($C$10:$G$10)*ISNUMBER(C183:G183)*C183:G183) /
         SUMPRODUCT(($C$9:$G$9="CO6")*ISNUMBER($C$10:$G$10)*ISNUMBER(C183:G183)*$C$10:$G$10) * 0.15
       ) +
       IF(
         SUMPRODUCT(($H$9:$Z$9="CO6")*ISNUMBER($H$10:$Z$10)*ISNUMBER(H183:Z183)) = 0,
         0,
         SUMPRODUCT(($H$9:$Z$9="CO6")*ISNUMBER($H$10:$Z$10)*ISNUMBER(H183:Z183)*H183:Z183) /
         SUMPRODUCT(($H$9:$Z$9="CO6")*ISNUMBER($H$10:$Z$10)*ISNUMBER(H183:Z183)*$H$10:$Z$10) * 0.85
       )
     ) * 100,
     ""
   )
)</f>
        <v/>
      </c>
      <c r="AG183" s="1" t="str" cm="1">
        <f t="array" ref="AG183">IF(
   SUMPRODUCT(($C$9:$G$9="CO7")*ISNUMBER($C$10:$G$10)*ISNUMBER(C183:G183)) +
   SUMPRODUCT(($H$9:$Z$9="CO7")*ISNUMBER($H$10:$Z$10)*ISNUMBER(H183:Z183)) = 0,
   "",
   IFERROR(
     (
       IF(
         SUMPRODUCT(($C$9:$G$9="CO7")*ISNUMBER($C$10:$G$10)*ISNUMBER(C183:G183)) = 0,
         0,
         SUMPRODUCT(($C$9:$G$9="CO7")*ISNUMBER($C$10:$G$10)*ISNUMBER(C183:G183)*C183:G183) /
         SUMPRODUCT(($C$9:$G$9="CO7")*ISNUMBER($C$10:$G$10)*ISNUMBER(C183:G183)*$C$10:$G$10) * 0.15
       ) +
       IF(
         SUMPRODUCT(($H$9:$Z$9="CO7")*ISNUMBER($H$10:$Z$10)*ISNUMBER(H183:Z183)) = 0,
         0,
         SUMPRODUCT(($H$9:$Z$9="CO7")*ISNUMBER($H$10:$Z$10)*ISNUMBER(H183:Z183)*H183:Z183) /
         SUMPRODUCT(($H$9:$Z$9="CO7")*ISNUMBER($H$10:$Z$10)*ISNUMBER(H183:Z183)*$H$10:$Z$10) * 0.85
       )
     ) * 100,
     ""
   )
)</f>
        <v/>
      </c>
      <c r="AH183" s="3" t="str" cm="1">
        <f t="array" ref="AH183">IF(
   SUMPRODUCT(($C$9:$G$9="CO8")*ISNUMBER($C$10:$G$10)*ISNUMBER(C183:G183)) +
   SUMPRODUCT(($H$9:$Z$9="CO8")*ISNUMBER($H$10:$Z$10)*ISNUMBER(H183:Z183)) = 0,
   "",
   IFERROR(
     (
       IF(
         SUMPRODUCT(($C$9:$G$9="CO8")*ISNUMBER($C$10:$G$10)*ISNUMBER(C183:G183)) = 0,
         0,
         SUMPRODUCT(($C$9:$G$9="CO8")*ISNUMBER($C$10:$G$10)*ISNUMBER(C183:G183)*C183:G183) /
         SUMPRODUCT(($C$9:$G$9="CO8")*ISNUMBER($C$10:$G$10)*ISNUMBER(C183:G183)*$C$10:$G$10) * 0.15
       ) +
       IF(
         SUMPRODUCT(($H$9:$Z$9="CO8")*ISNUMBER($H$10:$Z$10)*ISNUMBER(H183:Z183)) = 0,
         0,
         SUMPRODUCT(($H$9:$Z$9="CO8")*ISNUMBER($H$10:$Z$10)*ISNUMBER(H183:Z183)*H183:Z183) /
         SUMPRODUCT(($H$9:$Z$9="CO8")*ISNUMBER($H$10:$Z$10)*ISNUMBER(H183:Z183)*$H$10:$Z$10) * 0.85
       )
     ) * 100,
     ""
   )
)</f>
        <v/>
      </c>
      <c r="AI183" s="1" t="str">
        <f t="shared" si="18"/>
        <v/>
      </c>
      <c r="AJ183" s="1" t="str">
        <f t="shared" si="18"/>
        <v/>
      </c>
      <c r="AK183" s="1" t="str">
        <f t="shared" si="18"/>
        <v/>
      </c>
      <c r="AL183" s="1" t="str">
        <f t="shared" si="18"/>
        <v/>
      </c>
      <c r="AM183" s="1" t="str">
        <f t="shared" si="18"/>
        <v/>
      </c>
      <c r="AN183" s="1" t="str">
        <f t="shared" si="18"/>
        <v/>
      </c>
      <c r="AO183" s="1" t="str">
        <f t="shared" si="18"/>
        <v/>
      </c>
      <c r="AP183" s="1" t="str">
        <f t="shared" si="18"/>
        <v/>
      </c>
    </row>
    <row r="184" spans="1:42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" t="str" cm="1">
        <f t="array" ref="AA184">IF(
   SUMPRODUCT(($C$9:$G$9="CO1")*ISNUMBER($C$10:$G$10)*ISNUMBER(C184:G184)) +
   SUMPRODUCT(($H$9:$Z$9="CO1")*ISNUMBER($H$10:$Z$10)*ISNUMBER(H184:Z184)) = 0,
   "",
   IFERROR(
     (
       IF(
         SUMPRODUCT(($C$9:$G$9="CO1")*ISNUMBER($C$10:$G$10)*ISNUMBER(C184:G184)) = 0,
         0,
         SUMPRODUCT(($C$9:$G$9="CO1")*ISNUMBER($C$10:$G$10)*ISNUMBER(C184:G184)*C184:G184) /
         SUMPRODUCT(($C$9:$G$9="CO1")*ISNUMBER($C$10:$G$10)*ISNUMBER(C184:G184)*$C$10:$G$10) * 0.15
       ) +
       IF(
         SUMPRODUCT(($H$9:$Z$9="CO1")*ISNUMBER($H$10:$Z$10)*ISNUMBER(H184:Z184)) = 0,
         0,
         SUMPRODUCT(($H$9:$Z$9="CO1")*ISNUMBER($H$10:$Z$10)*ISNUMBER(H184:Z184)*H184:Z184) /
         SUMPRODUCT(($H$9:$Z$9="CO1")*ISNUMBER($H$10:$Z$10)*ISNUMBER(H184:Z184)*$H$10:$Z$10) * 0.85
       )
     ) * 100,
     ""
   )
)</f>
        <v/>
      </c>
      <c r="AB184" s="1" t="str" cm="1">
        <f t="array" ref="AB184">IF(
   SUMPRODUCT(($C$9:$G$9="CO2")*ISNUMBER($C$10:$G$10)*ISNUMBER(C184:G184)) +
   SUMPRODUCT(($H$9:$Z$9="CO2")*ISNUMBER($H$10:$Z$10)*ISNUMBER(H184:Z184)) = 0,
   "",
   IFERROR(
     (
       IF(
         SUMPRODUCT(($C$9:$G$9="CO2")*ISNUMBER($C$10:$G$10)*ISNUMBER(C184:G184)) = 0,
         0,
         SUMPRODUCT(($C$9:$G$9="CO2")*ISNUMBER($C$10:$G$10)*ISNUMBER(C184:G184)*C184:G184) /
         SUMPRODUCT(($C$9:$G$9="CO2")*ISNUMBER($C$10:$G$10)*ISNUMBER(C184:G184)*$C$10:$G$10) * 0.15
       ) +
       IF(
         SUMPRODUCT(($H$9:$Z$9="CO2")*ISNUMBER($H$10:$Z$10)*ISNUMBER(H184:Z184)) = 0,
         0,
         SUMPRODUCT(($H$9:$Z$9="CO2")*ISNUMBER($H$10:$Z$10)*ISNUMBER(H184:Z184)*H184:Z184) /
         SUMPRODUCT(($H$9:$Z$9="CO2")*ISNUMBER($H$10:$Z$10)*ISNUMBER(H184:Z184)*$H$10:$Z$10) * 0.85
       )
     ) * 100,
     ""
   )
)</f>
        <v/>
      </c>
      <c r="AC184" s="1" t="str" cm="1">
        <f t="array" ref="AC184">IF(
   SUMPRODUCT(($C$9:$G$9="CO3")*ISNUMBER($C$10:$G$10)*ISNUMBER(C184:G184)) +
   SUMPRODUCT(($H$9:$Z$9="CO3")*ISNUMBER($H$10:$Z$10)*ISNUMBER(H184:Z184)) = 0,
   "",
   IFERROR(
     (
       IF(
         SUMPRODUCT(($C$9:$G$9="CO3")*ISNUMBER($C$10:$G$10)*ISNUMBER(C184:G184)) = 0,
         0,
         SUMPRODUCT(($C$9:$G$9="CO3")*ISNUMBER($C$10:$G$10)*ISNUMBER(C184:G184)*C184:G184) /
         SUMPRODUCT(($C$9:$G$9="CO3")*ISNUMBER($C$10:$G$10)*ISNUMBER(C184:G184)*$C$10:$G$10) * 0.15
       ) +
       IF(
         SUMPRODUCT(($H$9:$Z$9="CO3")*ISNUMBER($H$10:$Z$10)*ISNUMBER(H184:Z184)) = 0,
         0,
         SUMPRODUCT(($H$9:$Z$9="CO3")*ISNUMBER($H$10:$Z$10)*ISNUMBER(H184:Z184)*H184:Z184) /
         SUMPRODUCT(($H$9:$Z$9="CO3")*ISNUMBER($H$10:$Z$10)*ISNUMBER(H184:Z184)*$H$10:$Z$10) * 0.85
       )
     ) * 100,
     ""
   )
)</f>
        <v/>
      </c>
      <c r="AD184" s="1" t="str" cm="1">
        <f t="array" ref="AD184">IF(
   SUMPRODUCT(($C$9:$G$9="CO4")*ISNUMBER($C$10:$G$10)*ISNUMBER(C184:G184)) +
   SUMPRODUCT(($H$9:$Z$9="CO4")*ISNUMBER($H$10:$Z$10)*ISNUMBER(H184:Z184)) = 0,
   "",
   IFERROR(
     (
       IF(
         SUMPRODUCT(($C$9:$G$9="CO4")*ISNUMBER($C$10:$G$10)*ISNUMBER(C184:G184)) = 0,
         0,
         SUMPRODUCT(($C$9:$G$9="CO4")*ISNUMBER($C$10:$G$10)*ISNUMBER(C184:G184)*C184:G184) /
         SUMPRODUCT(($C$9:$G$9="CO4")*ISNUMBER($C$10:$G$10)*ISNUMBER(C184:G184)*$C$10:$G$10) * 0.15
       ) +
       IF(
         SUMPRODUCT(($H$9:$Z$9="CO4")*ISNUMBER($H$10:$Z$10)*ISNUMBER(H184:Z184)) = 0,
         0,
         SUMPRODUCT(($H$9:$Z$9="CO4")*ISNUMBER($H$10:$Z$10)*ISNUMBER(H184:Z184)*H184:Z184) /
         SUMPRODUCT(($H$9:$Z$9="CO4")*ISNUMBER($H$10:$Z$10)*ISNUMBER(H184:Z184)*$H$10:$Z$10) * 0.85
       )
     ) * 100,
     ""
   )
)</f>
        <v/>
      </c>
      <c r="AE184" s="1" t="str" cm="1">
        <f t="array" ref="AE184">IF(
   SUMPRODUCT(($C$9:$G$9="CO5")*ISNUMBER($C$10:$G$10)*ISNUMBER(C184:G184)) +
   SUMPRODUCT(($H$9:$Z$9="CO5")*ISNUMBER($H$10:$Z$10)*ISNUMBER(H184:Z184)) = 0,
   "",
   IFERROR(
     (
       IF(
         SUMPRODUCT(($C$9:$G$9="CO5")*ISNUMBER($C$10:$G$10)*ISNUMBER(C184:G184)) = 0,
         0,
         SUMPRODUCT(($C$9:$G$9="CO5")*ISNUMBER($C$10:$G$10)*ISNUMBER(C184:G184)*C184:G184) /
         SUMPRODUCT(($C$9:$G$9="CO5")*ISNUMBER($C$10:$G$10)*ISNUMBER(C184:G184)*$C$10:$G$10) * 0.15
       ) +
       IF(
         SUMPRODUCT(($H$9:$Z$9="CO5")*ISNUMBER($H$10:$Z$10)*ISNUMBER(H184:Z184)) = 0,
         0,
         SUMPRODUCT(($H$9:$Z$9="CO5")*ISNUMBER($H$10:$Z$10)*ISNUMBER(H184:Z184)*H184:Z184) /
         SUMPRODUCT(($H$9:$Z$9="CO5")*ISNUMBER($H$10:$Z$10)*ISNUMBER(H184:Z184)*$H$10:$Z$10) * 0.85
       )
     ) * 100,
     ""
   )
)</f>
        <v/>
      </c>
      <c r="AF184" s="1" t="str" cm="1">
        <f t="array" ref="AF184">IF(
   SUMPRODUCT(($C$9:$G$9="CO6")*ISNUMBER($C$10:$G$10)*ISNUMBER(C184:G184)) +
   SUMPRODUCT(($H$9:$Z$9="CO6")*ISNUMBER($H$10:$Z$10)*ISNUMBER(H184:Z184)) = 0,
   "",
   IFERROR(
     (
       IF(
         SUMPRODUCT(($C$9:$G$9="CO6")*ISNUMBER($C$10:$G$10)*ISNUMBER(C184:G184)) = 0,
         0,
         SUMPRODUCT(($C$9:$G$9="CO6")*ISNUMBER($C$10:$G$10)*ISNUMBER(C184:G184)*C184:G184) /
         SUMPRODUCT(($C$9:$G$9="CO6")*ISNUMBER($C$10:$G$10)*ISNUMBER(C184:G184)*$C$10:$G$10) * 0.15
       ) +
       IF(
         SUMPRODUCT(($H$9:$Z$9="CO6")*ISNUMBER($H$10:$Z$10)*ISNUMBER(H184:Z184)) = 0,
         0,
         SUMPRODUCT(($H$9:$Z$9="CO6")*ISNUMBER($H$10:$Z$10)*ISNUMBER(H184:Z184)*H184:Z184) /
         SUMPRODUCT(($H$9:$Z$9="CO6")*ISNUMBER($H$10:$Z$10)*ISNUMBER(H184:Z184)*$H$10:$Z$10) * 0.85
       )
     ) * 100,
     ""
   )
)</f>
        <v/>
      </c>
      <c r="AG184" s="1" t="str" cm="1">
        <f t="array" ref="AG184">IF(
   SUMPRODUCT(($C$9:$G$9="CO7")*ISNUMBER($C$10:$G$10)*ISNUMBER(C184:G184)) +
   SUMPRODUCT(($H$9:$Z$9="CO7")*ISNUMBER($H$10:$Z$10)*ISNUMBER(H184:Z184)) = 0,
   "",
   IFERROR(
     (
       IF(
         SUMPRODUCT(($C$9:$G$9="CO7")*ISNUMBER($C$10:$G$10)*ISNUMBER(C184:G184)) = 0,
         0,
         SUMPRODUCT(($C$9:$G$9="CO7")*ISNUMBER($C$10:$G$10)*ISNUMBER(C184:G184)*C184:G184) /
         SUMPRODUCT(($C$9:$G$9="CO7")*ISNUMBER($C$10:$G$10)*ISNUMBER(C184:G184)*$C$10:$G$10) * 0.15
       ) +
       IF(
         SUMPRODUCT(($H$9:$Z$9="CO7")*ISNUMBER($H$10:$Z$10)*ISNUMBER(H184:Z184)) = 0,
         0,
         SUMPRODUCT(($H$9:$Z$9="CO7")*ISNUMBER($H$10:$Z$10)*ISNUMBER(H184:Z184)*H184:Z184) /
         SUMPRODUCT(($H$9:$Z$9="CO7")*ISNUMBER($H$10:$Z$10)*ISNUMBER(H184:Z184)*$H$10:$Z$10) * 0.85
       )
     ) * 100,
     ""
   )
)</f>
        <v/>
      </c>
      <c r="AH184" s="3" t="str" cm="1">
        <f t="array" ref="AH184">IF(
   SUMPRODUCT(($C$9:$G$9="CO8")*ISNUMBER($C$10:$G$10)*ISNUMBER(C184:G184)) +
   SUMPRODUCT(($H$9:$Z$9="CO8")*ISNUMBER($H$10:$Z$10)*ISNUMBER(H184:Z184)) = 0,
   "",
   IFERROR(
     (
       IF(
         SUMPRODUCT(($C$9:$G$9="CO8")*ISNUMBER($C$10:$G$10)*ISNUMBER(C184:G184)) = 0,
         0,
         SUMPRODUCT(($C$9:$G$9="CO8")*ISNUMBER($C$10:$G$10)*ISNUMBER(C184:G184)*C184:G184) /
         SUMPRODUCT(($C$9:$G$9="CO8")*ISNUMBER($C$10:$G$10)*ISNUMBER(C184:G184)*$C$10:$G$10) * 0.15
       ) +
       IF(
         SUMPRODUCT(($H$9:$Z$9="CO8")*ISNUMBER($H$10:$Z$10)*ISNUMBER(H184:Z184)) = 0,
         0,
         SUMPRODUCT(($H$9:$Z$9="CO8")*ISNUMBER($H$10:$Z$10)*ISNUMBER(H184:Z184)*H184:Z184) /
         SUMPRODUCT(($H$9:$Z$9="CO8")*ISNUMBER($H$10:$Z$10)*ISNUMBER(H184:Z184)*$H$10:$Z$10) * 0.85
       )
     ) * 100,
     ""
   )
)</f>
        <v/>
      </c>
      <c r="AI184" s="1" t="str">
        <f t="shared" si="18"/>
        <v/>
      </c>
      <c r="AJ184" s="1" t="str">
        <f t="shared" si="18"/>
        <v/>
      </c>
      <c r="AK184" s="1" t="str">
        <f t="shared" si="18"/>
        <v/>
      </c>
      <c r="AL184" s="1" t="str">
        <f t="shared" si="18"/>
        <v/>
      </c>
      <c r="AM184" s="1" t="str">
        <f t="shared" si="18"/>
        <v/>
      </c>
      <c r="AN184" s="1" t="str">
        <f t="shared" si="18"/>
        <v/>
      </c>
      <c r="AO184" s="1" t="str">
        <f t="shared" si="18"/>
        <v/>
      </c>
      <c r="AP184" s="1" t="str">
        <f t="shared" si="18"/>
        <v/>
      </c>
    </row>
    <row r="185" spans="1:42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" t="str" cm="1">
        <f t="array" ref="AA185">IF(
   SUMPRODUCT(($C$9:$G$9="CO1")*ISNUMBER($C$10:$G$10)*ISNUMBER(C185:G185)) +
   SUMPRODUCT(($H$9:$Z$9="CO1")*ISNUMBER($H$10:$Z$10)*ISNUMBER(H185:Z185)) = 0,
   "",
   IFERROR(
     (
       IF(
         SUMPRODUCT(($C$9:$G$9="CO1")*ISNUMBER($C$10:$G$10)*ISNUMBER(C185:G185)) = 0,
         0,
         SUMPRODUCT(($C$9:$G$9="CO1")*ISNUMBER($C$10:$G$10)*ISNUMBER(C185:G185)*C185:G185) /
         SUMPRODUCT(($C$9:$G$9="CO1")*ISNUMBER($C$10:$G$10)*ISNUMBER(C185:G185)*$C$10:$G$10) * 0.15
       ) +
       IF(
         SUMPRODUCT(($H$9:$Z$9="CO1")*ISNUMBER($H$10:$Z$10)*ISNUMBER(H185:Z185)) = 0,
         0,
         SUMPRODUCT(($H$9:$Z$9="CO1")*ISNUMBER($H$10:$Z$10)*ISNUMBER(H185:Z185)*H185:Z185) /
         SUMPRODUCT(($H$9:$Z$9="CO1")*ISNUMBER($H$10:$Z$10)*ISNUMBER(H185:Z185)*$H$10:$Z$10) * 0.85
       )
     ) * 100,
     ""
   )
)</f>
        <v/>
      </c>
      <c r="AB185" s="1" t="str" cm="1">
        <f t="array" ref="AB185">IF(
   SUMPRODUCT(($C$9:$G$9="CO2")*ISNUMBER($C$10:$G$10)*ISNUMBER(C185:G185)) +
   SUMPRODUCT(($H$9:$Z$9="CO2")*ISNUMBER($H$10:$Z$10)*ISNUMBER(H185:Z185)) = 0,
   "",
   IFERROR(
     (
       IF(
         SUMPRODUCT(($C$9:$G$9="CO2")*ISNUMBER($C$10:$G$10)*ISNUMBER(C185:G185)) = 0,
         0,
         SUMPRODUCT(($C$9:$G$9="CO2")*ISNUMBER($C$10:$G$10)*ISNUMBER(C185:G185)*C185:G185) /
         SUMPRODUCT(($C$9:$G$9="CO2")*ISNUMBER($C$10:$G$10)*ISNUMBER(C185:G185)*$C$10:$G$10) * 0.15
       ) +
       IF(
         SUMPRODUCT(($H$9:$Z$9="CO2")*ISNUMBER($H$10:$Z$10)*ISNUMBER(H185:Z185)) = 0,
         0,
         SUMPRODUCT(($H$9:$Z$9="CO2")*ISNUMBER($H$10:$Z$10)*ISNUMBER(H185:Z185)*H185:Z185) /
         SUMPRODUCT(($H$9:$Z$9="CO2")*ISNUMBER($H$10:$Z$10)*ISNUMBER(H185:Z185)*$H$10:$Z$10) * 0.85
       )
     ) * 100,
     ""
   )
)</f>
        <v/>
      </c>
      <c r="AC185" s="1" t="str" cm="1">
        <f t="array" ref="AC185">IF(
   SUMPRODUCT(($C$9:$G$9="CO3")*ISNUMBER($C$10:$G$10)*ISNUMBER(C185:G185)) +
   SUMPRODUCT(($H$9:$Z$9="CO3")*ISNUMBER($H$10:$Z$10)*ISNUMBER(H185:Z185)) = 0,
   "",
   IFERROR(
     (
       IF(
         SUMPRODUCT(($C$9:$G$9="CO3")*ISNUMBER($C$10:$G$10)*ISNUMBER(C185:G185)) = 0,
         0,
         SUMPRODUCT(($C$9:$G$9="CO3")*ISNUMBER($C$10:$G$10)*ISNUMBER(C185:G185)*C185:G185) /
         SUMPRODUCT(($C$9:$G$9="CO3")*ISNUMBER($C$10:$G$10)*ISNUMBER(C185:G185)*$C$10:$G$10) * 0.15
       ) +
       IF(
         SUMPRODUCT(($H$9:$Z$9="CO3")*ISNUMBER($H$10:$Z$10)*ISNUMBER(H185:Z185)) = 0,
         0,
         SUMPRODUCT(($H$9:$Z$9="CO3")*ISNUMBER($H$10:$Z$10)*ISNUMBER(H185:Z185)*H185:Z185) /
         SUMPRODUCT(($H$9:$Z$9="CO3")*ISNUMBER($H$10:$Z$10)*ISNUMBER(H185:Z185)*$H$10:$Z$10) * 0.85
       )
     ) * 100,
     ""
   )
)</f>
        <v/>
      </c>
      <c r="AD185" s="1" t="str" cm="1">
        <f t="array" ref="AD185">IF(
   SUMPRODUCT(($C$9:$G$9="CO4")*ISNUMBER($C$10:$G$10)*ISNUMBER(C185:G185)) +
   SUMPRODUCT(($H$9:$Z$9="CO4")*ISNUMBER($H$10:$Z$10)*ISNUMBER(H185:Z185)) = 0,
   "",
   IFERROR(
     (
       IF(
         SUMPRODUCT(($C$9:$G$9="CO4")*ISNUMBER($C$10:$G$10)*ISNUMBER(C185:G185)) = 0,
         0,
         SUMPRODUCT(($C$9:$G$9="CO4")*ISNUMBER($C$10:$G$10)*ISNUMBER(C185:G185)*C185:G185) /
         SUMPRODUCT(($C$9:$G$9="CO4")*ISNUMBER($C$10:$G$10)*ISNUMBER(C185:G185)*$C$10:$G$10) * 0.15
       ) +
       IF(
         SUMPRODUCT(($H$9:$Z$9="CO4")*ISNUMBER($H$10:$Z$10)*ISNUMBER(H185:Z185)) = 0,
         0,
         SUMPRODUCT(($H$9:$Z$9="CO4")*ISNUMBER($H$10:$Z$10)*ISNUMBER(H185:Z185)*H185:Z185) /
         SUMPRODUCT(($H$9:$Z$9="CO4")*ISNUMBER($H$10:$Z$10)*ISNUMBER(H185:Z185)*$H$10:$Z$10) * 0.85
       )
     ) * 100,
     ""
   )
)</f>
        <v/>
      </c>
      <c r="AE185" s="1" t="str" cm="1">
        <f t="array" ref="AE185">IF(
   SUMPRODUCT(($C$9:$G$9="CO5")*ISNUMBER($C$10:$G$10)*ISNUMBER(C185:G185)) +
   SUMPRODUCT(($H$9:$Z$9="CO5")*ISNUMBER($H$10:$Z$10)*ISNUMBER(H185:Z185)) = 0,
   "",
   IFERROR(
     (
       IF(
         SUMPRODUCT(($C$9:$G$9="CO5")*ISNUMBER($C$10:$G$10)*ISNUMBER(C185:G185)) = 0,
         0,
         SUMPRODUCT(($C$9:$G$9="CO5")*ISNUMBER($C$10:$G$10)*ISNUMBER(C185:G185)*C185:G185) /
         SUMPRODUCT(($C$9:$G$9="CO5")*ISNUMBER($C$10:$G$10)*ISNUMBER(C185:G185)*$C$10:$G$10) * 0.15
       ) +
       IF(
         SUMPRODUCT(($H$9:$Z$9="CO5")*ISNUMBER($H$10:$Z$10)*ISNUMBER(H185:Z185)) = 0,
         0,
         SUMPRODUCT(($H$9:$Z$9="CO5")*ISNUMBER($H$10:$Z$10)*ISNUMBER(H185:Z185)*H185:Z185) /
         SUMPRODUCT(($H$9:$Z$9="CO5")*ISNUMBER($H$10:$Z$10)*ISNUMBER(H185:Z185)*$H$10:$Z$10) * 0.85
       )
     ) * 100,
     ""
   )
)</f>
        <v/>
      </c>
      <c r="AF185" s="1" t="str" cm="1">
        <f t="array" ref="AF185">IF(
   SUMPRODUCT(($C$9:$G$9="CO6")*ISNUMBER($C$10:$G$10)*ISNUMBER(C185:G185)) +
   SUMPRODUCT(($H$9:$Z$9="CO6")*ISNUMBER($H$10:$Z$10)*ISNUMBER(H185:Z185)) = 0,
   "",
   IFERROR(
     (
       IF(
         SUMPRODUCT(($C$9:$G$9="CO6")*ISNUMBER($C$10:$G$10)*ISNUMBER(C185:G185)) = 0,
         0,
         SUMPRODUCT(($C$9:$G$9="CO6")*ISNUMBER($C$10:$G$10)*ISNUMBER(C185:G185)*C185:G185) /
         SUMPRODUCT(($C$9:$G$9="CO6")*ISNUMBER($C$10:$G$10)*ISNUMBER(C185:G185)*$C$10:$G$10) * 0.15
       ) +
       IF(
         SUMPRODUCT(($H$9:$Z$9="CO6")*ISNUMBER($H$10:$Z$10)*ISNUMBER(H185:Z185)) = 0,
         0,
         SUMPRODUCT(($H$9:$Z$9="CO6")*ISNUMBER($H$10:$Z$10)*ISNUMBER(H185:Z185)*H185:Z185) /
         SUMPRODUCT(($H$9:$Z$9="CO6")*ISNUMBER($H$10:$Z$10)*ISNUMBER(H185:Z185)*$H$10:$Z$10) * 0.85
       )
     ) * 100,
     ""
   )
)</f>
        <v/>
      </c>
      <c r="AG185" s="1" t="str" cm="1">
        <f t="array" ref="AG185">IF(
   SUMPRODUCT(($C$9:$G$9="CO7")*ISNUMBER($C$10:$G$10)*ISNUMBER(C185:G185)) +
   SUMPRODUCT(($H$9:$Z$9="CO7")*ISNUMBER($H$10:$Z$10)*ISNUMBER(H185:Z185)) = 0,
   "",
   IFERROR(
     (
       IF(
         SUMPRODUCT(($C$9:$G$9="CO7")*ISNUMBER($C$10:$G$10)*ISNUMBER(C185:G185)) = 0,
         0,
         SUMPRODUCT(($C$9:$G$9="CO7")*ISNUMBER($C$10:$G$10)*ISNUMBER(C185:G185)*C185:G185) /
         SUMPRODUCT(($C$9:$G$9="CO7")*ISNUMBER($C$10:$G$10)*ISNUMBER(C185:G185)*$C$10:$G$10) * 0.15
       ) +
       IF(
         SUMPRODUCT(($H$9:$Z$9="CO7")*ISNUMBER($H$10:$Z$10)*ISNUMBER(H185:Z185)) = 0,
         0,
         SUMPRODUCT(($H$9:$Z$9="CO7")*ISNUMBER($H$10:$Z$10)*ISNUMBER(H185:Z185)*H185:Z185) /
         SUMPRODUCT(($H$9:$Z$9="CO7")*ISNUMBER($H$10:$Z$10)*ISNUMBER(H185:Z185)*$H$10:$Z$10) * 0.85
       )
     ) * 100,
     ""
   )
)</f>
        <v/>
      </c>
      <c r="AH185" s="3" t="str" cm="1">
        <f t="array" ref="AH185">IF(
   SUMPRODUCT(($C$9:$G$9="CO8")*ISNUMBER($C$10:$G$10)*ISNUMBER(C185:G185)) +
   SUMPRODUCT(($H$9:$Z$9="CO8")*ISNUMBER($H$10:$Z$10)*ISNUMBER(H185:Z185)) = 0,
   "",
   IFERROR(
     (
       IF(
         SUMPRODUCT(($C$9:$G$9="CO8")*ISNUMBER($C$10:$G$10)*ISNUMBER(C185:G185)) = 0,
         0,
         SUMPRODUCT(($C$9:$G$9="CO8")*ISNUMBER($C$10:$G$10)*ISNUMBER(C185:G185)*C185:G185) /
         SUMPRODUCT(($C$9:$G$9="CO8")*ISNUMBER($C$10:$G$10)*ISNUMBER(C185:G185)*$C$10:$G$10) * 0.15
       ) +
       IF(
         SUMPRODUCT(($H$9:$Z$9="CO8")*ISNUMBER($H$10:$Z$10)*ISNUMBER(H185:Z185)) = 0,
         0,
         SUMPRODUCT(($H$9:$Z$9="CO8")*ISNUMBER($H$10:$Z$10)*ISNUMBER(H185:Z185)*H185:Z185) /
         SUMPRODUCT(($H$9:$Z$9="CO8")*ISNUMBER($H$10:$Z$10)*ISNUMBER(H185:Z185)*$H$10:$Z$10) * 0.85
       )
     ) * 100,
     ""
   )
)</f>
        <v/>
      </c>
      <c r="AI185" s="1" t="str">
        <f t="shared" si="18"/>
        <v/>
      </c>
      <c r="AJ185" s="1" t="str">
        <f t="shared" si="18"/>
        <v/>
      </c>
      <c r="AK185" s="1" t="str">
        <f t="shared" si="18"/>
        <v/>
      </c>
      <c r="AL185" s="1" t="str">
        <f t="shared" si="18"/>
        <v/>
      </c>
      <c r="AM185" s="1" t="str">
        <f t="shared" si="18"/>
        <v/>
      </c>
      <c r="AN185" s="1" t="str">
        <f t="shared" si="18"/>
        <v/>
      </c>
      <c r="AO185" s="1" t="str">
        <f t="shared" si="18"/>
        <v/>
      </c>
      <c r="AP185" s="1" t="str">
        <f t="shared" ref="AP185:AP199" si="19">IF(AH185="", "", IF(AH185&lt;40, "F", IF(AH185&lt;50, "P", IF(AH185&lt;60, "S", IF(AH185&lt;70, "First", "D")))))</f>
        <v/>
      </c>
    </row>
    <row r="186" spans="1:42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" t="str" cm="1">
        <f t="array" ref="AA186">IF(
   SUMPRODUCT(($C$9:$G$9="CO1")*ISNUMBER($C$10:$G$10)*ISNUMBER(C186:G186)) +
   SUMPRODUCT(($H$9:$Z$9="CO1")*ISNUMBER($H$10:$Z$10)*ISNUMBER(H186:Z186)) = 0,
   "",
   IFERROR(
     (
       IF(
         SUMPRODUCT(($C$9:$G$9="CO1")*ISNUMBER($C$10:$G$10)*ISNUMBER(C186:G186)) = 0,
         0,
         SUMPRODUCT(($C$9:$G$9="CO1")*ISNUMBER($C$10:$G$10)*ISNUMBER(C186:G186)*C186:G186) /
         SUMPRODUCT(($C$9:$G$9="CO1")*ISNUMBER($C$10:$G$10)*ISNUMBER(C186:G186)*$C$10:$G$10) * 0.15
       ) +
       IF(
         SUMPRODUCT(($H$9:$Z$9="CO1")*ISNUMBER($H$10:$Z$10)*ISNUMBER(H186:Z186)) = 0,
         0,
         SUMPRODUCT(($H$9:$Z$9="CO1")*ISNUMBER($H$10:$Z$10)*ISNUMBER(H186:Z186)*H186:Z186) /
         SUMPRODUCT(($H$9:$Z$9="CO1")*ISNUMBER($H$10:$Z$10)*ISNUMBER(H186:Z186)*$H$10:$Z$10) * 0.85
       )
     ) * 100,
     ""
   )
)</f>
        <v/>
      </c>
      <c r="AB186" s="1" t="str" cm="1">
        <f t="array" ref="AB186">IF(
   SUMPRODUCT(($C$9:$G$9="CO2")*ISNUMBER($C$10:$G$10)*ISNUMBER(C186:G186)) +
   SUMPRODUCT(($H$9:$Z$9="CO2")*ISNUMBER($H$10:$Z$10)*ISNUMBER(H186:Z186)) = 0,
   "",
   IFERROR(
     (
       IF(
         SUMPRODUCT(($C$9:$G$9="CO2")*ISNUMBER($C$10:$G$10)*ISNUMBER(C186:G186)) = 0,
         0,
         SUMPRODUCT(($C$9:$G$9="CO2")*ISNUMBER($C$10:$G$10)*ISNUMBER(C186:G186)*C186:G186) /
         SUMPRODUCT(($C$9:$G$9="CO2")*ISNUMBER($C$10:$G$10)*ISNUMBER(C186:G186)*$C$10:$G$10) * 0.15
       ) +
       IF(
         SUMPRODUCT(($H$9:$Z$9="CO2")*ISNUMBER($H$10:$Z$10)*ISNUMBER(H186:Z186)) = 0,
         0,
         SUMPRODUCT(($H$9:$Z$9="CO2")*ISNUMBER($H$10:$Z$10)*ISNUMBER(H186:Z186)*H186:Z186) /
         SUMPRODUCT(($H$9:$Z$9="CO2")*ISNUMBER($H$10:$Z$10)*ISNUMBER(H186:Z186)*$H$10:$Z$10) * 0.85
       )
     ) * 100,
     ""
   )
)</f>
        <v/>
      </c>
      <c r="AC186" s="1" t="str" cm="1">
        <f t="array" ref="AC186">IF(
   SUMPRODUCT(($C$9:$G$9="CO3")*ISNUMBER($C$10:$G$10)*ISNUMBER(C186:G186)) +
   SUMPRODUCT(($H$9:$Z$9="CO3")*ISNUMBER($H$10:$Z$10)*ISNUMBER(H186:Z186)) = 0,
   "",
   IFERROR(
     (
       IF(
         SUMPRODUCT(($C$9:$G$9="CO3")*ISNUMBER($C$10:$G$10)*ISNUMBER(C186:G186)) = 0,
         0,
         SUMPRODUCT(($C$9:$G$9="CO3")*ISNUMBER($C$10:$G$10)*ISNUMBER(C186:G186)*C186:G186) /
         SUMPRODUCT(($C$9:$G$9="CO3")*ISNUMBER($C$10:$G$10)*ISNUMBER(C186:G186)*$C$10:$G$10) * 0.15
       ) +
       IF(
         SUMPRODUCT(($H$9:$Z$9="CO3")*ISNUMBER($H$10:$Z$10)*ISNUMBER(H186:Z186)) = 0,
         0,
         SUMPRODUCT(($H$9:$Z$9="CO3")*ISNUMBER($H$10:$Z$10)*ISNUMBER(H186:Z186)*H186:Z186) /
         SUMPRODUCT(($H$9:$Z$9="CO3")*ISNUMBER($H$10:$Z$10)*ISNUMBER(H186:Z186)*$H$10:$Z$10) * 0.85
       )
     ) * 100,
     ""
   )
)</f>
        <v/>
      </c>
      <c r="AD186" s="1" t="str" cm="1">
        <f t="array" ref="AD186">IF(
   SUMPRODUCT(($C$9:$G$9="CO4")*ISNUMBER($C$10:$G$10)*ISNUMBER(C186:G186)) +
   SUMPRODUCT(($H$9:$Z$9="CO4")*ISNUMBER($H$10:$Z$10)*ISNUMBER(H186:Z186)) = 0,
   "",
   IFERROR(
     (
       IF(
         SUMPRODUCT(($C$9:$G$9="CO4")*ISNUMBER($C$10:$G$10)*ISNUMBER(C186:G186)) = 0,
         0,
         SUMPRODUCT(($C$9:$G$9="CO4")*ISNUMBER($C$10:$G$10)*ISNUMBER(C186:G186)*C186:G186) /
         SUMPRODUCT(($C$9:$G$9="CO4")*ISNUMBER($C$10:$G$10)*ISNUMBER(C186:G186)*$C$10:$G$10) * 0.15
       ) +
       IF(
         SUMPRODUCT(($H$9:$Z$9="CO4")*ISNUMBER($H$10:$Z$10)*ISNUMBER(H186:Z186)) = 0,
         0,
         SUMPRODUCT(($H$9:$Z$9="CO4")*ISNUMBER($H$10:$Z$10)*ISNUMBER(H186:Z186)*H186:Z186) /
         SUMPRODUCT(($H$9:$Z$9="CO4")*ISNUMBER($H$10:$Z$10)*ISNUMBER(H186:Z186)*$H$10:$Z$10) * 0.85
       )
     ) * 100,
     ""
   )
)</f>
        <v/>
      </c>
      <c r="AE186" s="1" t="str" cm="1">
        <f t="array" ref="AE186">IF(
   SUMPRODUCT(($C$9:$G$9="CO5")*ISNUMBER($C$10:$G$10)*ISNUMBER(C186:G186)) +
   SUMPRODUCT(($H$9:$Z$9="CO5")*ISNUMBER($H$10:$Z$10)*ISNUMBER(H186:Z186)) = 0,
   "",
   IFERROR(
     (
       IF(
         SUMPRODUCT(($C$9:$G$9="CO5")*ISNUMBER($C$10:$G$10)*ISNUMBER(C186:G186)) = 0,
         0,
         SUMPRODUCT(($C$9:$G$9="CO5")*ISNUMBER($C$10:$G$10)*ISNUMBER(C186:G186)*C186:G186) /
         SUMPRODUCT(($C$9:$G$9="CO5")*ISNUMBER($C$10:$G$10)*ISNUMBER(C186:G186)*$C$10:$G$10) * 0.15
       ) +
       IF(
         SUMPRODUCT(($H$9:$Z$9="CO5")*ISNUMBER($H$10:$Z$10)*ISNUMBER(H186:Z186)) = 0,
         0,
         SUMPRODUCT(($H$9:$Z$9="CO5")*ISNUMBER($H$10:$Z$10)*ISNUMBER(H186:Z186)*H186:Z186) /
         SUMPRODUCT(($H$9:$Z$9="CO5")*ISNUMBER($H$10:$Z$10)*ISNUMBER(H186:Z186)*$H$10:$Z$10) * 0.85
       )
     ) * 100,
     ""
   )
)</f>
        <v/>
      </c>
      <c r="AF186" s="1" t="str" cm="1">
        <f t="array" ref="AF186">IF(
   SUMPRODUCT(($C$9:$G$9="CO6")*ISNUMBER($C$10:$G$10)*ISNUMBER(C186:G186)) +
   SUMPRODUCT(($H$9:$Z$9="CO6")*ISNUMBER($H$10:$Z$10)*ISNUMBER(H186:Z186)) = 0,
   "",
   IFERROR(
     (
       IF(
         SUMPRODUCT(($C$9:$G$9="CO6")*ISNUMBER($C$10:$G$10)*ISNUMBER(C186:G186)) = 0,
         0,
         SUMPRODUCT(($C$9:$G$9="CO6")*ISNUMBER($C$10:$G$10)*ISNUMBER(C186:G186)*C186:G186) /
         SUMPRODUCT(($C$9:$G$9="CO6")*ISNUMBER($C$10:$G$10)*ISNUMBER(C186:G186)*$C$10:$G$10) * 0.15
       ) +
       IF(
         SUMPRODUCT(($H$9:$Z$9="CO6")*ISNUMBER($H$10:$Z$10)*ISNUMBER(H186:Z186)) = 0,
         0,
         SUMPRODUCT(($H$9:$Z$9="CO6")*ISNUMBER($H$10:$Z$10)*ISNUMBER(H186:Z186)*H186:Z186) /
         SUMPRODUCT(($H$9:$Z$9="CO6")*ISNUMBER($H$10:$Z$10)*ISNUMBER(H186:Z186)*$H$10:$Z$10) * 0.85
       )
     ) * 100,
     ""
   )
)</f>
        <v/>
      </c>
      <c r="AG186" s="1" t="str" cm="1">
        <f t="array" ref="AG186">IF(
   SUMPRODUCT(($C$9:$G$9="CO7")*ISNUMBER($C$10:$G$10)*ISNUMBER(C186:G186)) +
   SUMPRODUCT(($H$9:$Z$9="CO7")*ISNUMBER($H$10:$Z$10)*ISNUMBER(H186:Z186)) = 0,
   "",
   IFERROR(
     (
       IF(
         SUMPRODUCT(($C$9:$G$9="CO7")*ISNUMBER($C$10:$G$10)*ISNUMBER(C186:G186)) = 0,
         0,
         SUMPRODUCT(($C$9:$G$9="CO7")*ISNUMBER($C$10:$G$10)*ISNUMBER(C186:G186)*C186:G186) /
         SUMPRODUCT(($C$9:$G$9="CO7")*ISNUMBER($C$10:$G$10)*ISNUMBER(C186:G186)*$C$10:$G$10) * 0.15
       ) +
       IF(
         SUMPRODUCT(($H$9:$Z$9="CO7")*ISNUMBER($H$10:$Z$10)*ISNUMBER(H186:Z186)) = 0,
         0,
         SUMPRODUCT(($H$9:$Z$9="CO7")*ISNUMBER($H$10:$Z$10)*ISNUMBER(H186:Z186)*H186:Z186) /
         SUMPRODUCT(($H$9:$Z$9="CO7")*ISNUMBER($H$10:$Z$10)*ISNUMBER(H186:Z186)*$H$10:$Z$10) * 0.85
       )
     ) * 100,
     ""
   )
)</f>
        <v/>
      </c>
      <c r="AH186" s="3" t="str" cm="1">
        <f t="array" ref="AH186">IF(
   SUMPRODUCT(($C$9:$G$9="CO8")*ISNUMBER($C$10:$G$10)*ISNUMBER(C186:G186)) +
   SUMPRODUCT(($H$9:$Z$9="CO8")*ISNUMBER($H$10:$Z$10)*ISNUMBER(H186:Z186)) = 0,
   "",
   IFERROR(
     (
       IF(
         SUMPRODUCT(($C$9:$G$9="CO8")*ISNUMBER($C$10:$G$10)*ISNUMBER(C186:G186)) = 0,
         0,
         SUMPRODUCT(($C$9:$G$9="CO8")*ISNUMBER($C$10:$G$10)*ISNUMBER(C186:G186)*C186:G186) /
         SUMPRODUCT(($C$9:$G$9="CO8")*ISNUMBER($C$10:$G$10)*ISNUMBER(C186:G186)*$C$10:$G$10) * 0.15
       ) +
       IF(
         SUMPRODUCT(($H$9:$Z$9="CO8")*ISNUMBER($H$10:$Z$10)*ISNUMBER(H186:Z186)) = 0,
         0,
         SUMPRODUCT(($H$9:$Z$9="CO8")*ISNUMBER($H$10:$Z$10)*ISNUMBER(H186:Z186)*H186:Z186) /
         SUMPRODUCT(($H$9:$Z$9="CO8")*ISNUMBER($H$10:$Z$10)*ISNUMBER(H186:Z186)*$H$10:$Z$10) * 0.85
       )
     ) * 100,
     ""
   )
)</f>
        <v/>
      </c>
      <c r="AI186" s="1" t="str">
        <f t="shared" ref="AI186:AP202" si="20">IF(AA186="", "", IF(AA186&lt;40, "F", IF(AA186&lt;50, "P", IF(AA186&lt;60, "S", IF(AA186&lt;70, "First", "D")))))</f>
        <v/>
      </c>
      <c r="AJ186" s="1" t="str">
        <f t="shared" si="20"/>
        <v/>
      </c>
      <c r="AK186" s="1" t="str">
        <f t="shared" si="20"/>
        <v/>
      </c>
      <c r="AL186" s="1" t="str">
        <f t="shared" si="20"/>
        <v/>
      </c>
      <c r="AM186" s="1" t="str">
        <f t="shared" si="20"/>
        <v/>
      </c>
      <c r="AN186" s="1" t="str">
        <f t="shared" si="20"/>
        <v/>
      </c>
      <c r="AO186" s="1" t="str">
        <f t="shared" si="20"/>
        <v/>
      </c>
      <c r="AP186" s="1" t="str">
        <f t="shared" si="19"/>
        <v/>
      </c>
    </row>
    <row r="187" spans="1:42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" t="str" cm="1">
        <f t="array" ref="AA187">IF(
   SUMPRODUCT(($C$9:$G$9="CO1")*ISNUMBER($C$10:$G$10)*ISNUMBER(C187:G187)) +
   SUMPRODUCT(($H$9:$Z$9="CO1")*ISNUMBER($H$10:$Z$10)*ISNUMBER(H187:Z187)) = 0,
   "",
   IFERROR(
     (
       IF(
         SUMPRODUCT(($C$9:$G$9="CO1")*ISNUMBER($C$10:$G$10)*ISNUMBER(C187:G187)) = 0,
         0,
         SUMPRODUCT(($C$9:$G$9="CO1")*ISNUMBER($C$10:$G$10)*ISNUMBER(C187:G187)*C187:G187) /
         SUMPRODUCT(($C$9:$G$9="CO1")*ISNUMBER($C$10:$G$10)*ISNUMBER(C187:G187)*$C$10:$G$10) * 0.15
       ) +
       IF(
         SUMPRODUCT(($H$9:$Z$9="CO1")*ISNUMBER($H$10:$Z$10)*ISNUMBER(H187:Z187)) = 0,
         0,
         SUMPRODUCT(($H$9:$Z$9="CO1")*ISNUMBER($H$10:$Z$10)*ISNUMBER(H187:Z187)*H187:Z187) /
         SUMPRODUCT(($H$9:$Z$9="CO1")*ISNUMBER($H$10:$Z$10)*ISNUMBER(H187:Z187)*$H$10:$Z$10) * 0.85
       )
     ) * 100,
     ""
   )
)</f>
        <v/>
      </c>
      <c r="AB187" s="1" t="str" cm="1">
        <f t="array" ref="AB187">IF(
   SUMPRODUCT(($C$9:$G$9="CO2")*ISNUMBER($C$10:$G$10)*ISNUMBER(C187:G187)) +
   SUMPRODUCT(($H$9:$Z$9="CO2")*ISNUMBER($H$10:$Z$10)*ISNUMBER(H187:Z187)) = 0,
   "",
   IFERROR(
     (
       IF(
         SUMPRODUCT(($C$9:$G$9="CO2")*ISNUMBER($C$10:$G$10)*ISNUMBER(C187:G187)) = 0,
         0,
         SUMPRODUCT(($C$9:$G$9="CO2")*ISNUMBER($C$10:$G$10)*ISNUMBER(C187:G187)*C187:G187) /
         SUMPRODUCT(($C$9:$G$9="CO2")*ISNUMBER($C$10:$G$10)*ISNUMBER(C187:G187)*$C$10:$G$10) * 0.15
       ) +
       IF(
         SUMPRODUCT(($H$9:$Z$9="CO2")*ISNUMBER($H$10:$Z$10)*ISNUMBER(H187:Z187)) = 0,
         0,
         SUMPRODUCT(($H$9:$Z$9="CO2")*ISNUMBER($H$10:$Z$10)*ISNUMBER(H187:Z187)*H187:Z187) /
         SUMPRODUCT(($H$9:$Z$9="CO2")*ISNUMBER($H$10:$Z$10)*ISNUMBER(H187:Z187)*$H$10:$Z$10) * 0.85
       )
     ) * 100,
     ""
   )
)</f>
        <v/>
      </c>
      <c r="AC187" s="1" t="str" cm="1">
        <f t="array" ref="AC187">IF(
   SUMPRODUCT(($C$9:$G$9="CO3")*ISNUMBER($C$10:$G$10)*ISNUMBER(C187:G187)) +
   SUMPRODUCT(($H$9:$Z$9="CO3")*ISNUMBER($H$10:$Z$10)*ISNUMBER(H187:Z187)) = 0,
   "",
   IFERROR(
     (
       IF(
         SUMPRODUCT(($C$9:$G$9="CO3")*ISNUMBER($C$10:$G$10)*ISNUMBER(C187:G187)) = 0,
         0,
         SUMPRODUCT(($C$9:$G$9="CO3")*ISNUMBER($C$10:$G$10)*ISNUMBER(C187:G187)*C187:G187) /
         SUMPRODUCT(($C$9:$G$9="CO3")*ISNUMBER($C$10:$G$10)*ISNUMBER(C187:G187)*$C$10:$G$10) * 0.15
       ) +
       IF(
         SUMPRODUCT(($H$9:$Z$9="CO3")*ISNUMBER($H$10:$Z$10)*ISNUMBER(H187:Z187)) = 0,
         0,
         SUMPRODUCT(($H$9:$Z$9="CO3")*ISNUMBER($H$10:$Z$10)*ISNUMBER(H187:Z187)*H187:Z187) /
         SUMPRODUCT(($H$9:$Z$9="CO3")*ISNUMBER($H$10:$Z$10)*ISNUMBER(H187:Z187)*$H$10:$Z$10) * 0.85
       )
     ) * 100,
     ""
   )
)</f>
        <v/>
      </c>
      <c r="AD187" s="1" t="str" cm="1">
        <f t="array" ref="AD187">IF(
   SUMPRODUCT(($C$9:$G$9="CO4")*ISNUMBER($C$10:$G$10)*ISNUMBER(C187:G187)) +
   SUMPRODUCT(($H$9:$Z$9="CO4")*ISNUMBER($H$10:$Z$10)*ISNUMBER(H187:Z187)) = 0,
   "",
   IFERROR(
     (
       IF(
         SUMPRODUCT(($C$9:$G$9="CO4")*ISNUMBER($C$10:$G$10)*ISNUMBER(C187:G187)) = 0,
         0,
         SUMPRODUCT(($C$9:$G$9="CO4")*ISNUMBER($C$10:$G$10)*ISNUMBER(C187:G187)*C187:G187) /
         SUMPRODUCT(($C$9:$G$9="CO4")*ISNUMBER($C$10:$G$10)*ISNUMBER(C187:G187)*$C$10:$G$10) * 0.15
       ) +
       IF(
         SUMPRODUCT(($H$9:$Z$9="CO4")*ISNUMBER($H$10:$Z$10)*ISNUMBER(H187:Z187)) = 0,
         0,
         SUMPRODUCT(($H$9:$Z$9="CO4")*ISNUMBER($H$10:$Z$10)*ISNUMBER(H187:Z187)*H187:Z187) /
         SUMPRODUCT(($H$9:$Z$9="CO4")*ISNUMBER($H$10:$Z$10)*ISNUMBER(H187:Z187)*$H$10:$Z$10) * 0.85
       )
     ) * 100,
     ""
   )
)</f>
        <v/>
      </c>
      <c r="AE187" s="1" t="str" cm="1">
        <f t="array" ref="AE187">IF(
   SUMPRODUCT(($C$9:$G$9="CO5")*ISNUMBER($C$10:$G$10)*ISNUMBER(C187:G187)) +
   SUMPRODUCT(($H$9:$Z$9="CO5")*ISNUMBER($H$10:$Z$10)*ISNUMBER(H187:Z187)) = 0,
   "",
   IFERROR(
     (
       IF(
         SUMPRODUCT(($C$9:$G$9="CO5")*ISNUMBER($C$10:$G$10)*ISNUMBER(C187:G187)) = 0,
         0,
         SUMPRODUCT(($C$9:$G$9="CO5")*ISNUMBER($C$10:$G$10)*ISNUMBER(C187:G187)*C187:G187) /
         SUMPRODUCT(($C$9:$G$9="CO5")*ISNUMBER($C$10:$G$10)*ISNUMBER(C187:G187)*$C$10:$G$10) * 0.15
       ) +
       IF(
         SUMPRODUCT(($H$9:$Z$9="CO5")*ISNUMBER($H$10:$Z$10)*ISNUMBER(H187:Z187)) = 0,
         0,
         SUMPRODUCT(($H$9:$Z$9="CO5")*ISNUMBER($H$10:$Z$10)*ISNUMBER(H187:Z187)*H187:Z187) /
         SUMPRODUCT(($H$9:$Z$9="CO5")*ISNUMBER($H$10:$Z$10)*ISNUMBER(H187:Z187)*$H$10:$Z$10) * 0.85
       )
     ) * 100,
     ""
   )
)</f>
        <v/>
      </c>
      <c r="AF187" s="1" t="str" cm="1">
        <f t="array" ref="AF187">IF(
   SUMPRODUCT(($C$9:$G$9="CO6")*ISNUMBER($C$10:$G$10)*ISNUMBER(C187:G187)) +
   SUMPRODUCT(($H$9:$Z$9="CO6")*ISNUMBER($H$10:$Z$10)*ISNUMBER(H187:Z187)) = 0,
   "",
   IFERROR(
     (
       IF(
         SUMPRODUCT(($C$9:$G$9="CO6")*ISNUMBER($C$10:$G$10)*ISNUMBER(C187:G187)) = 0,
         0,
         SUMPRODUCT(($C$9:$G$9="CO6")*ISNUMBER($C$10:$G$10)*ISNUMBER(C187:G187)*C187:G187) /
         SUMPRODUCT(($C$9:$G$9="CO6")*ISNUMBER($C$10:$G$10)*ISNUMBER(C187:G187)*$C$10:$G$10) * 0.15
       ) +
       IF(
         SUMPRODUCT(($H$9:$Z$9="CO6")*ISNUMBER($H$10:$Z$10)*ISNUMBER(H187:Z187)) = 0,
         0,
         SUMPRODUCT(($H$9:$Z$9="CO6")*ISNUMBER($H$10:$Z$10)*ISNUMBER(H187:Z187)*H187:Z187) /
         SUMPRODUCT(($H$9:$Z$9="CO6")*ISNUMBER($H$10:$Z$10)*ISNUMBER(H187:Z187)*$H$10:$Z$10) * 0.85
       )
     ) * 100,
     ""
   )
)</f>
        <v/>
      </c>
      <c r="AG187" s="1" t="str" cm="1">
        <f t="array" ref="AG187">IF(
   SUMPRODUCT(($C$9:$G$9="CO7")*ISNUMBER($C$10:$G$10)*ISNUMBER(C187:G187)) +
   SUMPRODUCT(($H$9:$Z$9="CO7")*ISNUMBER($H$10:$Z$10)*ISNUMBER(H187:Z187)) = 0,
   "",
   IFERROR(
     (
       IF(
         SUMPRODUCT(($C$9:$G$9="CO7")*ISNUMBER($C$10:$G$10)*ISNUMBER(C187:G187)) = 0,
         0,
         SUMPRODUCT(($C$9:$G$9="CO7")*ISNUMBER($C$10:$G$10)*ISNUMBER(C187:G187)*C187:G187) /
         SUMPRODUCT(($C$9:$G$9="CO7")*ISNUMBER($C$10:$G$10)*ISNUMBER(C187:G187)*$C$10:$G$10) * 0.15
       ) +
       IF(
         SUMPRODUCT(($H$9:$Z$9="CO7")*ISNUMBER($H$10:$Z$10)*ISNUMBER(H187:Z187)) = 0,
         0,
         SUMPRODUCT(($H$9:$Z$9="CO7")*ISNUMBER($H$10:$Z$10)*ISNUMBER(H187:Z187)*H187:Z187) /
         SUMPRODUCT(($H$9:$Z$9="CO7")*ISNUMBER($H$10:$Z$10)*ISNUMBER(H187:Z187)*$H$10:$Z$10) * 0.85
       )
     ) * 100,
     ""
   )
)</f>
        <v/>
      </c>
      <c r="AH187" s="3" t="str" cm="1">
        <f t="array" ref="AH187">IF(
   SUMPRODUCT(($C$9:$G$9="CO8")*ISNUMBER($C$10:$G$10)*ISNUMBER(C187:G187)) +
   SUMPRODUCT(($H$9:$Z$9="CO8")*ISNUMBER($H$10:$Z$10)*ISNUMBER(H187:Z187)) = 0,
   "",
   IFERROR(
     (
       IF(
         SUMPRODUCT(($C$9:$G$9="CO8")*ISNUMBER($C$10:$G$10)*ISNUMBER(C187:G187)) = 0,
         0,
         SUMPRODUCT(($C$9:$G$9="CO8")*ISNUMBER($C$10:$G$10)*ISNUMBER(C187:G187)*C187:G187) /
         SUMPRODUCT(($C$9:$G$9="CO8")*ISNUMBER($C$10:$G$10)*ISNUMBER(C187:G187)*$C$10:$G$10) * 0.15
       ) +
       IF(
         SUMPRODUCT(($H$9:$Z$9="CO8")*ISNUMBER($H$10:$Z$10)*ISNUMBER(H187:Z187)) = 0,
         0,
         SUMPRODUCT(($H$9:$Z$9="CO8")*ISNUMBER($H$10:$Z$10)*ISNUMBER(H187:Z187)*H187:Z187) /
         SUMPRODUCT(($H$9:$Z$9="CO8")*ISNUMBER($H$10:$Z$10)*ISNUMBER(H187:Z187)*$H$10:$Z$10) * 0.85
       )
     ) * 100,
     ""
   )
)</f>
        <v/>
      </c>
      <c r="AI187" s="1" t="str">
        <f t="shared" si="20"/>
        <v/>
      </c>
      <c r="AJ187" s="1" t="str">
        <f t="shared" si="20"/>
        <v/>
      </c>
      <c r="AK187" s="1" t="str">
        <f t="shared" si="20"/>
        <v/>
      </c>
      <c r="AL187" s="1" t="str">
        <f t="shared" si="20"/>
        <v/>
      </c>
      <c r="AM187" s="1" t="str">
        <f t="shared" si="20"/>
        <v/>
      </c>
      <c r="AN187" s="1" t="str">
        <f t="shared" si="20"/>
        <v/>
      </c>
      <c r="AO187" s="1" t="str">
        <f t="shared" si="20"/>
        <v/>
      </c>
      <c r="AP187" s="1" t="str">
        <f t="shared" si="19"/>
        <v/>
      </c>
    </row>
    <row r="188" spans="1:42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" t="str" cm="1">
        <f t="array" ref="AA188">IF(
   SUMPRODUCT(($C$9:$G$9="CO1")*ISNUMBER($C$10:$G$10)*ISNUMBER(C188:G188)) +
   SUMPRODUCT(($H$9:$Z$9="CO1")*ISNUMBER($H$10:$Z$10)*ISNUMBER(H188:Z188)) = 0,
   "",
   IFERROR(
     (
       IF(
         SUMPRODUCT(($C$9:$G$9="CO1")*ISNUMBER($C$10:$G$10)*ISNUMBER(C188:G188)) = 0,
         0,
         SUMPRODUCT(($C$9:$G$9="CO1")*ISNUMBER($C$10:$G$10)*ISNUMBER(C188:G188)*C188:G188) /
         SUMPRODUCT(($C$9:$G$9="CO1")*ISNUMBER($C$10:$G$10)*ISNUMBER(C188:G188)*$C$10:$G$10) * 0.15
       ) +
       IF(
         SUMPRODUCT(($H$9:$Z$9="CO1")*ISNUMBER($H$10:$Z$10)*ISNUMBER(H188:Z188)) = 0,
         0,
         SUMPRODUCT(($H$9:$Z$9="CO1")*ISNUMBER($H$10:$Z$10)*ISNUMBER(H188:Z188)*H188:Z188) /
         SUMPRODUCT(($H$9:$Z$9="CO1")*ISNUMBER($H$10:$Z$10)*ISNUMBER(H188:Z188)*$H$10:$Z$10) * 0.85
       )
     ) * 100,
     ""
   )
)</f>
        <v/>
      </c>
      <c r="AB188" s="1" t="str" cm="1">
        <f t="array" ref="AB188">IF(
   SUMPRODUCT(($C$9:$G$9="CO2")*ISNUMBER($C$10:$G$10)*ISNUMBER(C188:G188)) +
   SUMPRODUCT(($H$9:$Z$9="CO2")*ISNUMBER($H$10:$Z$10)*ISNUMBER(H188:Z188)) = 0,
   "",
   IFERROR(
     (
       IF(
         SUMPRODUCT(($C$9:$G$9="CO2")*ISNUMBER($C$10:$G$10)*ISNUMBER(C188:G188)) = 0,
         0,
         SUMPRODUCT(($C$9:$G$9="CO2")*ISNUMBER($C$10:$G$10)*ISNUMBER(C188:G188)*C188:G188) /
         SUMPRODUCT(($C$9:$G$9="CO2")*ISNUMBER($C$10:$G$10)*ISNUMBER(C188:G188)*$C$10:$G$10) * 0.15
       ) +
       IF(
         SUMPRODUCT(($H$9:$Z$9="CO2")*ISNUMBER($H$10:$Z$10)*ISNUMBER(H188:Z188)) = 0,
         0,
         SUMPRODUCT(($H$9:$Z$9="CO2")*ISNUMBER($H$10:$Z$10)*ISNUMBER(H188:Z188)*H188:Z188) /
         SUMPRODUCT(($H$9:$Z$9="CO2")*ISNUMBER($H$10:$Z$10)*ISNUMBER(H188:Z188)*$H$10:$Z$10) * 0.85
       )
     ) * 100,
     ""
   )
)</f>
        <v/>
      </c>
      <c r="AC188" s="1" t="str" cm="1">
        <f t="array" ref="AC188">IF(
   SUMPRODUCT(($C$9:$G$9="CO3")*ISNUMBER($C$10:$G$10)*ISNUMBER(C188:G188)) +
   SUMPRODUCT(($H$9:$Z$9="CO3")*ISNUMBER($H$10:$Z$10)*ISNUMBER(H188:Z188)) = 0,
   "",
   IFERROR(
     (
       IF(
         SUMPRODUCT(($C$9:$G$9="CO3")*ISNUMBER($C$10:$G$10)*ISNUMBER(C188:G188)) = 0,
         0,
         SUMPRODUCT(($C$9:$G$9="CO3")*ISNUMBER($C$10:$G$10)*ISNUMBER(C188:G188)*C188:G188) /
         SUMPRODUCT(($C$9:$G$9="CO3")*ISNUMBER($C$10:$G$10)*ISNUMBER(C188:G188)*$C$10:$G$10) * 0.15
       ) +
       IF(
         SUMPRODUCT(($H$9:$Z$9="CO3")*ISNUMBER($H$10:$Z$10)*ISNUMBER(H188:Z188)) = 0,
         0,
         SUMPRODUCT(($H$9:$Z$9="CO3")*ISNUMBER($H$10:$Z$10)*ISNUMBER(H188:Z188)*H188:Z188) /
         SUMPRODUCT(($H$9:$Z$9="CO3")*ISNUMBER($H$10:$Z$10)*ISNUMBER(H188:Z188)*$H$10:$Z$10) * 0.85
       )
     ) * 100,
     ""
   )
)</f>
        <v/>
      </c>
      <c r="AD188" s="1" t="str" cm="1">
        <f t="array" ref="AD188">IF(
   SUMPRODUCT(($C$9:$G$9="CO4")*ISNUMBER($C$10:$G$10)*ISNUMBER(C188:G188)) +
   SUMPRODUCT(($H$9:$Z$9="CO4")*ISNUMBER($H$10:$Z$10)*ISNUMBER(H188:Z188)) = 0,
   "",
   IFERROR(
     (
       IF(
         SUMPRODUCT(($C$9:$G$9="CO4")*ISNUMBER($C$10:$G$10)*ISNUMBER(C188:G188)) = 0,
         0,
         SUMPRODUCT(($C$9:$G$9="CO4")*ISNUMBER($C$10:$G$10)*ISNUMBER(C188:G188)*C188:G188) /
         SUMPRODUCT(($C$9:$G$9="CO4")*ISNUMBER($C$10:$G$10)*ISNUMBER(C188:G188)*$C$10:$G$10) * 0.15
       ) +
       IF(
         SUMPRODUCT(($H$9:$Z$9="CO4")*ISNUMBER($H$10:$Z$10)*ISNUMBER(H188:Z188)) = 0,
         0,
         SUMPRODUCT(($H$9:$Z$9="CO4")*ISNUMBER($H$10:$Z$10)*ISNUMBER(H188:Z188)*H188:Z188) /
         SUMPRODUCT(($H$9:$Z$9="CO4")*ISNUMBER($H$10:$Z$10)*ISNUMBER(H188:Z188)*$H$10:$Z$10) * 0.85
       )
     ) * 100,
     ""
   )
)</f>
        <v/>
      </c>
      <c r="AE188" s="1" t="str" cm="1">
        <f t="array" ref="AE188">IF(
   SUMPRODUCT(($C$9:$G$9="CO5")*ISNUMBER($C$10:$G$10)*ISNUMBER(C188:G188)) +
   SUMPRODUCT(($H$9:$Z$9="CO5")*ISNUMBER($H$10:$Z$10)*ISNUMBER(H188:Z188)) = 0,
   "",
   IFERROR(
     (
       IF(
         SUMPRODUCT(($C$9:$G$9="CO5")*ISNUMBER($C$10:$G$10)*ISNUMBER(C188:G188)) = 0,
         0,
         SUMPRODUCT(($C$9:$G$9="CO5")*ISNUMBER($C$10:$G$10)*ISNUMBER(C188:G188)*C188:G188) /
         SUMPRODUCT(($C$9:$G$9="CO5")*ISNUMBER($C$10:$G$10)*ISNUMBER(C188:G188)*$C$10:$G$10) * 0.15
       ) +
       IF(
         SUMPRODUCT(($H$9:$Z$9="CO5")*ISNUMBER($H$10:$Z$10)*ISNUMBER(H188:Z188)) = 0,
         0,
         SUMPRODUCT(($H$9:$Z$9="CO5")*ISNUMBER($H$10:$Z$10)*ISNUMBER(H188:Z188)*H188:Z188) /
         SUMPRODUCT(($H$9:$Z$9="CO5")*ISNUMBER($H$10:$Z$10)*ISNUMBER(H188:Z188)*$H$10:$Z$10) * 0.85
       )
     ) * 100,
     ""
   )
)</f>
        <v/>
      </c>
      <c r="AF188" s="1" t="str" cm="1">
        <f t="array" ref="AF188">IF(
   SUMPRODUCT(($C$9:$G$9="CO6")*ISNUMBER($C$10:$G$10)*ISNUMBER(C188:G188)) +
   SUMPRODUCT(($H$9:$Z$9="CO6")*ISNUMBER($H$10:$Z$10)*ISNUMBER(H188:Z188)) = 0,
   "",
   IFERROR(
     (
       IF(
         SUMPRODUCT(($C$9:$G$9="CO6")*ISNUMBER($C$10:$G$10)*ISNUMBER(C188:G188)) = 0,
         0,
         SUMPRODUCT(($C$9:$G$9="CO6")*ISNUMBER($C$10:$G$10)*ISNUMBER(C188:G188)*C188:G188) /
         SUMPRODUCT(($C$9:$G$9="CO6")*ISNUMBER($C$10:$G$10)*ISNUMBER(C188:G188)*$C$10:$G$10) * 0.15
       ) +
       IF(
         SUMPRODUCT(($H$9:$Z$9="CO6")*ISNUMBER($H$10:$Z$10)*ISNUMBER(H188:Z188)) = 0,
         0,
         SUMPRODUCT(($H$9:$Z$9="CO6")*ISNUMBER($H$10:$Z$10)*ISNUMBER(H188:Z188)*H188:Z188) /
         SUMPRODUCT(($H$9:$Z$9="CO6")*ISNUMBER($H$10:$Z$10)*ISNUMBER(H188:Z188)*$H$10:$Z$10) * 0.85
       )
     ) * 100,
     ""
   )
)</f>
        <v/>
      </c>
      <c r="AG188" s="1" t="str" cm="1">
        <f t="array" ref="AG188">IF(
   SUMPRODUCT(($C$9:$G$9="CO7")*ISNUMBER($C$10:$G$10)*ISNUMBER(C188:G188)) +
   SUMPRODUCT(($H$9:$Z$9="CO7")*ISNUMBER($H$10:$Z$10)*ISNUMBER(H188:Z188)) = 0,
   "",
   IFERROR(
     (
       IF(
         SUMPRODUCT(($C$9:$G$9="CO7")*ISNUMBER($C$10:$G$10)*ISNUMBER(C188:G188)) = 0,
         0,
         SUMPRODUCT(($C$9:$G$9="CO7")*ISNUMBER($C$10:$G$10)*ISNUMBER(C188:G188)*C188:G188) /
         SUMPRODUCT(($C$9:$G$9="CO7")*ISNUMBER($C$10:$G$10)*ISNUMBER(C188:G188)*$C$10:$G$10) * 0.15
       ) +
       IF(
         SUMPRODUCT(($H$9:$Z$9="CO7")*ISNUMBER($H$10:$Z$10)*ISNUMBER(H188:Z188)) = 0,
         0,
         SUMPRODUCT(($H$9:$Z$9="CO7")*ISNUMBER($H$10:$Z$10)*ISNUMBER(H188:Z188)*H188:Z188) /
         SUMPRODUCT(($H$9:$Z$9="CO7")*ISNUMBER($H$10:$Z$10)*ISNUMBER(H188:Z188)*$H$10:$Z$10) * 0.85
       )
     ) * 100,
     ""
   )
)</f>
        <v/>
      </c>
      <c r="AH188" s="3" t="str" cm="1">
        <f t="array" ref="AH188">IF(
   SUMPRODUCT(($C$9:$G$9="CO8")*ISNUMBER($C$10:$G$10)*ISNUMBER(C188:G188)) +
   SUMPRODUCT(($H$9:$Z$9="CO8")*ISNUMBER($H$10:$Z$10)*ISNUMBER(H188:Z188)) = 0,
   "",
   IFERROR(
     (
       IF(
         SUMPRODUCT(($C$9:$G$9="CO8")*ISNUMBER($C$10:$G$10)*ISNUMBER(C188:G188)) = 0,
         0,
         SUMPRODUCT(($C$9:$G$9="CO8")*ISNUMBER($C$10:$G$10)*ISNUMBER(C188:G188)*C188:G188) /
         SUMPRODUCT(($C$9:$G$9="CO8")*ISNUMBER($C$10:$G$10)*ISNUMBER(C188:G188)*$C$10:$G$10) * 0.15
       ) +
       IF(
         SUMPRODUCT(($H$9:$Z$9="CO8")*ISNUMBER($H$10:$Z$10)*ISNUMBER(H188:Z188)) = 0,
         0,
         SUMPRODUCT(($H$9:$Z$9="CO8")*ISNUMBER($H$10:$Z$10)*ISNUMBER(H188:Z188)*H188:Z188) /
         SUMPRODUCT(($H$9:$Z$9="CO8")*ISNUMBER($H$10:$Z$10)*ISNUMBER(H188:Z188)*$H$10:$Z$10) * 0.85
       )
     ) * 100,
     ""
   )
)</f>
        <v/>
      </c>
      <c r="AI188" s="1" t="str">
        <f t="shared" si="20"/>
        <v/>
      </c>
      <c r="AJ188" s="1" t="str">
        <f t="shared" si="20"/>
        <v/>
      </c>
      <c r="AK188" s="1" t="str">
        <f t="shared" si="20"/>
        <v/>
      </c>
      <c r="AL188" s="1" t="str">
        <f t="shared" si="20"/>
        <v/>
      </c>
      <c r="AM188" s="1" t="str">
        <f t="shared" si="20"/>
        <v/>
      </c>
      <c r="AN188" s="1" t="str">
        <f t="shared" si="20"/>
        <v/>
      </c>
      <c r="AO188" s="1" t="str">
        <f t="shared" si="20"/>
        <v/>
      </c>
      <c r="AP188" s="1" t="str">
        <f t="shared" si="19"/>
        <v/>
      </c>
    </row>
    <row r="189" spans="1:42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" t="str" cm="1">
        <f t="array" ref="AA189">IF(
   SUMPRODUCT(($C$9:$G$9="CO1")*ISNUMBER($C$10:$G$10)*ISNUMBER(C189:G189)) +
   SUMPRODUCT(($H$9:$Z$9="CO1")*ISNUMBER($H$10:$Z$10)*ISNUMBER(H189:Z189)) = 0,
   "",
   IFERROR(
     (
       IF(
         SUMPRODUCT(($C$9:$G$9="CO1")*ISNUMBER($C$10:$G$10)*ISNUMBER(C189:G189)) = 0,
         0,
         SUMPRODUCT(($C$9:$G$9="CO1")*ISNUMBER($C$10:$G$10)*ISNUMBER(C189:G189)*C189:G189) /
         SUMPRODUCT(($C$9:$G$9="CO1")*ISNUMBER($C$10:$G$10)*ISNUMBER(C189:G189)*$C$10:$G$10) * 0.15
       ) +
       IF(
         SUMPRODUCT(($H$9:$Z$9="CO1")*ISNUMBER($H$10:$Z$10)*ISNUMBER(H189:Z189)) = 0,
         0,
         SUMPRODUCT(($H$9:$Z$9="CO1")*ISNUMBER($H$10:$Z$10)*ISNUMBER(H189:Z189)*H189:Z189) /
         SUMPRODUCT(($H$9:$Z$9="CO1")*ISNUMBER($H$10:$Z$10)*ISNUMBER(H189:Z189)*$H$10:$Z$10) * 0.85
       )
     ) * 100,
     ""
   )
)</f>
        <v/>
      </c>
      <c r="AB189" s="1" t="str" cm="1">
        <f t="array" ref="AB189">IF(
   SUMPRODUCT(($C$9:$G$9="CO2")*ISNUMBER($C$10:$G$10)*ISNUMBER(C189:G189)) +
   SUMPRODUCT(($H$9:$Z$9="CO2")*ISNUMBER($H$10:$Z$10)*ISNUMBER(H189:Z189)) = 0,
   "",
   IFERROR(
     (
       IF(
         SUMPRODUCT(($C$9:$G$9="CO2")*ISNUMBER($C$10:$G$10)*ISNUMBER(C189:G189)) = 0,
         0,
         SUMPRODUCT(($C$9:$G$9="CO2")*ISNUMBER($C$10:$G$10)*ISNUMBER(C189:G189)*C189:G189) /
         SUMPRODUCT(($C$9:$G$9="CO2")*ISNUMBER($C$10:$G$10)*ISNUMBER(C189:G189)*$C$10:$G$10) * 0.15
       ) +
       IF(
         SUMPRODUCT(($H$9:$Z$9="CO2")*ISNUMBER($H$10:$Z$10)*ISNUMBER(H189:Z189)) = 0,
         0,
         SUMPRODUCT(($H$9:$Z$9="CO2")*ISNUMBER($H$10:$Z$10)*ISNUMBER(H189:Z189)*H189:Z189) /
         SUMPRODUCT(($H$9:$Z$9="CO2")*ISNUMBER($H$10:$Z$10)*ISNUMBER(H189:Z189)*$H$10:$Z$10) * 0.85
       )
     ) * 100,
     ""
   )
)</f>
        <v/>
      </c>
      <c r="AC189" s="1" t="str" cm="1">
        <f t="array" ref="AC189">IF(
   SUMPRODUCT(($C$9:$G$9="CO3")*ISNUMBER($C$10:$G$10)*ISNUMBER(C189:G189)) +
   SUMPRODUCT(($H$9:$Z$9="CO3")*ISNUMBER($H$10:$Z$10)*ISNUMBER(H189:Z189)) = 0,
   "",
   IFERROR(
     (
       IF(
         SUMPRODUCT(($C$9:$G$9="CO3")*ISNUMBER($C$10:$G$10)*ISNUMBER(C189:G189)) = 0,
         0,
         SUMPRODUCT(($C$9:$G$9="CO3")*ISNUMBER($C$10:$G$10)*ISNUMBER(C189:G189)*C189:G189) /
         SUMPRODUCT(($C$9:$G$9="CO3")*ISNUMBER($C$10:$G$10)*ISNUMBER(C189:G189)*$C$10:$G$10) * 0.15
       ) +
       IF(
         SUMPRODUCT(($H$9:$Z$9="CO3")*ISNUMBER($H$10:$Z$10)*ISNUMBER(H189:Z189)) = 0,
         0,
         SUMPRODUCT(($H$9:$Z$9="CO3")*ISNUMBER($H$10:$Z$10)*ISNUMBER(H189:Z189)*H189:Z189) /
         SUMPRODUCT(($H$9:$Z$9="CO3")*ISNUMBER($H$10:$Z$10)*ISNUMBER(H189:Z189)*$H$10:$Z$10) * 0.85
       )
     ) * 100,
     ""
   )
)</f>
        <v/>
      </c>
      <c r="AD189" s="1" t="str" cm="1">
        <f t="array" ref="AD189">IF(
   SUMPRODUCT(($C$9:$G$9="CO4")*ISNUMBER($C$10:$G$10)*ISNUMBER(C189:G189)) +
   SUMPRODUCT(($H$9:$Z$9="CO4")*ISNUMBER($H$10:$Z$10)*ISNUMBER(H189:Z189)) = 0,
   "",
   IFERROR(
     (
       IF(
         SUMPRODUCT(($C$9:$G$9="CO4")*ISNUMBER($C$10:$G$10)*ISNUMBER(C189:G189)) = 0,
         0,
         SUMPRODUCT(($C$9:$G$9="CO4")*ISNUMBER($C$10:$G$10)*ISNUMBER(C189:G189)*C189:G189) /
         SUMPRODUCT(($C$9:$G$9="CO4")*ISNUMBER($C$10:$G$10)*ISNUMBER(C189:G189)*$C$10:$G$10) * 0.15
       ) +
       IF(
         SUMPRODUCT(($H$9:$Z$9="CO4")*ISNUMBER($H$10:$Z$10)*ISNUMBER(H189:Z189)) = 0,
         0,
         SUMPRODUCT(($H$9:$Z$9="CO4")*ISNUMBER($H$10:$Z$10)*ISNUMBER(H189:Z189)*H189:Z189) /
         SUMPRODUCT(($H$9:$Z$9="CO4")*ISNUMBER($H$10:$Z$10)*ISNUMBER(H189:Z189)*$H$10:$Z$10) * 0.85
       )
     ) * 100,
     ""
   )
)</f>
        <v/>
      </c>
      <c r="AE189" s="1" t="str" cm="1">
        <f t="array" ref="AE189">IF(
   SUMPRODUCT(($C$9:$G$9="CO5")*ISNUMBER($C$10:$G$10)*ISNUMBER(C189:G189)) +
   SUMPRODUCT(($H$9:$Z$9="CO5")*ISNUMBER($H$10:$Z$10)*ISNUMBER(H189:Z189)) = 0,
   "",
   IFERROR(
     (
       IF(
         SUMPRODUCT(($C$9:$G$9="CO5")*ISNUMBER($C$10:$G$10)*ISNUMBER(C189:G189)) = 0,
         0,
         SUMPRODUCT(($C$9:$G$9="CO5")*ISNUMBER($C$10:$G$10)*ISNUMBER(C189:G189)*C189:G189) /
         SUMPRODUCT(($C$9:$G$9="CO5")*ISNUMBER($C$10:$G$10)*ISNUMBER(C189:G189)*$C$10:$G$10) * 0.15
       ) +
       IF(
         SUMPRODUCT(($H$9:$Z$9="CO5")*ISNUMBER($H$10:$Z$10)*ISNUMBER(H189:Z189)) = 0,
         0,
         SUMPRODUCT(($H$9:$Z$9="CO5")*ISNUMBER($H$10:$Z$10)*ISNUMBER(H189:Z189)*H189:Z189) /
         SUMPRODUCT(($H$9:$Z$9="CO5")*ISNUMBER($H$10:$Z$10)*ISNUMBER(H189:Z189)*$H$10:$Z$10) * 0.85
       )
     ) * 100,
     ""
   )
)</f>
        <v/>
      </c>
      <c r="AF189" s="1" t="str" cm="1">
        <f t="array" ref="AF189">IF(
   SUMPRODUCT(($C$9:$G$9="CO6")*ISNUMBER($C$10:$G$10)*ISNUMBER(C189:G189)) +
   SUMPRODUCT(($H$9:$Z$9="CO6")*ISNUMBER($H$10:$Z$10)*ISNUMBER(H189:Z189)) = 0,
   "",
   IFERROR(
     (
       IF(
         SUMPRODUCT(($C$9:$G$9="CO6")*ISNUMBER($C$10:$G$10)*ISNUMBER(C189:G189)) = 0,
         0,
         SUMPRODUCT(($C$9:$G$9="CO6")*ISNUMBER($C$10:$G$10)*ISNUMBER(C189:G189)*C189:G189) /
         SUMPRODUCT(($C$9:$G$9="CO6")*ISNUMBER($C$10:$G$10)*ISNUMBER(C189:G189)*$C$10:$G$10) * 0.15
       ) +
       IF(
         SUMPRODUCT(($H$9:$Z$9="CO6")*ISNUMBER($H$10:$Z$10)*ISNUMBER(H189:Z189)) = 0,
         0,
         SUMPRODUCT(($H$9:$Z$9="CO6")*ISNUMBER($H$10:$Z$10)*ISNUMBER(H189:Z189)*H189:Z189) /
         SUMPRODUCT(($H$9:$Z$9="CO6")*ISNUMBER($H$10:$Z$10)*ISNUMBER(H189:Z189)*$H$10:$Z$10) * 0.85
       )
     ) * 100,
     ""
   )
)</f>
        <v/>
      </c>
      <c r="AG189" s="1" t="str" cm="1">
        <f t="array" ref="AG189">IF(
   SUMPRODUCT(($C$9:$G$9="CO7")*ISNUMBER($C$10:$G$10)*ISNUMBER(C189:G189)) +
   SUMPRODUCT(($H$9:$Z$9="CO7")*ISNUMBER($H$10:$Z$10)*ISNUMBER(H189:Z189)) = 0,
   "",
   IFERROR(
     (
       IF(
         SUMPRODUCT(($C$9:$G$9="CO7")*ISNUMBER($C$10:$G$10)*ISNUMBER(C189:G189)) = 0,
         0,
         SUMPRODUCT(($C$9:$G$9="CO7")*ISNUMBER($C$10:$G$10)*ISNUMBER(C189:G189)*C189:G189) /
         SUMPRODUCT(($C$9:$G$9="CO7")*ISNUMBER($C$10:$G$10)*ISNUMBER(C189:G189)*$C$10:$G$10) * 0.15
       ) +
       IF(
         SUMPRODUCT(($H$9:$Z$9="CO7")*ISNUMBER($H$10:$Z$10)*ISNUMBER(H189:Z189)) = 0,
         0,
         SUMPRODUCT(($H$9:$Z$9="CO7")*ISNUMBER($H$10:$Z$10)*ISNUMBER(H189:Z189)*H189:Z189) /
         SUMPRODUCT(($H$9:$Z$9="CO7")*ISNUMBER($H$10:$Z$10)*ISNUMBER(H189:Z189)*$H$10:$Z$10) * 0.85
       )
     ) * 100,
     ""
   )
)</f>
        <v/>
      </c>
      <c r="AH189" s="3" t="str" cm="1">
        <f t="array" ref="AH189">IF(
   SUMPRODUCT(($C$9:$G$9="CO8")*ISNUMBER($C$10:$G$10)*ISNUMBER(C189:G189)) +
   SUMPRODUCT(($H$9:$Z$9="CO8")*ISNUMBER($H$10:$Z$10)*ISNUMBER(H189:Z189)) = 0,
   "",
   IFERROR(
     (
       IF(
         SUMPRODUCT(($C$9:$G$9="CO8")*ISNUMBER($C$10:$G$10)*ISNUMBER(C189:G189)) = 0,
         0,
         SUMPRODUCT(($C$9:$G$9="CO8")*ISNUMBER($C$10:$G$10)*ISNUMBER(C189:G189)*C189:G189) /
         SUMPRODUCT(($C$9:$G$9="CO8")*ISNUMBER($C$10:$G$10)*ISNUMBER(C189:G189)*$C$10:$G$10) * 0.15
       ) +
       IF(
         SUMPRODUCT(($H$9:$Z$9="CO8")*ISNUMBER($H$10:$Z$10)*ISNUMBER(H189:Z189)) = 0,
         0,
         SUMPRODUCT(($H$9:$Z$9="CO8")*ISNUMBER($H$10:$Z$10)*ISNUMBER(H189:Z189)*H189:Z189) /
         SUMPRODUCT(($H$9:$Z$9="CO8")*ISNUMBER($H$10:$Z$10)*ISNUMBER(H189:Z189)*$H$10:$Z$10) * 0.85
       )
     ) * 100,
     ""
   )
)</f>
        <v/>
      </c>
      <c r="AI189" s="1" t="str">
        <f t="shared" si="20"/>
        <v/>
      </c>
      <c r="AJ189" s="1" t="str">
        <f t="shared" si="20"/>
        <v/>
      </c>
      <c r="AK189" s="1" t="str">
        <f t="shared" si="20"/>
        <v/>
      </c>
      <c r="AL189" s="1" t="str">
        <f t="shared" si="20"/>
        <v/>
      </c>
      <c r="AM189" s="1" t="str">
        <f t="shared" si="20"/>
        <v/>
      </c>
      <c r="AN189" s="1" t="str">
        <f t="shared" si="20"/>
        <v/>
      </c>
      <c r="AO189" s="1" t="str">
        <f t="shared" si="20"/>
        <v/>
      </c>
      <c r="AP189" s="1" t="str">
        <f t="shared" si="19"/>
        <v/>
      </c>
    </row>
    <row r="190" spans="1:42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" t="str" cm="1">
        <f t="array" ref="AA190">IF(
   SUMPRODUCT(($C$9:$G$9="CO1")*ISNUMBER($C$10:$G$10)*ISNUMBER(C190:G190)) +
   SUMPRODUCT(($H$9:$Z$9="CO1")*ISNUMBER($H$10:$Z$10)*ISNUMBER(H190:Z190)) = 0,
   "",
   IFERROR(
     (
       IF(
         SUMPRODUCT(($C$9:$G$9="CO1")*ISNUMBER($C$10:$G$10)*ISNUMBER(C190:G190)) = 0,
         0,
         SUMPRODUCT(($C$9:$G$9="CO1")*ISNUMBER($C$10:$G$10)*ISNUMBER(C190:G190)*C190:G190) /
         SUMPRODUCT(($C$9:$G$9="CO1")*ISNUMBER($C$10:$G$10)*ISNUMBER(C190:G190)*$C$10:$G$10) * 0.15
       ) +
       IF(
         SUMPRODUCT(($H$9:$Z$9="CO1")*ISNUMBER($H$10:$Z$10)*ISNUMBER(H190:Z190)) = 0,
         0,
         SUMPRODUCT(($H$9:$Z$9="CO1")*ISNUMBER($H$10:$Z$10)*ISNUMBER(H190:Z190)*H190:Z190) /
         SUMPRODUCT(($H$9:$Z$9="CO1")*ISNUMBER($H$10:$Z$10)*ISNUMBER(H190:Z190)*$H$10:$Z$10) * 0.85
       )
     ) * 100,
     ""
   )
)</f>
        <v/>
      </c>
      <c r="AB190" s="1" t="str" cm="1">
        <f t="array" ref="AB190">IF(
   SUMPRODUCT(($C$9:$G$9="CO2")*ISNUMBER($C$10:$G$10)*ISNUMBER(C190:G190)) +
   SUMPRODUCT(($H$9:$Z$9="CO2")*ISNUMBER($H$10:$Z$10)*ISNUMBER(H190:Z190)) = 0,
   "",
   IFERROR(
     (
       IF(
         SUMPRODUCT(($C$9:$G$9="CO2")*ISNUMBER($C$10:$G$10)*ISNUMBER(C190:G190)) = 0,
         0,
         SUMPRODUCT(($C$9:$G$9="CO2")*ISNUMBER($C$10:$G$10)*ISNUMBER(C190:G190)*C190:G190) /
         SUMPRODUCT(($C$9:$G$9="CO2")*ISNUMBER($C$10:$G$10)*ISNUMBER(C190:G190)*$C$10:$G$10) * 0.15
       ) +
       IF(
         SUMPRODUCT(($H$9:$Z$9="CO2")*ISNUMBER($H$10:$Z$10)*ISNUMBER(H190:Z190)) = 0,
         0,
         SUMPRODUCT(($H$9:$Z$9="CO2")*ISNUMBER($H$10:$Z$10)*ISNUMBER(H190:Z190)*H190:Z190) /
         SUMPRODUCT(($H$9:$Z$9="CO2")*ISNUMBER($H$10:$Z$10)*ISNUMBER(H190:Z190)*$H$10:$Z$10) * 0.85
       )
     ) * 100,
     ""
   )
)</f>
        <v/>
      </c>
      <c r="AC190" s="1" t="str" cm="1">
        <f t="array" ref="AC190">IF(
   SUMPRODUCT(($C$9:$G$9="CO3")*ISNUMBER($C$10:$G$10)*ISNUMBER(C190:G190)) +
   SUMPRODUCT(($H$9:$Z$9="CO3")*ISNUMBER($H$10:$Z$10)*ISNUMBER(H190:Z190)) = 0,
   "",
   IFERROR(
     (
       IF(
         SUMPRODUCT(($C$9:$G$9="CO3")*ISNUMBER($C$10:$G$10)*ISNUMBER(C190:G190)) = 0,
         0,
         SUMPRODUCT(($C$9:$G$9="CO3")*ISNUMBER($C$10:$G$10)*ISNUMBER(C190:G190)*C190:G190) /
         SUMPRODUCT(($C$9:$G$9="CO3")*ISNUMBER($C$10:$G$10)*ISNUMBER(C190:G190)*$C$10:$G$10) * 0.15
       ) +
       IF(
         SUMPRODUCT(($H$9:$Z$9="CO3")*ISNUMBER($H$10:$Z$10)*ISNUMBER(H190:Z190)) = 0,
         0,
         SUMPRODUCT(($H$9:$Z$9="CO3")*ISNUMBER($H$10:$Z$10)*ISNUMBER(H190:Z190)*H190:Z190) /
         SUMPRODUCT(($H$9:$Z$9="CO3")*ISNUMBER($H$10:$Z$10)*ISNUMBER(H190:Z190)*$H$10:$Z$10) * 0.85
       )
     ) * 100,
     ""
   )
)</f>
        <v/>
      </c>
      <c r="AD190" s="1" t="str" cm="1">
        <f t="array" ref="AD190">IF(
   SUMPRODUCT(($C$9:$G$9="CO4")*ISNUMBER($C$10:$G$10)*ISNUMBER(C190:G190)) +
   SUMPRODUCT(($H$9:$Z$9="CO4")*ISNUMBER($H$10:$Z$10)*ISNUMBER(H190:Z190)) = 0,
   "",
   IFERROR(
     (
       IF(
         SUMPRODUCT(($C$9:$G$9="CO4")*ISNUMBER($C$10:$G$10)*ISNUMBER(C190:G190)) = 0,
         0,
         SUMPRODUCT(($C$9:$G$9="CO4")*ISNUMBER($C$10:$G$10)*ISNUMBER(C190:G190)*C190:G190) /
         SUMPRODUCT(($C$9:$G$9="CO4")*ISNUMBER($C$10:$G$10)*ISNUMBER(C190:G190)*$C$10:$G$10) * 0.15
       ) +
       IF(
         SUMPRODUCT(($H$9:$Z$9="CO4")*ISNUMBER($H$10:$Z$10)*ISNUMBER(H190:Z190)) = 0,
         0,
         SUMPRODUCT(($H$9:$Z$9="CO4")*ISNUMBER($H$10:$Z$10)*ISNUMBER(H190:Z190)*H190:Z190) /
         SUMPRODUCT(($H$9:$Z$9="CO4")*ISNUMBER($H$10:$Z$10)*ISNUMBER(H190:Z190)*$H$10:$Z$10) * 0.85
       )
     ) * 100,
     ""
   )
)</f>
        <v/>
      </c>
      <c r="AE190" s="1" t="str" cm="1">
        <f t="array" ref="AE190">IF(
   SUMPRODUCT(($C$9:$G$9="CO5")*ISNUMBER($C$10:$G$10)*ISNUMBER(C190:G190)) +
   SUMPRODUCT(($H$9:$Z$9="CO5")*ISNUMBER($H$10:$Z$10)*ISNUMBER(H190:Z190)) = 0,
   "",
   IFERROR(
     (
       IF(
         SUMPRODUCT(($C$9:$G$9="CO5")*ISNUMBER($C$10:$G$10)*ISNUMBER(C190:G190)) = 0,
         0,
         SUMPRODUCT(($C$9:$G$9="CO5")*ISNUMBER($C$10:$G$10)*ISNUMBER(C190:G190)*C190:G190) /
         SUMPRODUCT(($C$9:$G$9="CO5")*ISNUMBER($C$10:$G$10)*ISNUMBER(C190:G190)*$C$10:$G$10) * 0.15
       ) +
       IF(
         SUMPRODUCT(($H$9:$Z$9="CO5")*ISNUMBER($H$10:$Z$10)*ISNUMBER(H190:Z190)) = 0,
         0,
         SUMPRODUCT(($H$9:$Z$9="CO5")*ISNUMBER($H$10:$Z$10)*ISNUMBER(H190:Z190)*H190:Z190) /
         SUMPRODUCT(($H$9:$Z$9="CO5")*ISNUMBER($H$10:$Z$10)*ISNUMBER(H190:Z190)*$H$10:$Z$10) * 0.85
       )
     ) * 100,
     ""
   )
)</f>
        <v/>
      </c>
      <c r="AF190" s="1" t="str" cm="1">
        <f t="array" ref="AF190">IF(
   SUMPRODUCT(($C$9:$G$9="CO6")*ISNUMBER($C$10:$G$10)*ISNUMBER(C190:G190)) +
   SUMPRODUCT(($H$9:$Z$9="CO6")*ISNUMBER($H$10:$Z$10)*ISNUMBER(H190:Z190)) = 0,
   "",
   IFERROR(
     (
       IF(
         SUMPRODUCT(($C$9:$G$9="CO6")*ISNUMBER($C$10:$G$10)*ISNUMBER(C190:G190)) = 0,
         0,
         SUMPRODUCT(($C$9:$G$9="CO6")*ISNUMBER($C$10:$G$10)*ISNUMBER(C190:G190)*C190:G190) /
         SUMPRODUCT(($C$9:$G$9="CO6")*ISNUMBER($C$10:$G$10)*ISNUMBER(C190:G190)*$C$10:$G$10) * 0.15
       ) +
       IF(
         SUMPRODUCT(($H$9:$Z$9="CO6")*ISNUMBER($H$10:$Z$10)*ISNUMBER(H190:Z190)) = 0,
         0,
         SUMPRODUCT(($H$9:$Z$9="CO6")*ISNUMBER($H$10:$Z$10)*ISNUMBER(H190:Z190)*H190:Z190) /
         SUMPRODUCT(($H$9:$Z$9="CO6")*ISNUMBER($H$10:$Z$10)*ISNUMBER(H190:Z190)*$H$10:$Z$10) * 0.85
       )
     ) * 100,
     ""
   )
)</f>
        <v/>
      </c>
      <c r="AG190" s="1" t="str" cm="1">
        <f t="array" ref="AG190">IF(
   SUMPRODUCT(($C$9:$G$9="CO7")*ISNUMBER($C$10:$G$10)*ISNUMBER(C190:G190)) +
   SUMPRODUCT(($H$9:$Z$9="CO7")*ISNUMBER($H$10:$Z$10)*ISNUMBER(H190:Z190)) = 0,
   "",
   IFERROR(
     (
       IF(
         SUMPRODUCT(($C$9:$G$9="CO7")*ISNUMBER($C$10:$G$10)*ISNUMBER(C190:G190)) = 0,
         0,
         SUMPRODUCT(($C$9:$G$9="CO7")*ISNUMBER($C$10:$G$10)*ISNUMBER(C190:G190)*C190:G190) /
         SUMPRODUCT(($C$9:$G$9="CO7")*ISNUMBER($C$10:$G$10)*ISNUMBER(C190:G190)*$C$10:$G$10) * 0.15
       ) +
       IF(
         SUMPRODUCT(($H$9:$Z$9="CO7")*ISNUMBER($H$10:$Z$10)*ISNUMBER(H190:Z190)) = 0,
         0,
         SUMPRODUCT(($H$9:$Z$9="CO7")*ISNUMBER($H$10:$Z$10)*ISNUMBER(H190:Z190)*H190:Z190) /
         SUMPRODUCT(($H$9:$Z$9="CO7")*ISNUMBER($H$10:$Z$10)*ISNUMBER(H190:Z190)*$H$10:$Z$10) * 0.85
       )
     ) * 100,
     ""
   )
)</f>
        <v/>
      </c>
      <c r="AH190" s="3" t="str" cm="1">
        <f t="array" ref="AH190">IF(
   SUMPRODUCT(($C$9:$G$9="CO8")*ISNUMBER($C$10:$G$10)*ISNUMBER(C190:G190)) +
   SUMPRODUCT(($H$9:$Z$9="CO8")*ISNUMBER($H$10:$Z$10)*ISNUMBER(H190:Z190)) = 0,
   "",
   IFERROR(
     (
       IF(
         SUMPRODUCT(($C$9:$G$9="CO8")*ISNUMBER($C$10:$G$10)*ISNUMBER(C190:G190)) = 0,
         0,
         SUMPRODUCT(($C$9:$G$9="CO8")*ISNUMBER($C$10:$G$10)*ISNUMBER(C190:G190)*C190:G190) /
         SUMPRODUCT(($C$9:$G$9="CO8")*ISNUMBER($C$10:$G$10)*ISNUMBER(C190:G190)*$C$10:$G$10) * 0.15
       ) +
       IF(
         SUMPRODUCT(($H$9:$Z$9="CO8")*ISNUMBER($H$10:$Z$10)*ISNUMBER(H190:Z190)) = 0,
         0,
         SUMPRODUCT(($H$9:$Z$9="CO8")*ISNUMBER($H$10:$Z$10)*ISNUMBER(H190:Z190)*H190:Z190) /
         SUMPRODUCT(($H$9:$Z$9="CO8")*ISNUMBER($H$10:$Z$10)*ISNUMBER(H190:Z190)*$H$10:$Z$10) * 0.85
       )
     ) * 100,
     ""
   )
)</f>
        <v/>
      </c>
      <c r="AI190" s="1" t="str">
        <f t="shared" si="20"/>
        <v/>
      </c>
      <c r="AJ190" s="1" t="str">
        <f t="shared" si="20"/>
        <v/>
      </c>
      <c r="AK190" s="1" t="str">
        <f t="shared" si="20"/>
        <v/>
      </c>
      <c r="AL190" s="1" t="str">
        <f t="shared" si="20"/>
        <v/>
      </c>
      <c r="AM190" s="1" t="str">
        <f t="shared" si="20"/>
        <v/>
      </c>
      <c r="AN190" s="1" t="str">
        <f t="shared" si="20"/>
        <v/>
      </c>
      <c r="AO190" s="1" t="str">
        <f t="shared" si="20"/>
        <v/>
      </c>
      <c r="AP190" s="1" t="str">
        <f t="shared" si="19"/>
        <v/>
      </c>
    </row>
    <row r="191" spans="1:42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" t="str" cm="1">
        <f t="array" ref="AA191">IF(
   SUMPRODUCT(($C$9:$G$9="CO1")*ISNUMBER($C$10:$G$10)*ISNUMBER(C191:G191)) +
   SUMPRODUCT(($H$9:$Z$9="CO1")*ISNUMBER($H$10:$Z$10)*ISNUMBER(H191:Z191)) = 0,
   "",
   IFERROR(
     (
       IF(
         SUMPRODUCT(($C$9:$G$9="CO1")*ISNUMBER($C$10:$G$10)*ISNUMBER(C191:G191)) = 0,
         0,
         SUMPRODUCT(($C$9:$G$9="CO1")*ISNUMBER($C$10:$G$10)*ISNUMBER(C191:G191)*C191:G191) /
         SUMPRODUCT(($C$9:$G$9="CO1")*ISNUMBER($C$10:$G$10)*ISNUMBER(C191:G191)*$C$10:$G$10) * 0.15
       ) +
       IF(
         SUMPRODUCT(($H$9:$Z$9="CO1")*ISNUMBER($H$10:$Z$10)*ISNUMBER(H191:Z191)) = 0,
         0,
         SUMPRODUCT(($H$9:$Z$9="CO1")*ISNUMBER($H$10:$Z$10)*ISNUMBER(H191:Z191)*H191:Z191) /
         SUMPRODUCT(($H$9:$Z$9="CO1")*ISNUMBER($H$10:$Z$10)*ISNUMBER(H191:Z191)*$H$10:$Z$10) * 0.85
       )
     ) * 100,
     ""
   )
)</f>
        <v/>
      </c>
      <c r="AB191" s="1" t="str" cm="1">
        <f t="array" ref="AB191">IF(
   SUMPRODUCT(($C$9:$G$9="CO2")*ISNUMBER($C$10:$G$10)*ISNUMBER(C191:G191)) +
   SUMPRODUCT(($H$9:$Z$9="CO2")*ISNUMBER($H$10:$Z$10)*ISNUMBER(H191:Z191)) = 0,
   "",
   IFERROR(
     (
       IF(
         SUMPRODUCT(($C$9:$G$9="CO2")*ISNUMBER($C$10:$G$10)*ISNUMBER(C191:G191)) = 0,
         0,
         SUMPRODUCT(($C$9:$G$9="CO2")*ISNUMBER($C$10:$G$10)*ISNUMBER(C191:G191)*C191:G191) /
         SUMPRODUCT(($C$9:$G$9="CO2")*ISNUMBER($C$10:$G$10)*ISNUMBER(C191:G191)*$C$10:$G$10) * 0.15
       ) +
       IF(
         SUMPRODUCT(($H$9:$Z$9="CO2")*ISNUMBER($H$10:$Z$10)*ISNUMBER(H191:Z191)) = 0,
         0,
         SUMPRODUCT(($H$9:$Z$9="CO2")*ISNUMBER($H$10:$Z$10)*ISNUMBER(H191:Z191)*H191:Z191) /
         SUMPRODUCT(($H$9:$Z$9="CO2")*ISNUMBER($H$10:$Z$10)*ISNUMBER(H191:Z191)*$H$10:$Z$10) * 0.85
       )
     ) * 100,
     ""
   )
)</f>
        <v/>
      </c>
      <c r="AC191" s="1" t="str" cm="1">
        <f t="array" ref="AC191">IF(
   SUMPRODUCT(($C$9:$G$9="CO3")*ISNUMBER($C$10:$G$10)*ISNUMBER(C191:G191)) +
   SUMPRODUCT(($H$9:$Z$9="CO3")*ISNUMBER($H$10:$Z$10)*ISNUMBER(H191:Z191)) = 0,
   "",
   IFERROR(
     (
       IF(
         SUMPRODUCT(($C$9:$G$9="CO3")*ISNUMBER($C$10:$G$10)*ISNUMBER(C191:G191)) = 0,
         0,
         SUMPRODUCT(($C$9:$G$9="CO3")*ISNUMBER($C$10:$G$10)*ISNUMBER(C191:G191)*C191:G191) /
         SUMPRODUCT(($C$9:$G$9="CO3")*ISNUMBER($C$10:$G$10)*ISNUMBER(C191:G191)*$C$10:$G$10) * 0.15
       ) +
       IF(
         SUMPRODUCT(($H$9:$Z$9="CO3")*ISNUMBER($H$10:$Z$10)*ISNUMBER(H191:Z191)) = 0,
         0,
         SUMPRODUCT(($H$9:$Z$9="CO3")*ISNUMBER($H$10:$Z$10)*ISNUMBER(H191:Z191)*H191:Z191) /
         SUMPRODUCT(($H$9:$Z$9="CO3")*ISNUMBER($H$10:$Z$10)*ISNUMBER(H191:Z191)*$H$10:$Z$10) * 0.85
       )
     ) * 100,
     ""
   )
)</f>
        <v/>
      </c>
      <c r="AD191" s="1" t="str" cm="1">
        <f t="array" ref="AD191">IF(
   SUMPRODUCT(($C$9:$G$9="CO4")*ISNUMBER($C$10:$G$10)*ISNUMBER(C191:G191)) +
   SUMPRODUCT(($H$9:$Z$9="CO4")*ISNUMBER($H$10:$Z$10)*ISNUMBER(H191:Z191)) = 0,
   "",
   IFERROR(
     (
       IF(
         SUMPRODUCT(($C$9:$G$9="CO4")*ISNUMBER($C$10:$G$10)*ISNUMBER(C191:G191)) = 0,
         0,
         SUMPRODUCT(($C$9:$G$9="CO4")*ISNUMBER($C$10:$G$10)*ISNUMBER(C191:G191)*C191:G191) /
         SUMPRODUCT(($C$9:$G$9="CO4")*ISNUMBER($C$10:$G$10)*ISNUMBER(C191:G191)*$C$10:$G$10) * 0.15
       ) +
       IF(
         SUMPRODUCT(($H$9:$Z$9="CO4")*ISNUMBER($H$10:$Z$10)*ISNUMBER(H191:Z191)) = 0,
         0,
         SUMPRODUCT(($H$9:$Z$9="CO4")*ISNUMBER($H$10:$Z$10)*ISNUMBER(H191:Z191)*H191:Z191) /
         SUMPRODUCT(($H$9:$Z$9="CO4")*ISNUMBER($H$10:$Z$10)*ISNUMBER(H191:Z191)*$H$10:$Z$10) * 0.85
       )
     ) * 100,
     ""
   )
)</f>
        <v/>
      </c>
      <c r="AE191" s="1" t="str" cm="1">
        <f t="array" ref="AE191">IF(
   SUMPRODUCT(($C$9:$G$9="CO5")*ISNUMBER($C$10:$G$10)*ISNUMBER(C191:G191)) +
   SUMPRODUCT(($H$9:$Z$9="CO5")*ISNUMBER($H$10:$Z$10)*ISNUMBER(H191:Z191)) = 0,
   "",
   IFERROR(
     (
       IF(
         SUMPRODUCT(($C$9:$G$9="CO5")*ISNUMBER($C$10:$G$10)*ISNUMBER(C191:G191)) = 0,
         0,
         SUMPRODUCT(($C$9:$G$9="CO5")*ISNUMBER($C$10:$G$10)*ISNUMBER(C191:G191)*C191:G191) /
         SUMPRODUCT(($C$9:$G$9="CO5")*ISNUMBER($C$10:$G$10)*ISNUMBER(C191:G191)*$C$10:$G$10) * 0.15
       ) +
       IF(
         SUMPRODUCT(($H$9:$Z$9="CO5")*ISNUMBER($H$10:$Z$10)*ISNUMBER(H191:Z191)) = 0,
         0,
         SUMPRODUCT(($H$9:$Z$9="CO5")*ISNUMBER($H$10:$Z$10)*ISNUMBER(H191:Z191)*H191:Z191) /
         SUMPRODUCT(($H$9:$Z$9="CO5")*ISNUMBER($H$10:$Z$10)*ISNUMBER(H191:Z191)*$H$10:$Z$10) * 0.85
       )
     ) * 100,
     ""
   )
)</f>
        <v/>
      </c>
      <c r="AF191" s="1" t="str" cm="1">
        <f t="array" ref="AF191">IF(
   SUMPRODUCT(($C$9:$G$9="CO6")*ISNUMBER($C$10:$G$10)*ISNUMBER(C191:G191)) +
   SUMPRODUCT(($H$9:$Z$9="CO6")*ISNUMBER($H$10:$Z$10)*ISNUMBER(H191:Z191)) = 0,
   "",
   IFERROR(
     (
       IF(
         SUMPRODUCT(($C$9:$G$9="CO6")*ISNUMBER($C$10:$G$10)*ISNUMBER(C191:G191)) = 0,
         0,
         SUMPRODUCT(($C$9:$G$9="CO6")*ISNUMBER($C$10:$G$10)*ISNUMBER(C191:G191)*C191:G191) /
         SUMPRODUCT(($C$9:$G$9="CO6")*ISNUMBER($C$10:$G$10)*ISNUMBER(C191:G191)*$C$10:$G$10) * 0.15
       ) +
       IF(
         SUMPRODUCT(($H$9:$Z$9="CO6")*ISNUMBER($H$10:$Z$10)*ISNUMBER(H191:Z191)) = 0,
         0,
         SUMPRODUCT(($H$9:$Z$9="CO6")*ISNUMBER($H$10:$Z$10)*ISNUMBER(H191:Z191)*H191:Z191) /
         SUMPRODUCT(($H$9:$Z$9="CO6")*ISNUMBER($H$10:$Z$10)*ISNUMBER(H191:Z191)*$H$10:$Z$10) * 0.85
       )
     ) * 100,
     ""
   )
)</f>
        <v/>
      </c>
      <c r="AG191" s="1" t="str" cm="1">
        <f t="array" ref="AG191">IF(
   SUMPRODUCT(($C$9:$G$9="CO7")*ISNUMBER($C$10:$G$10)*ISNUMBER(C191:G191)) +
   SUMPRODUCT(($H$9:$Z$9="CO7")*ISNUMBER($H$10:$Z$10)*ISNUMBER(H191:Z191)) = 0,
   "",
   IFERROR(
     (
       IF(
         SUMPRODUCT(($C$9:$G$9="CO7")*ISNUMBER($C$10:$G$10)*ISNUMBER(C191:G191)) = 0,
         0,
         SUMPRODUCT(($C$9:$G$9="CO7")*ISNUMBER($C$10:$G$10)*ISNUMBER(C191:G191)*C191:G191) /
         SUMPRODUCT(($C$9:$G$9="CO7")*ISNUMBER($C$10:$G$10)*ISNUMBER(C191:G191)*$C$10:$G$10) * 0.15
       ) +
       IF(
         SUMPRODUCT(($H$9:$Z$9="CO7")*ISNUMBER($H$10:$Z$10)*ISNUMBER(H191:Z191)) = 0,
         0,
         SUMPRODUCT(($H$9:$Z$9="CO7")*ISNUMBER($H$10:$Z$10)*ISNUMBER(H191:Z191)*H191:Z191) /
         SUMPRODUCT(($H$9:$Z$9="CO7")*ISNUMBER($H$10:$Z$10)*ISNUMBER(H191:Z191)*$H$10:$Z$10) * 0.85
       )
     ) * 100,
     ""
   )
)</f>
        <v/>
      </c>
      <c r="AH191" s="3" t="str" cm="1">
        <f t="array" ref="AH191">IF(
   SUMPRODUCT(($C$9:$G$9="CO8")*ISNUMBER($C$10:$G$10)*ISNUMBER(C191:G191)) +
   SUMPRODUCT(($H$9:$Z$9="CO8")*ISNUMBER($H$10:$Z$10)*ISNUMBER(H191:Z191)) = 0,
   "",
   IFERROR(
     (
       IF(
         SUMPRODUCT(($C$9:$G$9="CO8")*ISNUMBER($C$10:$G$10)*ISNUMBER(C191:G191)) = 0,
         0,
         SUMPRODUCT(($C$9:$G$9="CO8")*ISNUMBER($C$10:$G$10)*ISNUMBER(C191:G191)*C191:G191) /
         SUMPRODUCT(($C$9:$G$9="CO8")*ISNUMBER($C$10:$G$10)*ISNUMBER(C191:G191)*$C$10:$G$10) * 0.15
       ) +
       IF(
         SUMPRODUCT(($H$9:$Z$9="CO8")*ISNUMBER($H$10:$Z$10)*ISNUMBER(H191:Z191)) = 0,
         0,
         SUMPRODUCT(($H$9:$Z$9="CO8")*ISNUMBER($H$10:$Z$10)*ISNUMBER(H191:Z191)*H191:Z191) /
         SUMPRODUCT(($H$9:$Z$9="CO8")*ISNUMBER($H$10:$Z$10)*ISNUMBER(H191:Z191)*$H$10:$Z$10) * 0.85
       )
     ) * 100,
     ""
   )
)</f>
        <v/>
      </c>
      <c r="AI191" s="1" t="str">
        <f t="shared" si="20"/>
        <v/>
      </c>
      <c r="AJ191" s="1" t="str">
        <f t="shared" si="20"/>
        <v/>
      </c>
      <c r="AK191" s="1" t="str">
        <f t="shared" si="20"/>
        <v/>
      </c>
      <c r="AL191" s="1" t="str">
        <f t="shared" si="20"/>
        <v/>
      </c>
      <c r="AM191" s="1" t="str">
        <f t="shared" si="20"/>
        <v/>
      </c>
      <c r="AN191" s="1" t="str">
        <f t="shared" si="20"/>
        <v/>
      </c>
      <c r="AO191" s="1" t="str">
        <f t="shared" si="20"/>
        <v/>
      </c>
      <c r="AP191" s="1" t="str">
        <f t="shared" si="19"/>
        <v/>
      </c>
    </row>
    <row r="192" spans="1:42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" t="str" cm="1">
        <f t="array" ref="AA192">IF(
   SUMPRODUCT(($C$9:$G$9="CO1")*ISNUMBER($C$10:$G$10)*ISNUMBER(C192:G192)) +
   SUMPRODUCT(($H$9:$Z$9="CO1")*ISNUMBER($H$10:$Z$10)*ISNUMBER(H192:Z192)) = 0,
   "",
   IFERROR(
     (
       IF(
         SUMPRODUCT(($C$9:$G$9="CO1")*ISNUMBER($C$10:$G$10)*ISNUMBER(C192:G192)) = 0,
         0,
         SUMPRODUCT(($C$9:$G$9="CO1")*ISNUMBER($C$10:$G$10)*ISNUMBER(C192:G192)*C192:G192) /
         SUMPRODUCT(($C$9:$G$9="CO1")*ISNUMBER($C$10:$G$10)*ISNUMBER(C192:G192)*$C$10:$G$10) * 0.15
       ) +
       IF(
         SUMPRODUCT(($H$9:$Z$9="CO1")*ISNUMBER($H$10:$Z$10)*ISNUMBER(H192:Z192)) = 0,
         0,
         SUMPRODUCT(($H$9:$Z$9="CO1")*ISNUMBER($H$10:$Z$10)*ISNUMBER(H192:Z192)*H192:Z192) /
         SUMPRODUCT(($H$9:$Z$9="CO1")*ISNUMBER($H$10:$Z$10)*ISNUMBER(H192:Z192)*$H$10:$Z$10) * 0.85
       )
     ) * 100,
     ""
   )
)</f>
        <v/>
      </c>
      <c r="AB192" s="1" t="str" cm="1">
        <f t="array" ref="AB192">IF(
   SUMPRODUCT(($C$9:$G$9="CO2")*ISNUMBER($C$10:$G$10)*ISNUMBER(C192:G192)) +
   SUMPRODUCT(($H$9:$Z$9="CO2")*ISNUMBER($H$10:$Z$10)*ISNUMBER(H192:Z192)) = 0,
   "",
   IFERROR(
     (
       IF(
         SUMPRODUCT(($C$9:$G$9="CO2")*ISNUMBER($C$10:$G$10)*ISNUMBER(C192:G192)) = 0,
         0,
         SUMPRODUCT(($C$9:$G$9="CO2")*ISNUMBER($C$10:$G$10)*ISNUMBER(C192:G192)*C192:G192) /
         SUMPRODUCT(($C$9:$G$9="CO2")*ISNUMBER($C$10:$G$10)*ISNUMBER(C192:G192)*$C$10:$G$10) * 0.15
       ) +
       IF(
         SUMPRODUCT(($H$9:$Z$9="CO2")*ISNUMBER($H$10:$Z$10)*ISNUMBER(H192:Z192)) = 0,
         0,
         SUMPRODUCT(($H$9:$Z$9="CO2")*ISNUMBER($H$10:$Z$10)*ISNUMBER(H192:Z192)*H192:Z192) /
         SUMPRODUCT(($H$9:$Z$9="CO2")*ISNUMBER($H$10:$Z$10)*ISNUMBER(H192:Z192)*$H$10:$Z$10) * 0.85
       )
     ) * 100,
     ""
   )
)</f>
        <v/>
      </c>
      <c r="AC192" s="1" t="str" cm="1">
        <f t="array" ref="AC192">IF(
   SUMPRODUCT(($C$9:$G$9="CO3")*ISNUMBER($C$10:$G$10)*ISNUMBER(C192:G192)) +
   SUMPRODUCT(($H$9:$Z$9="CO3")*ISNUMBER($H$10:$Z$10)*ISNUMBER(H192:Z192)) = 0,
   "",
   IFERROR(
     (
       IF(
         SUMPRODUCT(($C$9:$G$9="CO3")*ISNUMBER($C$10:$G$10)*ISNUMBER(C192:G192)) = 0,
         0,
         SUMPRODUCT(($C$9:$G$9="CO3")*ISNUMBER($C$10:$G$10)*ISNUMBER(C192:G192)*C192:G192) /
         SUMPRODUCT(($C$9:$G$9="CO3")*ISNUMBER($C$10:$G$10)*ISNUMBER(C192:G192)*$C$10:$G$10) * 0.15
       ) +
       IF(
         SUMPRODUCT(($H$9:$Z$9="CO3")*ISNUMBER($H$10:$Z$10)*ISNUMBER(H192:Z192)) = 0,
         0,
         SUMPRODUCT(($H$9:$Z$9="CO3")*ISNUMBER($H$10:$Z$10)*ISNUMBER(H192:Z192)*H192:Z192) /
         SUMPRODUCT(($H$9:$Z$9="CO3")*ISNUMBER($H$10:$Z$10)*ISNUMBER(H192:Z192)*$H$10:$Z$10) * 0.85
       )
     ) * 100,
     ""
   )
)</f>
        <v/>
      </c>
      <c r="AD192" s="1" t="str" cm="1">
        <f t="array" ref="AD192">IF(
   SUMPRODUCT(($C$9:$G$9="CO4")*ISNUMBER($C$10:$G$10)*ISNUMBER(C192:G192)) +
   SUMPRODUCT(($H$9:$Z$9="CO4")*ISNUMBER($H$10:$Z$10)*ISNUMBER(H192:Z192)) = 0,
   "",
   IFERROR(
     (
       IF(
         SUMPRODUCT(($C$9:$G$9="CO4")*ISNUMBER($C$10:$G$10)*ISNUMBER(C192:G192)) = 0,
         0,
         SUMPRODUCT(($C$9:$G$9="CO4")*ISNUMBER($C$10:$G$10)*ISNUMBER(C192:G192)*C192:G192) /
         SUMPRODUCT(($C$9:$G$9="CO4")*ISNUMBER($C$10:$G$10)*ISNUMBER(C192:G192)*$C$10:$G$10) * 0.15
       ) +
       IF(
         SUMPRODUCT(($H$9:$Z$9="CO4")*ISNUMBER($H$10:$Z$10)*ISNUMBER(H192:Z192)) = 0,
         0,
         SUMPRODUCT(($H$9:$Z$9="CO4")*ISNUMBER($H$10:$Z$10)*ISNUMBER(H192:Z192)*H192:Z192) /
         SUMPRODUCT(($H$9:$Z$9="CO4")*ISNUMBER($H$10:$Z$10)*ISNUMBER(H192:Z192)*$H$10:$Z$10) * 0.85
       )
     ) * 100,
     ""
   )
)</f>
        <v/>
      </c>
      <c r="AE192" s="1" t="str" cm="1">
        <f t="array" ref="AE192">IF(
   SUMPRODUCT(($C$9:$G$9="CO5")*ISNUMBER($C$10:$G$10)*ISNUMBER(C192:G192)) +
   SUMPRODUCT(($H$9:$Z$9="CO5")*ISNUMBER($H$10:$Z$10)*ISNUMBER(H192:Z192)) = 0,
   "",
   IFERROR(
     (
       IF(
         SUMPRODUCT(($C$9:$G$9="CO5")*ISNUMBER($C$10:$G$10)*ISNUMBER(C192:G192)) = 0,
         0,
         SUMPRODUCT(($C$9:$G$9="CO5")*ISNUMBER($C$10:$G$10)*ISNUMBER(C192:G192)*C192:G192) /
         SUMPRODUCT(($C$9:$G$9="CO5")*ISNUMBER($C$10:$G$10)*ISNUMBER(C192:G192)*$C$10:$G$10) * 0.15
       ) +
       IF(
         SUMPRODUCT(($H$9:$Z$9="CO5")*ISNUMBER($H$10:$Z$10)*ISNUMBER(H192:Z192)) = 0,
         0,
         SUMPRODUCT(($H$9:$Z$9="CO5")*ISNUMBER($H$10:$Z$10)*ISNUMBER(H192:Z192)*H192:Z192) /
         SUMPRODUCT(($H$9:$Z$9="CO5")*ISNUMBER($H$10:$Z$10)*ISNUMBER(H192:Z192)*$H$10:$Z$10) * 0.85
       )
     ) * 100,
     ""
   )
)</f>
        <v/>
      </c>
      <c r="AF192" s="1" t="str" cm="1">
        <f t="array" ref="AF192">IF(
   SUMPRODUCT(($C$9:$G$9="CO6")*ISNUMBER($C$10:$G$10)*ISNUMBER(C192:G192)) +
   SUMPRODUCT(($H$9:$Z$9="CO6")*ISNUMBER($H$10:$Z$10)*ISNUMBER(H192:Z192)) = 0,
   "",
   IFERROR(
     (
       IF(
         SUMPRODUCT(($C$9:$G$9="CO6")*ISNUMBER($C$10:$G$10)*ISNUMBER(C192:G192)) = 0,
         0,
         SUMPRODUCT(($C$9:$G$9="CO6")*ISNUMBER($C$10:$G$10)*ISNUMBER(C192:G192)*C192:G192) /
         SUMPRODUCT(($C$9:$G$9="CO6")*ISNUMBER($C$10:$G$10)*ISNUMBER(C192:G192)*$C$10:$G$10) * 0.15
       ) +
       IF(
         SUMPRODUCT(($H$9:$Z$9="CO6")*ISNUMBER($H$10:$Z$10)*ISNUMBER(H192:Z192)) = 0,
         0,
         SUMPRODUCT(($H$9:$Z$9="CO6")*ISNUMBER($H$10:$Z$10)*ISNUMBER(H192:Z192)*H192:Z192) /
         SUMPRODUCT(($H$9:$Z$9="CO6")*ISNUMBER($H$10:$Z$10)*ISNUMBER(H192:Z192)*$H$10:$Z$10) * 0.85
       )
     ) * 100,
     ""
   )
)</f>
        <v/>
      </c>
      <c r="AG192" s="1" t="str" cm="1">
        <f t="array" ref="AG192">IF(
   SUMPRODUCT(($C$9:$G$9="CO7")*ISNUMBER($C$10:$G$10)*ISNUMBER(C192:G192)) +
   SUMPRODUCT(($H$9:$Z$9="CO7")*ISNUMBER($H$10:$Z$10)*ISNUMBER(H192:Z192)) = 0,
   "",
   IFERROR(
     (
       IF(
         SUMPRODUCT(($C$9:$G$9="CO7")*ISNUMBER($C$10:$G$10)*ISNUMBER(C192:G192)) = 0,
         0,
         SUMPRODUCT(($C$9:$G$9="CO7")*ISNUMBER($C$10:$G$10)*ISNUMBER(C192:G192)*C192:G192) /
         SUMPRODUCT(($C$9:$G$9="CO7")*ISNUMBER($C$10:$G$10)*ISNUMBER(C192:G192)*$C$10:$G$10) * 0.15
       ) +
       IF(
         SUMPRODUCT(($H$9:$Z$9="CO7")*ISNUMBER($H$10:$Z$10)*ISNUMBER(H192:Z192)) = 0,
         0,
         SUMPRODUCT(($H$9:$Z$9="CO7")*ISNUMBER($H$10:$Z$10)*ISNUMBER(H192:Z192)*H192:Z192) /
         SUMPRODUCT(($H$9:$Z$9="CO7")*ISNUMBER($H$10:$Z$10)*ISNUMBER(H192:Z192)*$H$10:$Z$10) * 0.85
       )
     ) * 100,
     ""
   )
)</f>
        <v/>
      </c>
      <c r="AH192" s="3" t="str" cm="1">
        <f t="array" ref="AH192">IF(
   SUMPRODUCT(($C$9:$G$9="CO8")*ISNUMBER($C$10:$G$10)*ISNUMBER(C192:G192)) +
   SUMPRODUCT(($H$9:$Z$9="CO8")*ISNUMBER($H$10:$Z$10)*ISNUMBER(H192:Z192)) = 0,
   "",
   IFERROR(
     (
       IF(
         SUMPRODUCT(($C$9:$G$9="CO8")*ISNUMBER($C$10:$G$10)*ISNUMBER(C192:G192)) = 0,
         0,
         SUMPRODUCT(($C$9:$G$9="CO8")*ISNUMBER($C$10:$G$10)*ISNUMBER(C192:G192)*C192:G192) /
         SUMPRODUCT(($C$9:$G$9="CO8")*ISNUMBER($C$10:$G$10)*ISNUMBER(C192:G192)*$C$10:$G$10) * 0.15
       ) +
       IF(
         SUMPRODUCT(($H$9:$Z$9="CO8")*ISNUMBER($H$10:$Z$10)*ISNUMBER(H192:Z192)) = 0,
         0,
         SUMPRODUCT(($H$9:$Z$9="CO8")*ISNUMBER($H$10:$Z$10)*ISNUMBER(H192:Z192)*H192:Z192) /
         SUMPRODUCT(($H$9:$Z$9="CO8")*ISNUMBER($H$10:$Z$10)*ISNUMBER(H192:Z192)*$H$10:$Z$10) * 0.85
       )
     ) * 100,
     ""
   )
)</f>
        <v/>
      </c>
      <c r="AI192" s="1" t="str">
        <f t="shared" si="20"/>
        <v/>
      </c>
      <c r="AJ192" s="1" t="str">
        <f t="shared" si="20"/>
        <v/>
      </c>
      <c r="AK192" s="1" t="str">
        <f t="shared" si="20"/>
        <v/>
      </c>
      <c r="AL192" s="1" t="str">
        <f t="shared" si="20"/>
        <v/>
      </c>
      <c r="AM192" s="1" t="str">
        <f t="shared" si="20"/>
        <v/>
      </c>
      <c r="AN192" s="1" t="str">
        <f t="shared" si="20"/>
        <v/>
      </c>
      <c r="AO192" s="1" t="str">
        <f t="shared" si="20"/>
        <v/>
      </c>
      <c r="AP192" s="1" t="str">
        <f t="shared" si="19"/>
        <v/>
      </c>
    </row>
    <row r="193" spans="1:42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" t="str" cm="1">
        <f t="array" ref="AA193">IF(
   SUMPRODUCT(($C$9:$G$9="CO1")*ISNUMBER($C$10:$G$10)*ISNUMBER(C193:G193)) +
   SUMPRODUCT(($H$9:$Z$9="CO1")*ISNUMBER($H$10:$Z$10)*ISNUMBER(H193:Z193)) = 0,
   "",
   IFERROR(
     (
       IF(
         SUMPRODUCT(($C$9:$G$9="CO1")*ISNUMBER($C$10:$G$10)*ISNUMBER(C193:G193)) = 0,
         0,
         SUMPRODUCT(($C$9:$G$9="CO1")*ISNUMBER($C$10:$G$10)*ISNUMBER(C193:G193)*C193:G193) /
         SUMPRODUCT(($C$9:$G$9="CO1")*ISNUMBER($C$10:$G$10)*ISNUMBER(C193:G193)*$C$10:$G$10) * 0.15
       ) +
       IF(
         SUMPRODUCT(($H$9:$Z$9="CO1")*ISNUMBER($H$10:$Z$10)*ISNUMBER(H193:Z193)) = 0,
         0,
         SUMPRODUCT(($H$9:$Z$9="CO1")*ISNUMBER($H$10:$Z$10)*ISNUMBER(H193:Z193)*H193:Z193) /
         SUMPRODUCT(($H$9:$Z$9="CO1")*ISNUMBER($H$10:$Z$10)*ISNUMBER(H193:Z193)*$H$10:$Z$10) * 0.85
       )
     ) * 100,
     ""
   )
)</f>
        <v/>
      </c>
      <c r="AB193" s="1" t="str" cm="1">
        <f t="array" ref="AB193">IF(
   SUMPRODUCT(($C$9:$G$9="CO2")*ISNUMBER($C$10:$G$10)*ISNUMBER(C193:G193)) +
   SUMPRODUCT(($H$9:$Z$9="CO2")*ISNUMBER($H$10:$Z$10)*ISNUMBER(H193:Z193)) = 0,
   "",
   IFERROR(
     (
       IF(
         SUMPRODUCT(($C$9:$G$9="CO2")*ISNUMBER($C$10:$G$10)*ISNUMBER(C193:G193)) = 0,
         0,
         SUMPRODUCT(($C$9:$G$9="CO2")*ISNUMBER($C$10:$G$10)*ISNUMBER(C193:G193)*C193:G193) /
         SUMPRODUCT(($C$9:$G$9="CO2")*ISNUMBER($C$10:$G$10)*ISNUMBER(C193:G193)*$C$10:$G$10) * 0.15
       ) +
       IF(
         SUMPRODUCT(($H$9:$Z$9="CO2")*ISNUMBER($H$10:$Z$10)*ISNUMBER(H193:Z193)) = 0,
         0,
         SUMPRODUCT(($H$9:$Z$9="CO2")*ISNUMBER($H$10:$Z$10)*ISNUMBER(H193:Z193)*H193:Z193) /
         SUMPRODUCT(($H$9:$Z$9="CO2")*ISNUMBER($H$10:$Z$10)*ISNUMBER(H193:Z193)*$H$10:$Z$10) * 0.85
       )
     ) * 100,
     ""
   )
)</f>
        <v/>
      </c>
      <c r="AC193" s="1" t="str" cm="1">
        <f t="array" ref="AC193">IF(
   SUMPRODUCT(($C$9:$G$9="CO3")*ISNUMBER($C$10:$G$10)*ISNUMBER(C193:G193)) +
   SUMPRODUCT(($H$9:$Z$9="CO3")*ISNUMBER($H$10:$Z$10)*ISNUMBER(H193:Z193)) = 0,
   "",
   IFERROR(
     (
       IF(
         SUMPRODUCT(($C$9:$G$9="CO3")*ISNUMBER($C$10:$G$10)*ISNUMBER(C193:G193)) = 0,
         0,
         SUMPRODUCT(($C$9:$G$9="CO3")*ISNUMBER($C$10:$G$10)*ISNUMBER(C193:G193)*C193:G193) /
         SUMPRODUCT(($C$9:$G$9="CO3")*ISNUMBER($C$10:$G$10)*ISNUMBER(C193:G193)*$C$10:$G$10) * 0.15
       ) +
       IF(
         SUMPRODUCT(($H$9:$Z$9="CO3")*ISNUMBER($H$10:$Z$10)*ISNUMBER(H193:Z193)) = 0,
         0,
         SUMPRODUCT(($H$9:$Z$9="CO3")*ISNUMBER($H$10:$Z$10)*ISNUMBER(H193:Z193)*H193:Z193) /
         SUMPRODUCT(($H$9:$Z$9="CO3")*ISNUMBER($H$10:$Z$10)*ISNUMBER(H193:Z193)*$H$10:$Z$10) * 0.85
       )
     ) * 100,
     ""
   )
)</f>
        <v/>
      </c>
      <c r="AD193" s="1" t="str" cm="1">
        <f t="array" ref="AD193">IF(
   SUMPRODUCT(($C$9:$G$9="CO4")*ISNUMBER($C$10:$G$10)*ISNUMBER(C193:G193)) +
   SUMPRODUCT(($H$9:$Z$9="CO4")*ISNUMBER($H$10:$Z$10)*ISNUMBER(H193:Z193)) = 0,
   "",
   IFERROR(
     (
       IF(
         SUMPRODUCT(($C$9:$G$9="CO4")*ISNUMBER($C$10:$G$10)*ISNUMBER(C193:G193)) = 0,
         0,
         SUMPRODUCT(($C$9:$G$9="CO4")*ISNUMBER($C$10:$G$10)*ISNUMBER(C193:G193)*C193:G193) /
         SUMPRODUCT(($C$9:$G$9="CO4")*ISNUMBER($C$10:$G$10)*ISNUMBER(C193:G193)*$C$10:$G$10) * 0.15
       ) +
       IF(
         SUMPRODUCT(($H$9:$Z$9="CO4")*ISNUMBER($H$10:$Z$10)*ISNUMBER(H193:Z193)) = 0,
         0,
         SUMPRODUCT(($H$9:$Z$9="CO4")*ISNUMBER($H$10:$Z$10)*ISNUMBER(H193:Z193)*H193:Z193) /
         SUMPRODUCT(($H$9:$Z$9="CO4")*ISNUMBER($H$10:$Z$10)*ISNUMBER(H193:Z193)*$H$10:$Z$10) * 0.85
       )
     ) * 100,
     ""
   )
)</f>
        <v/>
      </c>
      <c r="AE193" s="1" t="str" cm="1">
        <f t="array" ref="AE193">IF(
   SUMPRODUCT(($C$9:$G$9="CO5")*ISNUMBER($C$10:$G$10)*ISNUMBER(C193:G193)) +
   SUMPRODUCT(($H$9:$Z$9="CO5")*ISNUMBER($H$10:$Z$10)*ISNUMBER(H193:Z193)) = 0,
   "",
   IFERROR(
     (
       IF(
         SUMPRODUCT(($C$9:$G$9="CO5")*ISNUMBER($C$10:$G$10)*ISNUMBER(C193:G193)) = 0,
         0,
         SUMPRODUCT(($C$9:$G$9="CO5")*ISNUMBER($C$10:$G$10)*ISNUMBER(C193:G193)*C193:G193) /
         SUMPRODUCT(($C$9:$G$9="CO5")*ISNUMBER($C$10:$G$10)*ISNUMBER(C193:G193)*$C$10:$G$10) * 0.15
       ) +
       IF(
         SUMPRODUCT(($H$9:$Z$9="CO5")*ISNUMBER($H$10:$Z$10)*ISNUMBER(H193:Z193)) = 0,
         0,
         SUMPRODUCT(($H$9:$Z$9="CO5")*ISNUMBER($H$10:$Z$10)*ISNUMBER(H193:Z193)*H193:Z193) /
         SUMPRODUCT(($H$9:$Z$9="CO5")*ISNUMBER($H$10:$Z$10)*ISNUMBER(H193:Z193)*$H$10:$Z$10) * 0.85
       )
     ) * 100,
     ""
   )
)</f>
        <v/>
      </c>
      <c r="AF193" s="1" t="str" cm="1">
        <f t="array" ref="AF193">IF(
   SUMPRODUCT(($C$9:$G$9="CO6")*ISNUMBER($C$10:$G$10)*ISNUMBER(C193:G193)) +
   SUMPRODUCT(($H$9:$Z$9="CO6")*ISNUMBER($H$10:$Z$10)*ISNUMBER(H193:Z193)) = 0,
   "",
   IFERROR(
     (
       IF(
         SUMPRODUCT(($C$9:$G$9="CO6")*ISNUMBER($C$10:$G$10)*ISNUMBER(C193:G193)) = 0,
         0,
         SUMPRODUCT(($C$9:$G$9="CO6")*ISNUMBER($C$10:$G$10)*ISNUMBER(C193:G193)*C193:G193) /
         SUMPRODUCT(($C$9:$G$9="CO6")*ISNUMBER($C$10:$G$10)*ISNUMBER(C193:G193)*$C$10:$G$10) * 0.15
       ) +
       IF(
         SUMPRODUCT(($H$9:$Z$9="CO6")*ISNUMBER($H$10:$Z$10)*ISNUMBER(H193:Z193)) = 0,
         0,
         SUMPRODUCT(($H$9:$Z$9="CO6")*ISNUMBER($H$10:$Z$10)*ISNUMBER(H193:Z193)*H193:Z193) /
         SUMPRODUCT(($H$9:$Z$9="CO6")*ISNUMBER($H$10:$Z$10)*ISNUMBER(H193:Z193)*$H$10:$Z$10) * 0.85
       )
     ) * 100,
     ""
   )
)</f>
        <v/>
      </c>
      <c r="AG193" s="1" t="str" cm="1">
        <f t="array" ref="AG193">IF(
   SUMPRODUCT(($C$9:$G$9="CO7")*ISNUMBER($C$10:$G$10)*ISNUMBER(C193:G193)) +
   SUMPRODUCT(($H$9:$Z$9="CO7")*ISNUMBER($H$10:$Z$10)*ISNUMBER(H193:Z193)) = 0,
   "",
   IFERROR(
     (
       IF(
         SUMPRODUCT(($C$9:$G$9="CO7")*ISNUMBER($C$10:$G$10)*ISNUMBER(C193:G193)) = 0,
         0,
         SUMPRODUCT(($C$9:$G$9="CO7")*ISNUMBER($C$10:$G$10)*ISNUMBER(C193:G193)*C193:G193) /
         SUMPRODUCT(($C$9:$G$9="CO7")*ISNUMBER($C$10:$G$10)*ISNUMBER(C193:G193)*$C$10:$G$10) * 0.15
       ) +
       IF(
         SUMPRODUCT(($H$9:$Z$9="CO7")*ISNUMBER($H$10:$Z$10)*ISNUMBER(H193:Z193)) = 0,
         0,
         SUMPRODUCT(($H$9:$Z$9="CO7")*ISNUMBER($H$10:$Z$10)*ISNUMBER(H193:Z193)*H193:Z193) /
         SUMPRODUCT(($H$9:$Z$9="CO7")*ISNUMBER($H$10:$Z$10)*ISNUMBER(H193:Z193)*$H$10:$Z$10) * 0.85
       )
     ) * 100,
     ""
   )
)</f>
        <v/>
      </c>
      <c r="AH193" s="3" t="str" cm="1">
        <f t="array" ref="AH193">IF(
   SUMPRODUCT(($C$9:$G$9="CO8")*ISNUMBER($C$10:$G$10)*ISNUMBER(C193:G193)) +
   SUMPRODUCT(($H$9:$Z$9="CO8")*ISNUMBER($H$10:$Z$10)*ISNUMBER(H193:Z193)) = 0,
   "",
   IFERROR(
     (
       IF(
         SUMPRODUCT(($C$9:$G$9="CO8")*ISNUMBER($C$10:$G$10)*ISNUMBER(C193:G193)) = 0,
         0,
         SUMPRODUCT(($C$9:$G$9="CO8")*ISNUMBER($C$10:$G$10)*ISNUMBER(C193:G193)*C193:G193) /
         SUMPRODUCT(($C$9:$G$9="CO8")*ISNUMBER($C$10:$G$10)*ISNUMBER(C193:G193)*$C$10:$G$10) * 0.15
       ) +
       IF(
         SUMPRODUCT(($H$9:$Z$9="CO8")*ISNUMBER($H$10:$Z$10)*ISNUMBER(H193:Z193)) = 0,
         0,
         SUMPRODUCT(($H$9:$Z$9="CO8")*ISNUMBER($H$10:$Z$10)*ISNUMBER(H193:Z193)*H193:Z193) /
         SUMPRODUCT(($H$9:$Z$9="CO8")*ISNUMBER($H$10:$Z$10)*ISNUMBER(H193:Z193)*$H$10:$Z$10) * 0.85
       )
     ) * 100,
     ""
   )
)</f>
        <v/>
      </c>
      <c r="AI193" s="1" t="str">
        <f t="shared" si="20"/>
        <v/>
      </c>
      <c r="AJ193" s="1" t="str">
        <f t="shared" si="20"/>
        <v/>
      </c>
      <c r="AK193" s="1" t="str">
        <f t="shared" si="20"/>
        <v/>
      </c>
      <c r="AL193" s="1" t="str">
        <f t="shared" si="20"/>
        <v/>
      </c>
      <c r="AM193" s="1" t="str">
        <f t="shared" si="20"/>
        <v/>
      </c>
      <c r="AN193" s="1" t="str">
        <f t="shared" si="20"/>
        <v/>
      </c>
      <c r="AO193" s="1" t="str">
        <f t="shared" si="20"/>
        <v/>
      </c>
      <c r="AP193" s="1" t="str">
        <f t="shared" si="19"/>
        <v/>
      </c>
    </row>
    <row r="194" spans="1:42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" t="str" cm="1">
        <f t="array" ref="AA194">IF(
   SUMPRODUCT(($C$9:$G$9="CO1")*ISNUMBER($C$10:$G$10)*ISNUMBER(C194:G194)) +
   SUMPRODUCT(($H$9:$Z$9="CO1")*ISNUMBER($H$10:$Z$10)*ISNUMBER(H194:Z194)) = 0,
   "",
   IFERROR(
     (
       IF(
         SUMPRODUCT(($C$9:$G$9="CO1")*ISNUMBER($C$10:$G$10)*ISNUMBER(C194:G194)) = 0,
         0,
         SUMPRODUCT(($C$9:$G$9="CO1")*ISNUMBER($C$10:$G$10)*ISNUMBER(C194:G194)*C194:G194) /
         SUMPRODUCT(($C$9:$G$9="CO1")*ISNUMBER($C$10:$G$10)*ISNUMBER(C194:G194)*$C$10:$G$10) * 0.15
       ) +
       IF(
         SUMPRODUCT(($H$9:$Z$9="CO1")*ISNUMBER($H$10:$Z$10)*ISNUMBER(H194:Z194)) = 0,
         0,
         SUMPRODUCT(($H$9:$Z$9="CO1")*ISNUMBER($H$10:$Z$10)*ISNUMBER(H194:Z194)*H194:Z194) /
         SUMPRODUCT(($H$9:$Z$9="CO1")*ISNUMBER($H$10:$Z$10)*ISNUMBER(H194:Z194)*$H$10:$Z$10) * 0.85
       )
     ) * 100,
     ""
   )
)</f>
        <v/>
      </c>
      <c r="AB194" s="1" t="str" cm="1">
        <f t="array" ref="AB194">IF(
   SUMPRODUCT(($C$9:$G$9="CO2")*ISNUMBER($C$10:$G$10)*ISNUMBER(C194:G194)) +
   SUMPRODUCT(($H$9:$Z$9="CO2")*ISNUMBER($H$10:$Z$10)*ISNUMBER(H194:Z194)) = 0,
   "",
   IFERROR(
     (
       IF(
         SUMPRODUCT(($C$9:$G$9="CO2")*ISNUMBER($C$10:$G$10)*ISNUMBER(C194:G194)) = 0,
         0,
         SUMPRODUCT(($C$9:$G$9="CO2")*ISNUMBER($C$10:$G$10)*ISNUMBER(C194:G194)*C194:G194) /
         SUMPRODUCT(($C$9:$G$9="CO2")*ISNUMBER($C$10:$G$10)*ISNUMBER(C194:G194)*$C$10:$G$10) * 0.15
       ) +
       IF(
         SUMPRODUCT(($H$9:$Z$9="CO2")*ISNUMBER($H$10:$Z$10)*ISNUMBER(H194:Z194)) = 0,
         0,
         SUMPRODUCT(($H$9:$Z$9="CO2")*ISNUMBER($H$10:$Z$10)*ISNUMBER(H194:Z194)*H194:Z194) /
         SUMPRODUCT(($H$9:$Z$9="CO2")*ISNUMBER($H$10:$Z$10)*ISNUMBER(H194:Z194)*$H$10:$Z$10) * 0.85
       )
     ) * 100,
     ""
   )
)</f>
        <v/>
      </c>
      <c r="AC194" s="1" t="str" cm="1">
        <f t="array" ref="AC194">IF(
   SUMPRODUCT(($C$9:$G$9="CO3")*ISNUMBER($C$10:$G$10)*ISNUMBER(C194:G194)) +
   SUMPRODUCT(($H$9:$Z$9="CO3")*ISNUMBER($H$10:$Z$10)*ISNUMBER(H194:Z194)) = 0,
   "",
   IFERROR(
     (
       IF(
         SUMPRODUCT(($C$9:$G$9="CO3")*ISNUMBER($C$10:$G$10)*ISNUMBER(C194:G194)) = 0,
         0,
         SUMPRODUCT(($C$9:$G$9="CO3")*ISNUMBER($C$10:$G$10)*ISNUMBER(C194:G194)*C194:G194) /
         SUMPRODUCT(($C$9:$G$9="CO3")*ISNUMBER($C$10:$G$10)*ISNUMBER(C194:G194)*$C$10:$G$10) * 0.15
       ) +
       IF(
         SUMPRODUCT(($H$9:$Z$9="CO3")*ISNUMBER($H$10:$Z$10)*ISNUMBER(H194:Z194)) = 0,
         0,
         SUMPRODUCT(($H$9:$Z$9="CO3")*ISNUMBER($H$10:$Z$10)*ISNUMBER(H194:Z194)*H194:Z194) /
         SUMPRODUCT(($H$9:$Z$9="CO3")*ISNUMBER($H$10:$Z$10)*ISNUMBER(H194:Z194)*$H$10:$Z$10) * 0.85
       )
     ) * 100,
     ""
   )
)</f>
        <v/>
      </c>
      <c r="AD194" s="1" t="str" cm="1">
        <f t="array" ref="AD194">IF(
   SUMPRODUCT(($C$9:$G$9="CO4")*ISNUMBER($C$10:$G$10)*ISNUMBER(C194:G194)) +
   SUMPRODUCT(($H$9:$Z$9="CO4")*ISNUMBER($H$10:$Z$10)*ISNUMBER(H194:Z194)) = 0,
   "",
   IFERROR(
     (
       IF(
         SUMPRODUCT(($C$9:$G$9="CO4")*ISNUMBER($C$10:$G$10)*ISNUMBER(C194:G194)) = 0,
         0,
         SUMPRODUCT(($C$9:$G$9="CO4")*ISNUMBER($C$10:$G$10)*ISNUMBER(C194:G194)*C194:G194) /
         SUMPRODUCT(($C$9:$G$9="CO4")*ISNUMBER($C$10:$G$10)*ISNUMBER(C194:G194)*$C$10:$G$10) * 0.15
       ) +
       IF(
         SUMPRODUCT(($H$9:$Z$9="CO4")*ISNUMBER($H$10:$Z$10)*ISNUMBER(H194:Z194)) = 0,
         0,
         SUMPRODUCT(($H$9:$Z$9="CO4")*ISNUMBER($H$10:$Z$10)*ISNUMBER(H194:Z194)*H194:Z194) /
         SUMPRODUCT(($H$9:$Z$9="CO4")*ISNUMBER($H$10:$Z$10)*ISNUMBER(H194:Z194)*$H$10:$Z$10) * 0.85
       )
     ) * 100,
     ""
   )
)</f>
        <v/>
      </c>
      <c r="AE194" s="1" t="str" cm="1">
        <f t="array" ref="AE194">IF(
   SUMPRODUCT(($C$9:$G$9="CO5")*ISNUMBER($C$10:$G$10)*ISNUMBER(C194:G194)) +
   SUMPRODUCT(($H$9:$Z$9="CO5")*ISNUMBER($H$10:$Z$10)*ISNUMBER(H194:Z194)) = 0,
   "",
   IFERROR(
     (
       IF(
         SUMPRODUCT(($C$9:$G$9="CO5")*ISNUMBER($C$10:$G$10)*ISNUMBER(C194:G194)) = 0,
         0,
         SUMPRODUCT(($C$9:$G$9="CO5")*ISNUMBER($C$10:$G$10)*ISNUMBER(C194:G194)*C194:G194) /
         SUMPRODUCT(($C$9:$G$9="CO5")*ISNUMBER($C$10:$G$10)*ISNUMBER(C194:G194)*$C$10:$G$10) * 0.15
       ) +
       IF(
         SUMPRODUCT(($H$9:$Z$9="CO5")*ISNUMBER($H$10:$Z$10)*ISNUMBER(H194:Z194)) = 0,
         0,
         SUMPRODUCT(($H$9:$Z$9="CO5")*ISNUMBER($H$10:$Z$10)*ISNUMBER(H194:Z194)*H194:Z194) /
         SUMPRODUCT(($H$9:$Z$9="CO5")*ISNUMBER($H$10:$Z$10)*ISNUMBER(H194:Z194)*$H$10:$Z$10) * 0.85
       )
     ) * 100,
     ""
   )
)</f>
        <v/>
      </c>
      <c r="AF194" s="1" t="str" cm="1">
        <f t="array" ref="AF194">IF(
   SUMPRODUCT(($C$9:$G$9="CO6")*ISNUMBER($C$10:$G$10)*ISNUMBER(C194:G194)) +
   SUMPRODUCT(($H$9:$Z$9="CO6")*ISNUMBER($H$10:$Z$10)*ISNUMBER(H194:Z194)) = 0,
   "",
   IFERROR(
     (
       IF(
         SUMPRODUCT(($C$9:$G$9="CO6")*ISNUMBER($C$10:$G$10)*ISNUMBER(C194:G194)) = 0,
         0,
         SUMPRODUCT(($C$9:$G$9="CO6")*ISNUMBER($C$10:$G$10)*ISNUMBER(C194:G194)*C194:G194) /
         SUMPRODUCT(($C$9:$G$9="CO6")*ISNUMBER($C$10:$G$10)*ISNUMBER(C194:G194)*$C$10:$G$10) * 0.15
       ) +
       IF(
         SUMPRODUCT(($H$9:$Z$9="CO6")*ISNUMBER($H$10:$Z$10)*ISNUMBER(H194:Z194)) = 0,
         0,
         SUMPRODUCT(($H$9:$Z$9="CO6")*ISNUMBER($H$10:$Z$10)*ISNUMBER(H194:Z194)*H194:Z194) /
         SUMPRODUCT(($H$9:$Z$9="CO6")*ISNUMBER($H$10:$Z$10)*ISNUMBER(H194:Z194)*$H$10:$Z$10) * 0.85
       )
     ) * 100,
     ""
   )
)</f>
        <v/>
      </c>
      <c r="AG194" s="1" t="str" cm="1">
        <f t="array" ref="AG194">IF(
   SUMPRODUCT(($C$9:$G$9="CO7")*ISNUMBER($C$10:$G$10)*ISNUMBER(C194:G194)) +
   SUMPRODUCT(($H$9:$Z$9="CO7")*ISNUMBER($H$10:$Z$10)*ISNUMBER(H194:Z194)) = 0,
   "",
   IFERROR(
     (
       IF(
         SUMPRODUCT(($C$9:$G$9="CO7")*ISNUMBER($C$10:$G$10)*ISNUMBER(C194:G194)) = 0,
         0,
         SUMPRODUCT(($C$9:$G$9="CO7")*ISNUMBER($C$10:$G$10)*ISNUMBER(C194:G194)*C194:G194) /
         SUMPRODUCT(($C$9:$G$9="CO7")*ISNUMBER($C$10:$G$10)*ISNUMBER(C194:G194)*$C$10:$G$10) * 0.15
       ) +
       IF(
         SUMPRODUCT(($H$9:$Z$9="CO7")*ISNUMBER($H$10:$Z$10)*ISNUMBER(H194:Z194)) = 0,
         0,
         SUMPRODUCT(($H$9:$Z$9="CO7")*ISNUMBER($H$10:$Z$10)*ISNUMBER(H194:Z194)*H194:Z194) /
         SUMPRODUCT(($H$9:$Z$9="CO7")*ISNUMBER($H$10:$Z$10)*ISNUMBER(H194:Z194)*$H$10:$Z$10) * 0.85
       )
     ) * 100,
     ""
   )
)</f>
        <v/>
      </c>
      <c r="AH194" s="3" t="str" cm="1">
        <f t="array" ref="AH194">IF(
   SUMPRODUCT(($C$9:$G$9="CO8")*ISNUMBER($C$10:$G$10)*ISNUMBER(C194:G194)) +
   SUMPRODUCT(($H$9:$Z$9="CO8")*ISNUMBER($H$10:$Z$10)*ISNUMBER(H194:Z194)) = 0,
   "",
   IFERROR(
     (
       IF(
         SUMPRODUCT(($C$9:$G$9="CO8")*ISNUMBER($C$10:$G$10)*ISNUMBER(C194:G194)) = 0,
         0,
         SUMPRODUCT(($C$9:$G$9="CO8")*ISNUMBER($C$10:$G$10)*ISNUMBER(C194:G194)*C194:G194) /
         SUMPRODUCT(($C$9:$G$9="CO8")*ISNUMBER($C$10:$G$10)*ISNUMBER(C194:G194)*$C$10:$G$10) * 0.15
       ) +
       IF(
         SUMPRODUCT(($H$9:$Z$9="CO8")*ISNUMBER($H$10:$Z$10)*ISNUMBER(H194:Z194)) = 0,
         0,
         SUMPRODUCT(($H$9:$Z$9="CO8")*ISNUMBER($H$10:$Z$10)*ISNUMBER(H194:Z194)*H194:Z194) /
         SUMPRODUCT(($H$9:$Z$9="CO8")*ISNUMBER($H$10:$Z$10)*ISNUMBER(H194:Z194)*$H$10:$Z$10) * 0.85
       )
     ) * 100,
     ""
   )
)</f>
        <v/>
      </c>
      <c r="AI194" s="1" t="str">
        <f t="shared" si="20"/>
        <v/>
      </c>
      <c r="AJ194" s="1" t="str">
        <f t="shared" si="20"/>
        <v/>
      </c>
      <c r="AK194" s="1" t="str">
        <f t="shared" si="20"/>
        <v/>
      </c>
      <c r="AL194" s="1" t="str">
        <f t="shared" si="20"/>
        <v/>
      </c>
      <c r="AM194" s="1" t="str">
        <f t="shared" si="20"/>
        <v/>
      </c>
      <c r="AN194" s="1" t="str">
        <f t="shared" si="20"/>
        <v/>
      </c>
      <c r="AO194" s="1" t="str">
        <f t="shared" si="20"/>
        <v/>
      </c>
      <c r="AP194" s="1" t="str">
        <f t="shared" si="19"/>
        <v/>
      </c>
    </row>
    <row r="195" spans="1:42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" t="str" cm="1">
        <f t="array" ref="AA195">IF(
   SUMPRODUCT(($C$9:$G$9="CO1")*ISNUMBER($C$10:$G$10)*ISNUMBER(C195:G195)) +
   SUMPRODUCT(($H$9:$Z$9="CO1")*ISNUMBER($H$10:$Z$10)*ISNUMBER(H195:Z195)) = 0,
   "",
   IFERROR(
     (
       IF(
         SUMPRODUCT(($C$9:$G$9="CO1")*ISNUMBER($C$10:$G$10)*ISNUMBER(C195:G195)) = 0,
         0,
         SUMPRODUCT(($C$9:$G$9="CO1")*ISNUMBER($C$10:$G$10)*ISNUMBER(C195:G195)*C195:G195) /
         SUMPRODUCT(($C$9:$G$9="CO1")*ISNUMBER($C$10:$G$10)*ISNUMBER(C195:G195)*$C$10:$G$10) * 0.15
       ) +
       IF(
         SUMPRODUCT(($H$9:$Z$9="CO1")*ISNUMBER($H$10:$Z$10)*ISNUMBER(H195:Z195)) = 0,
         0,
         SUMPRODUCT(($H$9:$Z$9="CO1")*ISNUMBER($H$10:$Z$10)*ISNUMBER(H195:Z195)*H195:Z195) /
         SUMPRODUCT(($H$9:$Z$9="CO1")*ISNUMBER($H$10:$Z$10)*ISNUMBER(H195:Z195)*$H$10:$Z$10) * 0.85
       )
     ) * 100,
     ""
   )
)</f>
        <v/>
      </c>
      <c r="AB195" s="1" t="str" cm="1">
        <f t="array" ref="AB195">IF(
   SUMPRODUCT(($C$9:$G$9="CO2")*ISNUMBER($C$10:$G$10)*ISNUMBER(C195:G195)) +
   SUMPRODUCT(($H$9:$Z$9="CO2")*ISNUMBER($H$10:$Z$10)*ISNUMBER(H195:Z195)) = 0,
   "",
   IFERROR(
     (
       IF(
         SUMPRODUCT(($C$9:$G$9="CO2")*ISNUMBER($C$10:$G$10)*ISNUMBER(C195:G195)) = 0,
         0,
         SUMPRODUCT(($C$9:$G$9="CO2")*ISNUMBER($C$10:$G$10)*ISNUMBER(C195:G195)*C195:G195) /
         SUMPRODUCT(($C$9:$G$9="CO2")*ISNUMBER($C$10:$G$10)*ISNUMBER(C195:G195)*$C$10:$G$10) * 0.15
       ) +
       IF(
         SUMPRODUCT(($H$9:$Z$9="CO2")*ISNUMBER($H$10:$Z$10)*ISNUMBER(H195:Z195)) = 0,
         0,
         SUMPRODUCT(($H$9:$Z$9="CO2")*ISNUMBER($H$10:$Z$10)*ISNUMBER(H195:Z195)*H195:Z195) /
         SUMPRODUCT(($H$9:$Z$9="CO2")*ISNUMBER($H$10:$Z$10)*ISNUMBER(H195:Z195)*$H$10:$Z$10) * 0.85
       )
     ) * 100,
     ""
   )
)</f>
        <v/>
      </c>
      <c r="AC195" s="1" t="str" cm="1">
        <f t="array" ref="AC195">IF(
   SUMPRODUCT(($C$9:$G$9="CO3")*ISNUMBER($C$10:$G$10)*ISNUMBER(C195:G195)) +
   SUMPRODUCT(($H$9:$Z$9="CO3")*ISNUMBER($H$10:$Z$10)*ISNUMBER(H195:Z195)) = 0,
   "",
   IFERROR(
     (
       IF(
         SUMPRODUCT(($C$9:$G$9="CO3")*ISNUMBER($C$10:$G$10)*ISNUMBER(C195:G195)) = 0,
         0,
         SUMPRODUCT(($C$9:$G$9="CO3")*ISNUMBER($C$10:$G$10)*ISNUMBER(C195:G195)*C195:G195) /
         SUMPRODUCT(($C$9:$G$9="CO3")*ISNUMBER($C$10:$G$10)*ISNUMBER(C195:G195)*$C$10:$G$10) * 0.15
       ) +
       IF(
         SUMPRODUCT(($H$9:$Z$9="CO3")*ISNUMBER($H$10:$Z$10)*ISNUMBER(H195:Z195)) = 0,
         0,
         SUMPRODUCT(($H$9:$Z$9="CO3")*ISNUMBER($H$10:$Z$10)*ISNUMBER(H195:Z195)*H195:Z195) /
         SUMPRODUCT(($H$9:$Z$9="CO3")*ISNUMBER($H$10:$Z$10)*ISNUMBER(H195:Z195)*$H$10:$Z$10) * 0.85
       )
     ) * 100,
     ""
   )
)</f>
        <v/>
      </c>
      <c r="AD195" s="1" t="str" cm="1">
        <f t="array" ref="AD195">IF(
   SUMPRODUCT(($C$9:$G$9="CO4")*ISNUMBER($C$10:$G$10)*ISNUMBER(C195:G195)) +
   SUMPRODUCT(($H$9:$Z$9="CO4")*ISNUMBER($H$10:$Z$10)*ISNUMBER(H195:Z195)) = 0,
   "",
   IFERROR(
     (
       IF(
         SUMPRODUCT(($C$9:$G$9="CO4")*ISNUMBER($C$10:$G$10)*ISNUMBER(C195:G195)) = 0,
         0,
         SUMPRODUCT(($C$9:$G$9="CO4")*ISNUMBER($C$10:$G$10)*ISNUMBER(C195:G195)*C195:G195) /
         SUMPRODUCT(($C$9:$G$9="CO4")*ISNUMBER($C$10:$G$10)*ISNUMBER(C195:G195)*$C$10:$G$10) * 0.15
       ) +
       IF(
         SUMPRODUCT(($H$9:$Z$9="CO4")*ISNUMBER($H$10:$Z$10)*ISNUMBER(H195:Z195)) = 0,
         0,
         SUMPRODUCT(($H$9:$Z$9="CO4")*ISNUMBER($H$10:$Z$10)*ISNUMBER(H195:Z195)*H195:Z195) /
         SUMPRODUCT(($H$9:$Z$9="CO4")*ISNUMBER($H$10:$Z$10)*ISNUMBER(H195:Z195)*$H$10:$Z$10) * 0.85
       )
     ) * 100,
     ""
   )
)</f>
        <v/>
      </c>
      <c r="AE195" s="1" t="str" cm="1">
        <f t="array" ref="AE195">IF(
   SUMPRODUCT(($C$9:$G$9="CO5")*ISNUMBER($C$10:$G$10)*ISNUMBER(C195:G195)) +
   SUMPRODUCT(($H$9:$Z$9="CO5")*ISNUMBER($H$10:$Z$10)*ISNUMBER(H195:Z195)) = 0,
   "",
   IFERROR(
     (
       IF(
         SUMPRODUCT(($C$9:$G$9="CO5")*ISNUMBER($C$10:$G$10)*ISNUMBER(C195:G195)) = 0,
         0,
         SUMPRODUCT(($C$9:$G$9="CO5")*ISNUMBER($C$10:$G$10)*ISNUMBER(C195:G195)*C195:G195) /
         SUMPRODUCT(($C$9:$G$9="CO5")*ISNUMBER($C$10:$G$10)*ISNUMBER(C195:G195)*$C$10:$G$10) * 0.15
       ) +
       IF(
         SUMPRODUCT(($H$9:$Z$9="CO5")*ISNUMBER($H$10:$Z$10)*ISNUMBER(H195:Z195)) = 0,
         0,
         SUMPRODUCT(($H$9:$Z$9="CO5")*ISNUMBER($H$10:$Z$10)*ISNUMBER(H195:Z195)*H195:Z195) /
         SUMPRODUCT(($H$9:$Z$9="CO5")*ISNUMBER($H$10:$Z$10)*ISNUMBER(H195:Z195)*$H$10:$Z$10) * 0.85
       )
     ) * 100,
     ""
   )
)</f>
        <v/>
      </c>
      <c r="AF195" s="1" t="str" cm="1">
        <f t="array" ref="AF195">IF(
   SUMPRODUCT(($C$9:$G$9="CO6")*ISNUMBER($C$10:$G$10)*ISNUMBER(C195:G195)) +
   SUMPRODUCT(($H$9:$Z$9="CO6")*ISNUMBER($H$10:$Z$10)*ISNUMBER(H195:Z195)) = 0,
   "",
   IFERROR(
     (
       IF(
         SUMPRODUCT(($C$9:$G$9="CO6")*ISNUMBER($C$10:$G$10)*ISNUMBER(C195:G195)) = 0,
         0,
         SUMPRODUCT(($C$9:$G$9="CO6")*ISNUMBER($C$10:$G$10)*ISNUMBER(C195:G195)*C195:G195) /
         SUMPRODUCT(($C$9:$G$9="CO6")*ISNUMBER($C$10:$G$10)*ISNUMBER(C195:G195)*$C$10:$G$10) * 0.15
       ) +
       IF(
         SUMPRODUCT(($H$9:$Z$9="CO6")*ISNUMBER($H$10:$Z$10)*ISNUMBER(H195:Z195)) = 0,
         0,
         SUMPRODUCT(($H$9:$Z$9="CO6")*ISNUMBER($H$10:$Z$10)*ISNUMBER(H195:Z195)*H195:Z195) /
         SUMPRODUCT(($H$9:$Z$9="CO6")*ISNUMBER($H$10:$Z$10)*ISNUMBER(H195:Z195)*$H$10:$Z$10) * 0.85
       )
     ) * 100,
     ""
   )
)</f>
        <v/>
      </c>
      <c r="AG195" s="1" t="str" cm="1">
        <f t="array" ref="AG195">IF(
   SUMPRODUCT(($C$9:$G$9="CO7")*ISNUMBER($C$10:$G$10)*ISNUMBER(C195:G195)) +
   SUMPRODUCT(($H$9:$Z$9="CO7")*ISNUMBER($H$10:$Z$10)*ISNUMBER(H195:Z195)) = 0,
   "",
   IFERROR(
     (
       IF(
         SUMPRODUCT(($C$9:$G$9="CO7")*ISNUMBER($C$10:$G$10)*ISNUMBER(C195:G195)) = 0,
         0,
         SUMPRODUCT(($C$9:$G$9="CO7")*ISNUMBER($C$10:$G$10)*ISNUMBER(C195:G195)*C195:G195) /
         SUMPRODUCT(($C$9:$G$9="CO7")*ISNUMBER($C$10:$G$10)*ISNUMBER(C195:G195)*$C$10:$G$10) * 0.15
       ) +
       IF(
         SUMPRODUCT(($H$9:$Z$9="CO7")*ISNUMBER($H$10:$Z$10)*ISNUMBER(H195:Z195)) = 0,
         0,
         SUMPRODUCT(($H$9:$Z$9="CO7")*ISNUMBER($H$10:$Z$10)*ISNUMBER(H195:Z195)*H195:Z195) /
         SUMPRODUCT(($H$9:$Z$9="CO7")*ISNUMBER($H$10:$Z$10)*ISNUMBER(H195:Z195)*$H$10:$Z$10) * 0.85
       )
     ) * 100,
     ""
   )
)</f>
        <v/>
      </c>
      <c r="AH195" s="3" t="str" cm="1">
        <f t="array" ref="AH195">IF(
   SUMPRODUCT(($C$9:$G$9="CO8")*ISNUMBER($C$10:$G$10)*ISNUMBER(C195:G195)) +
   SUMPRODUCT(($H$9:$Z$9="CO8")*ISNUMBER($H$10:$Z$10)*ISNUMBER(H195:Z195)) = 0,
   "",
   IFERROR(
     (
       IF(
         SUMPRODUCT(($C$9:$G$9="CO8")*ISNUMBER($C$10:$G$10)*ISNUMBER(C195:G195)) = 0,
         0,
         SUMPRODUCT(($C$9:$G$9="CO8")*ISNUMBER($C$10:$G$10)*ISNUMBER(C195:G195)*C195:G195) /
         SUMPRODUCT(($C$9:$G$9="CO8")*ISNUMBER($C$10:$G$10)*ISNUMBER(C195:G195)*$C$10:$G$10) * 0.15
       ) +
       IF(
         SUMPRODUCT(($H$9:$Z$9="CO8")*ISNUMBER($H$10:$Z$10)*ISNUMBER(H195:Z195)) = 0,
         0,
         SUMPRODUCT(($H$9:$Z$9="CO8")*ISNUMBER($H$10:$Z$10)*ISNUMBER(H195:Z195)*H195:Z195) /
         SUMPRODUCT(($H$9:$Z$9="CO8")*ISNUMBER($H$10:$Z$10)*ISNUMBER(H195:Z195)*$H$10:$Z$10) * 0.85
       )
     ) * 100,
     ""
   )
)</f>
        <v/>
      </c>
      <c r="AI195" s="1" t="str">
        <f t="shared" si="20"/>
        <v/>
      </c>
      <c r="AJ195" s="1" t="str">
        <f t="shared" si="20"/>
        <v/>
      </c>
      <c r="AK195" s="1" t="str">
        <f t="shared" si="20"/>
        <v/>
      </c>
      <c r="AL195" s="1" t="str">
        <f t="shared" si="20"/>
        <v/>
      </c>
      <c r="AM195" s="1" t="str">
        <f t="shared" si="20"/>
        <v/>
      </c>
      <c r="AN195" s="1" t="str">
        <f t="shared" si="20"/>
        <v/>
      </c>
      <c r="AO195" s="1" t="str">
        <f t="shared" si="20"/>
        <v/>
      </c>
      <c r="AP195" s="1" t="str">
        <f t="shared" si="19"/>
        <v/>
      </c>
    </row>
    <row r="196" spans="1:42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" t="str" cm="1">
        <f t="array" ref="AA196">IF(
   SUMPRODUCT(($C$9:$G$9="CO1")*ISNUMBER($C$10:$G$10)*ISNUMBER(C196:G196)) +
   SUMPRODUCT(($H$9:$Z$9="CO1")*ISNUMBER($H$10:$Z$10)*ISNUMBER(H196:Z196)) = 0,
   "",
   IFERROR(
     (
       IF(
         SUMPRODUCT(($C$9:$G$9="CO1")*ISNUMBER($C$10:$G$10)*ISNUMBER(C196:G196)) = 0,
         0,
         SUMPRODUCT(($C$9:$G$9="CO1")*ISNUMBER($C$10:$G$10)*ISNUMBER(C196:G196)*C196:G196) /
         SUMPRODUCT(($C$9:$G$9="CO1")*ISNUMBER($C$10:$G$10)*ISNUMBER(C196:G196)*$C$10:$G$10) * 0.15
       ) +
       IF(
         SUMPRODUCT(($H$9:$Z$9="CO1")*ISNUMBER($H$10:$Z$10)*ISNUMBER(H196:Z196)) = 0,
         0,
         SUMPRODUCT(($H$9:$Z$9="CO1")*ISNUMBER($H$10:$Z$10)*ISNUMBER(H196:Z196)*H196:Z196) /
         SUMPRODUCT(($H$9:$Z$9="CO1")*ISNUMBER($H$10:$Z$10)*ISNUMBER(H196:Z196)*$H$10:$Z$10) * 0.85
       )
     ) * 100,
     ""
   )
)</f>
        <v/>
      </c>
      <c r="AB196" s="1" t="str" cm="1">
        <f t="array" ref="AB196">IF(
   SUMPRODUCT(($C$9:$G$9="CO2")*ISNUMBER($C$10:$G$10)*ISNUMBER(C196:G196)) +
   SUMPRODUCT(($H$9:$Z$9="CO2")*ISNUMBER($H$10:$Z$10)*ISNUMBER(H196:Z196)) = 0,
   "",
   IFERROR(
     (
       IF(
         SUMPRODUCT(($C$9:$G$9="CO2")*ISNUMBER($C$10:$G$10)*ISNUMBER(C196:G196)) = 0,
         0,
         SUMPRODUCT(($C$9:$G$9="CO2")*ISNUMBER($C$10:$G$10)*ISNUMBER(C196:G196)*C196:G196) /
         SUMPRODUCT(($C$9:$G$9="CO2")*ISNUMBER($C$10:$G$10)*ISNUMBER(C196:G196)*$C$10:$G$10) * 0.15
       ) +
       IF(
         SUMPRODUCT(($H$9:$Z$9="CO2")*ISNUMBER($H$10:$Z$10)*ISNUMBER(H196:Z196)) = 0,
         0,
         SUMPRODUCT(($H$9:$Z$9="CO2")*ISNUMBER($H$10:$Z$10)*ISNUMBER(H196:Z196)*H196:Z196) /
         SUMPRODUCT(($H$9:$Z$9="CO2")*ISNUMBER($H$10:$Z$10)*ISNUMBER(H196:Z196)*$H$10:$Z$10) * 0.85
       )
     ) * 100,
     ""
   )
)</f>
        <v/>
      </c>
      <c r="AC196" s="1" t="str" cm="1">
        <f t="array" ref="AC196">IF(
   SUMPRODUCT(($C$9:$G$9="CO3")*ISNUMBER($C$10:$G$10)*ISNUMBER(C196:G196)) +
   SUMPRODUCT(($H$9:$Z$9="CO3")*ISNUMBER($H$10:$Z$10)*ISNUMBER(H196:Z196)) = 0,
   "",
   IFERROR(
     (
       IF(
         SUMPRODUCT(($C$9:$G$9="CO3")*ISNUMBER($C$10:$G$10)*ISNUMBER(C196:G196)) = 0,
         0,
         SUMPRODUCT(($C$9:$G$9="CO3")*ISNUMBER($C$10:$G$10)*ISNUMBER(C196:G196)*C196:G196) /
         SUMPRODUCT(($C$9:$G$9="CO3")*ISNUMBER($C$10:$G$10)*ISNUMBER(C196:G196)*$C$10:$G$10) * 0.15
       ) +
       IF(
         SUMPRODUCT(($H$9:$Z$9="CO3")*ISNUMBER($H$10:$Z$10)*ISNUMBER(H196:Z196)) = 0,
         0,
         SUMPRODUCT(($H$9:$Z$9="CO3")*ISNUMBER($H$10:$Z$10)*ISNUMBER(H196:Z196)*H196:Z196) /
         SUMPRODUCT(($H$9:$Z$9="CO3")*ISNUMBER($H$10:$Z$10)*ISNUMBER(H196:Z196)*$H$10:$Z$10) * 0.85
       )
     ) * 100,
     ""
   )
)</f>
        <v/>
      </c>
      <c r="AD196" s="1" t="str" cm="1">
        <f t="array" ref="AD196">IF(
   SUMPRODUCT(($C$9:$G$9="CO4")*ISNUMBER($C$10:$G$10)*ISNUMBER(C196:G196)) +
   SUMPRODUCT(($H$9:$Z$9="CO4")*ISNUMBER($H$10:$Z$10)*ISNUMBER(H196:Z196)) = 0,
   "",
   IFERROR(
     (
       IF(
         SUMPRODUCT(($C$9:$G$9="CO4")*ISNUMBER($C$10:$G$10)*ISNUMBER(C196:G196)) = 0,
         0,
         SUMPRODUCT(($C$9:$G$9="CO4")*ISNUMBER($C$10:$G$10)*ISNUMBER(C196:G196)*C196:G196) /
         SUMPRODUCT(($C$9:$G$9="CO4")*ISNUMBER($C$10:$G$10)*ISNUMBER(C196:G196)*$C$10:$G$10) * 0.15
       ) +
       IF(
         SUMPRODUCT(($H$9:$Z$9="CO4")*ISNUMBER($H$10:$Z$10)*ISNUMBER(H196:Z196)) = 0,
         0,
         SUMPRODUCT(($H$9:$Z$9="CO4")*ISNUMBER($H$10:$Z$10)*ISNUMBER(H196:Z196)*H196:Z196) /
         SUMPRODUCT(($H$9:$Z$9="CO4")*ISNUMBER($H$10:$Z$10)*ISNUMBER(H196:Z196)*$H$10:$Z$10) * 0.85
       )
     ) * 100,
     ""
   )
)</f>
        <v/>
      </c>
      <c r="AE196" s="1" t="str" cm="1">
        <f t="array" ref="AE196">IF(
   SUMPRODUCT(($C$9:$G$9="CO5")*ISNUMBER($C$10:$G$10)*ISNUMBER(C196:G196)) +
   SUMPRODUCT(($H$9:$Z$9="CO5")*ISNUMBER($H$10:$Z$10)*ISNUMBER(H196:Z196)) = 0,
   "",
   IFERROR(
     (
       IF(
         SUMPRODUCT(($C$9:$G$9="CO5")*ISNUMBER($C$10:$G$10)*ISNUMBER(C196:G196)) = 0,
         0,
         SUMPRODUCT(($C$9:$G$9="CO5")*ISNUMBER($C$10:$G$10)*ISNUMBER(C196:G196)*C196:G196) /
         SUMPRODUCT(($C$9:$G$9="CO5")*ISNUMBER($C$10:$G$10)*ISNUMBER(C196:G196)*$C$10:$G$10) * 0.15
       ) +
       IF(
         SUMPRODUCT(($H$9:$Z$9="CO5")*ISNUMBER($H$10:$Z$10)*ISNUMBER(H196:Z196)) = 0,
         0,
         SUMPRODUCT(($H$9:$Z$9="CO5")*ISNUMBER($H$10:$Z$10)*ISNUMBER(H196:Z196)*H196:Z196) /
         SUMPRODUCT(($H$9:$Z$9="CO5")*ISNUMBER($H$10:$Z$10)*ISNUMBER(H196:Z196)*$H$10:$Z$10) * 0.85
       )
     ) * 100,
     ""
   )
)</f>
        <v/>
      </c>
      <c r="AF196" s="1" t="str" cm="1">
        <f t="array" ref="AF196">IF(
   SUMPRODUCT(($C$9:$G$9="CO6")*ISNUMBER($C$10:$G$10)*ISNUMBER(C196:G196)) +
   SUMPRODUCT(($H$9:$Z$9="CO6")*ISNUMBER($H$10:$Z$10)*ISNUMBER(H196:Z196)) = 0,
   "",
   IFERROR(
     (
       IF(
         SUMPRODUCT(($C$9:$G$9="CO6")*ISNUMBER($C$10:$G$10)*ISNUMBER(C196:G196)) = 0,
         0,
         SUMPRODUCT(($C$9:$G$9="CO6")*ISNUMBER($C$10:$G$10)*ISNUMBER(C196:G196)*C196:G196) /
         SUMPRODUCT(($C$9:$G$9="CO6")*ISNUMBER($C$10:$G$10)*ISNUMBER(C196:G196)*$C$10:$G$10) * 0.15
       ) +
       IF(
         SUMPRODUCT(($H$9:$Z$9="CO6")*ISNUMBER($H$10:$Z$10)*ISNUMBER(H196:Z196)) = 0,
         0,
         SUMPRODUCT(($H$9:$Z$9="CO6")*ISNUMBER($H$10:$Z$10)*ISNUMBER(H196:Z196)*H196:Z196) /
         SUMPRODUCT(($H$9:$Z$9="CO6")*ISNUMBER($H$10:$Z$10)*ISNUMBER(H196:Z196)*$H$10:$Z$10) * 0.85
       )
     ) * 100,
     ""
   )
)</f>
        <v/>
      </c>
      <c r="AG196" s="1" t="str" cm="1">
        <f t="array" ref="AG196">IF(
   SUMPRODUCT(($C$9:$G$9="CO7")*ISNUMBER($C$10:$G$10)*ISNUMBER(C196:G196)) +
   SUMPRODUCT(($H$9:$Z$9="CO7")*ISNUMBER($H$10:$Z$10)*ISNUMBER(H196:Z196)) = 0,
   "",
   IFERROR(
     (
       IF(
         SUMPRODUCT(($C$9:$G$9="CO7")*ISNUMBER($C$10:$G$10)*ISNUMBER(C196:G196)) = 0,
         0,
         SUMPRODUCT(($C$9:$G$9="CO7")*ISNUMBER($C$10:$G$10)*ISNUMBER(C196:G196)*C196:G196) /
         SUMPRODUCT(($C$9:$G$9="CO7")*ISNUMBER($C$10:$G$10)*ISNUMBER(C196:G196)*$C$10:$G$10) * 0.15
       ) +
       IF(
         SUMPRODUCT(($H$9:$Z$9="CO7")*ISNUMBER($H$10:$Z$10)*ISNUMBER(H196:Z196)) = 0,
         0,
         SUMPRODUCT(($H$9:$Z$9="CO7")*ISNUMBER($H$10:$Z$10)*ISNUMBER(H196:Z196)*H196:Z196) /
         SUMPRODUCT(($H$9:$Z$9="CO7")*ISNUMBER($H$10:$Z$10)*ISNUMBER(H196:Z196)*$H$10:$Z$10) * 0.85
       )
     ) * 100,
     ""
   )
)</f>
        <v/>
      </c>
      <c r="AH196" s="3" t="str" cm="1">
        <f t="array" ref="AH196">IF(
   SUMPRODUCT(($C$9:$G$9="CO8")*ISNUMBER($C$10:$G$10)*ISNUMBER(C196:G196)) +
   SUMPRODUCT(($H$9:$Z$9="CO8")*ISNUMBER($H$10:$Z$10)*ISNUMBER(H196:Z196)) = 0,
   "",
   IFERROR(
     (
       IF(
         SUMPRODUCT(($C$9:$G$9="CO8")*ISNUMBER($C$10:$G$10)*ISNUMBER(C196:G196)) = 0,
         0,
         SUMPRODUCT(($C$9:$G$9="CO8")*ISNUMBER($C$10:$G$10)*ISNUMBER(C196:G196)*C196:G196) /
         SUMPRODUCT(($C$9:$G$9="CO8")*ISNUMBER($C$10:$G$10)*ISNUMBER(C196:G196)*$C$10:$G$10) * 0.15
       ) +
       IF(
         SUMPRODUCT(($H$9:$Z$9="CO8")*ISNUMBER($H$10:$Z$10)*ISNUMBER(H196:Z196)) = 0,
         0,
         SUMPRODUCT(($H$9:$Z$9="CO8")*ISNUMBER($H$10:$Z$10)*ISNUMBER(H196:Z196)*H196:Z196) /
         SUMPRODUCT(($H$9:$Z$9="CO8")*ISNUMBER($H$10:$Z$10)*ISNUMBER(H196:Z196)*$H$10:$Z$10) * 0.85
       )
     ) * 100,
     ""
   )
)</f>
        <v/>
      </c>
      <c r="AI196" s="1" t="str">
        <f t="shared" si="20"/>
        <v/>
      </c>
      <c r="AJ196" s="1" t="str">
        <f t="shared" si="20"/>
        <v/>
      </c>
      <c r="AK196" s="1" t="str">
        <f t="shared" si="20"/>
        <v/>
      </c>
      <c r="AL196" s="1" t="str">
        <f t="shared" si="20"/>
        <v/>
      </c>
      <c r="AM196" s="1" t="str">
        <f t="shared" si="20"/>
        <v/>
      </c>
      <c r="AN196" s="1" t="str">
        <f t="shared" si="20"/>
        <v/>
      </c>
      <c r="AO196" s="1" t="str">
        <f t="shared" si="20"/>
        <v/>
      </c>
      <c r="AP196" s="1" t="str">
        <f t="shared" si="19"/>
        <v/>
      </c>
    </row>
    <row r="197" spans="1:42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" t="str" cm="1">
        <f t="array" ref="AA197">IF(
   SUMPRODUCT(($C$9:$G$9="CO1")*ISNUMBER($C$10:$G$10)*ISNUMBER(C197:G197)) +
   SUMPRODUCT(($H$9:$Z$9="CO1")*ISNUMBER($H$10:$Z$10)*ISNUMBER(H197:Z197)) = 0,
   "",
   IFERROR(
     (
       IF(
         SUMPRODUCT(($C$9:$G$9="CO1")*ISNUMBER($C$10:$G$10)*ISNUMBER(C197:G197)) = 0,
         0,
         SUMPRODUCT(($C$9:$G$9="CO1")*ISNUMBER($C$10:$G$10)*ISNUMBER(C197:G197)*C197:G197) /
         SUMPRODUCT(($C$9:$G$9="CO1")*ISNUMBER($C$10:$G$10)*ISNUMBER(C197:G197)*$C$10:$G$10) * 0.15
       ) +
       IF(
         SUMPRODUCT(($H$9:$Z$9="CO1")*ISNUMBER($H$10:$Z$10)*ISNUMBER(H197:Z197)) = 0,
         0,
         SUMPRODUCT(($H$9:$Z$9="CO1")*ISNUMBER($H$10:$Z$10)*ISNUMBER(H197:Z197)*H197:Z197) /
         SUMPRODUCT(($H$9:$Z$9="CO1")*ISNUMBER($H$10:$Z$10)*ISNUMBER(H197:Z197)*$H$10:$Z$10) * 0.85
       )
     ) * 100,
     ""
   )
)</f>
        <v/>
      </c>
      <c r="AB197" s="1" t="str" cm="1">
        <f t="array" ref="AB197">IF(
   SUMPRODUCT(($C$9:$G$9="CO2")*ISNUMBER($C$10:$G$10)*ISNUMBER(C197:G197)) +
   SUMPRODUCT(($H$9:$Z$9="CO2")*ISNUMBER($H$10:$Z$10)*ISNUMBER(H197:Z197)) = 0,
   "",
   IFERROR(
     (
       IF(
         SUMPRODUCT(($C$9:$G$9="CO2")*ISNUMBER($C$10:$G$10)*ISNUMBER(C197:G197)) = 0,
         0,
         SUMPRODUCT(($C$9:$G$9="CO2")*ISNUMBER($C$10:$G$10)*ISNUMBER(C197:G197)*C197:G197) /
         SUMPRODUCT(($C$9:$G$9="CO2")*ISNUMBER($C$10:$G$10)*ISNUMBER(C197:G197)*$C$10:$G$10) * 0.15
       ) +
       IF(
         SUMPRODUCT(($H$9:$Z$9="CO2")*ISNUMBER($H$10:$Z$10)*ISNUMBER(H197:Z197)) = 0,
         0,
         SUMPRODUCT(($H$9:$Z$9="CO2")*ISNUMBER($H$10:$Z$10)*ISNUMBER(H197:Z197)*H197:Z197) /
         SUMPRODUCT(($H$9:$Z$9="CO2")*ISNUMBER($H$10:$Z$10)*ISNUMBER(H197:Z197)*$H$10:$Z$10) * 0.85
       )
     ) * 100,
     ""
   )
)</f>
        <v/>
      </c>
      <c r="AC197" s="1" t="str" cm="1">
        <f t="array" ref="AC197">IF(
   SUMPRODUCT(($C$9:$G$9="CO3")*ISNUMBER($C$10:$G$10)*ISNUMBER(C197:G197)) +
   SUMPRODUCT(($H$9:$Z$9="CO3")*ISNUMBER($H$10:$Z$10)*ISNUMBER(H197:Z197)) = 0,
   "",
   IFERROR(
     (
       IF(
         SUMPRODUCT(($C$9:$G$9="CO3")*ISNUMBER($C$10:$G$10)*ISNUMBER(C197:G197)) = 0,
         0,
         SUMPRODUCT(($C$9:$G$9="CO3")*ISNUMBER($C$10:$G$10)*ISNUMBER(C197:G197)*C197:G197) /
         SUMPRODUCT(($C$9:$G$9="CO3")*ISNUMBER($C$10:$G$10)*ISNUMBER(C197:G197)*$C$10:$G$10) * 0.15
       ) +
       IF(
         SUMPRODUCT(($H$9:$Z$9="CO3")*ISNUMBER($H$10:$Z$10)*ISNUMBER(H197:Z197)) = 0,
         0,
         SUMPRODUCT(($H$9:$Z$9="CO3")*ISNUMBER($H$10:$Z$10)*ISNUMBER(H197:Z197)*H197:Z197) /
         SUMPRODUCT(($H$9:$Z$9="CO3")*ISNUMBER($H$10:$Z$10)*ISNUMBER(H197:Z197)*$H$10:$Z$10) * 0.85
       )
     ) * 100,
     ""
   )
)</f>
        <v/>
      </c>
      <c r="AD197" s="1" t="str" cm="1">
        <f t="array" ref="AD197">IF(
   SUMPRODUCT(($C$9:$G$9="CO4")*ISNUMBER($C$10:$G$10)*ISNUMBER(C197:G197)) +
   SUMPRODUCT(($H$9:$Z$9="CO4")*ISNUMBER($H$10:$Z$10)*ISNUMBER(H197:Z197)) = 0,
   "",
   IFERROR(
     (
       IF(
         SUMPRODUCT(($C$9:$G$9="CO4")*ISNUMBER($C$10:$G$10)*ISNUMBER(C197:G197)) = 0,
         0,
         SUMPRODUCT(($C$9:$G$9="CO4")*ISNUMBER($C$10:$G$10)*ISNUMBER(C197:G197)*C197:G197) /
         SUMPRODUCT(($C$9:$G$9="CO4")*ISNUMBER($C$10:$G$10)*ISNUMBER(C197:G197)*$C$10:$G$10) * 0.15
       ) +
       IF(
         SUMPRODUCT(($H$9:$Z$9="CO4")*ISNUMBER($H$10:$Z$10)*ISNUMBER(H197:Z197)) = 0,
         0,
         SUMPRODUCT(($H$9:$Z$9="CO4")*ISNUMBER($H$10:$Z$10)*ISNUMBER(H197:Z197)*H197:Z197) /
         SUMPRODUCT(($H$9:$Z$9="CO4")*ISNUMBER($H$10:$Z$10)*ISNUMBER(H197:Z197)*$H$10:$Z$10) * 0.85
       )
     ) * 100,
     ""
   )
)</f>
        <v/>
      </c>
      <c r="AE197" s="1" t="str" cm="1">
        <f t="array" ref="AE197">IF(
   SUMPRODUCT(($C$9:$G$9="CO5")*ISNUMBER($C$10:$G$10)*ISNUMBER(C197:G197)) +
   SUMPRODUCT(($H$9:$Z$9="CO5")*ISNUMBER($H$10:$Z$10)*ISNUMBER(H197:Z197)) = 0,
   "",
   IFERROR(
     (
       IF(
         SUMPRODUCT(($C$9:$G$9="CO5")*ISNUMBER($C$10:$G$10)*ISNUMBER(C197:G197)) = 0,
         0,
         SUMPRODUCT(($C$9:$G$9="CO5")*ISNUMBER($C$10:$G$10)*ISNUMBER(C197:G197)*C197:G197) /
         SUMPRODUCT(($C$9:$G$9="CO5")*ISNUMBER($C$10:$G$10)*ISNUMBER(C197:G197)*$C$10:$G$10) * 0.15
       ) +
       IF(
         SUMPRODUCT(($H$9:$Z$9="CO5")*ISNUMBER($H$10:$Z$10)*ISNUMBER(H197:Z197)) = 0,
         0,
         SUMPRODUCT(($H$9:$Z$9="CO5")*ISNUMBER($H$10:$Z$10)*ISNUMBER(H197:Z197)*H197:Z197) /
         SUMPRODUCT(($H$9:$Z$9="CO5")*ISNUMBER($H$10:$Z$10)*ISNUMBER(H197:Z197)*$H$10:$Z$10) * 0.85
       )
     ) * 100,
     ""
   )
)</f>
        <v/>
      </c>
      <c r="AF197" s="1" t="str" cm="1">
        <f t="array" ref="AF197">IF(
   SUMPRODUCT(($C$9:$G$9="CO6")*ISNUMBER($C$10:$G$10)*ISNUMBER(C197:G197)) +
   SUMPRODUCT(($H$9:$Z$9="CO6")*ISNUMBER($H$10:$Z$10)*ISNUMBER(H197:Z197)) = 0,
   "",
   IFERROR(
     (
       IF(
         SUMPRODUCT(($C$9:$G$9="CO6")*ISNUMBER($C$10:$G$10)*ISNUMBER(C197:G197)) = 0,
         0,
         SUMPRODUCT(($C$9:$G$9="CO6")*ISNUMBER($C$10:$G$10)*ISNUMBER(C197:G197)*C197:G197) /
         SUMPRODUCT(($C$9:$G$9="CO6")*ISNUMBER($C$10:$G$10)*ISNUMBER(C197:G197)*$C$10:$G$10) * 0.15
       ) +
       IF(
         SUMPRODUCT(($H$9:$Z$9="CO6")*ISNUMBER($H$10:$Z$10)*ISNUMBER(H197:Z197)) = 0,
         0,
         SUMPRODUCT(($H$9:$Z$9="CO6")*ISNUMBER($H$10:$Z$10)*ISNUMBER(H197:Z197)*H197:Z197) /
         SUMPRODUCT(($H$9:$Z$9="CO6")*ISNUMBER($H$10:$Z$10)*ISNUMBER(H197:Z197)*$H$10:$Z$10) * 0.85
       )
     ) * 100,
     ""
   )
)</f>
        <v/>
      </c>
      <c r="AG197" s="1" t="str" cm="1">
        <f t="array" ref="AG197">IF(
   SUMPRODUCT(($C$9:$G$9="CO7")*ISNUMBER($C$10:$G$10)*ISNUMBER(C197:G197)) +
   SUMPRODUCT(($H$9:$Z$9="CO7")*ISNUMBER($H$10:$Z$10)*ISNUMBER(H197:Z197)) = 0,
   "",
   IFERROR(
     (
       IF(
         SUMPRODUCT(($C$9:$G$9="CO7")*ISNUMBER($C$10:$G$10)*ISNUMBER(C197:G197)) = 0,
         0,
         SUMPRODUCT(($C$9:$G$9="CO7")*ISNUMBER($C$10:$G$10)*ISNUMBER(C197:G197)*C197:G197) /
         SUMPRODUCT(($C$9:$G$9="CO7")*ISNUMBER($C$10:$G$10)*ISNUMBER(C197:G197)*$C$10:$G$10) * 0.15
       ) +
       IF(
         SUMPRODUCT(($H$9:$Z$9="CO7")*ISNUMBER($H$10:$Z$10)*ISNUMBER(H197:Z197)) = 0,
         0,
         SUMPRODUCT(($H$9:$Z$9="CO7")*ISNUMBER($H$10:$Z$10)*ISNUMBER(H197:Z197)*H197:Z197) /
         SUMPRODUCT(($H$9:$Z$9="CO7")*ISNUMBER($H$10:$Z$10)*ISNUMBER(H197:Z197)*$H$10:$Z$10) * 0.85
       )
     ) * 100,
     ""
   )
)</f>
        <v/>
      </c>
      <c r="AH197" s="3" t="str" cm="1">
        <f t="array" ref="AH197">IF(
   SUMPRODUCT(($C$9:$G$9="CO8")*ISNUMBER($C$10:$G$10)*ISNUMBER(C197:G197)) +
   SUMPRODUCT(($H$9:$Z$9="CO8")*ISNUMBER($H$10:$Z$10)*ISNUMBER(H197:Z197)) = 0,
   "",
   IFERROR(
     (
       IF(
         SUMPRODUCT(($C$9:$G$9="CO8")*ISNUMBER($C$10:$G$10)*ISNUMBER(C197:G197)) = 0,
         0,
         SUMPRODUCT(($C$9:$G$9="CO8")*ISNUMBER($C$10:$G$10)*ISNUMBER(C197:G197)*C197:G197) /
         SUMPRODUCT(($C$9:$G$9="CO8")*ISNUMBER($C$10:$G$10)*ISNUMBER(C197:G197)*$C$10:$G$10) * 0.15
       ) +
       IF(
         SUMPRODUCT(($H$9:$Z$9="CO8")*ISNUMBER($H$10:$Z$10)*ISNUMBER(H197:Z197)) = 0,
         0,
         SUMPRODUCT(($H$9:$Z$9="CO8")*ISNUMBER($H$10:$Z$10)*ISNUMBER(H197:Z197)*H197:Z197) /
         SUMPRODUCT(($H$9:$Z$9="CO8")*ISNUMBER($H$10:$Z$10)*ISNUMBER(H197:Z197)*$H$10:$Z$10) * 0.85
       )
     ) * 100,
     ""
   )
)</f>
        <v/>
      </c>
      <c r="AI197" s="1" t="str">
        <f t="shared" si="20"/>
        <v/>
      </c>
      <c r="AJ197" s="1" t="str">
        <f t="shared" si="20"/>
        <v/>
      </c>
      <c r="AK197" s="1" t="str">
        <f t="shared" si="20"/>
        <v/>
      </c>
      <c r="AL197" s="1" t="str">
        <f t="shared" si="20"/>
        <v/>
      </c>
      <c r="AM197" s="1" t="str">
        <f t="shared" si="20"/>
        <v/>
      </c>
      <c r="AN197" s="1" t="str">
        <f t="shared" si="20"/>
        <v/>
      </c>
      <c r="AO197" s="1" t="str">
        <f t="shared" si="20"/>
        <v/>
      </c>
      <c r="AP197" s="1" t="str">
        <f t="shared" si="19"/>
        <v/>
      </c>
    </row>
    <row r="198" spans="1:42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" t="str" cm="1">
        <f t="array" ref="AA198">IF(
   SUMPRODUCT(($C$9:$G$9="CO1")*ISNUMBER($C$10:$G$10)*ISNUMBER(C198:G198)) +
   SUMPRODUCT(($H$9:$Z$9="CO1")*ISNUMBER($H$10:$Z$10)*ISNUMBER(H198:Z198)) = 0,
   "",
   IFERROR(
     (
       IF(
         SUMPRODUCT(($C$9:$G$9="CO1")*ISNUMBER($C$10:$G$10)*ISNUMBER(C198:G198)) = 0,
         0,
         SUMPRODUCT(($C$9:$G$9="CO1")*ISNUMBER($C$10:$G$10)*ISNUMBER(C198:G198)*C198:G198) /
         SUMPRODUCT(($C$9:$G$9="CO1")*ISNUMBER($C$10:$G$10)*ISNUMBER(C198:G198)*$C$10:$G$10) * 0.15
       ) +
       IF(
         SUMPRODUCT(($H$9:$Z$9="CO1")*ISNUMBER($H$10:$Z$10)*ISNUMBER(H198:Z198)) = 0,
         0,
         SUMPRODUCT(($H$9:$Z$9="CO1")*ISNUMBER($H$10:$Z$10)*ISNUMBER(H198:Z198)*H198:Z198) /
         SUMPRODUCT(($H$9:$Z$9="CO1")*ISNUMBER($H$10:$Z$10)*ISNUMBER(H198:Z198)*$H$10:$Z$10) * 0.85
       )
     ) * 100,
     ""
   )
)</f>
        <v/>
      </c>
      <c r="AB198" s="1" t="str" cm="1">
        <f t="array" ref="AB198">IF(
   SUMPRODUCT(($C$9:$G$9="CO2")*ISNUMBER($C$10:$G$10)*ISNUMBER(C198:G198)) +
   SUMPRODUCT(($H$9:$Z$9="CO2")*ISNUMBER($H$10:$Z$10)*ISNUMBER(H198:Z198)) = 0,
   "",
   IFERROR(
     (
       IF(
         SUMPRODUCT(($C$9:$G$9="CO2")*ISNUMBER($C$10:$G$10)*ISNUMBER(C198:G198)) = 0,
         0,
         SUMPRODUCT(($C$9:$G$9="CO2")*ISNUMBER($C$10:$G$10)*ISNUMBER(C198:G198)*C198:G198) /
         SUMPRODUCT(($C$9:$G$9="CO2")*ISNUMBER($C$10:$G$10)*ISNUMBER(C198:G198)*$C$10:$G$10) * 0.15
       ) +
       IF(
         SUMPRODUCT(($H$9:$Z$9="CO2")*ISNUMBER($H$10:$Z$10)*ISNUMBER(H198:Z198)) = 0,
         0,
         SUMPRODUCT(($H$9:$Z$9="CO2")*ISNUMBER($H$10:$Z$10)*ISNUMBER(H198:Z198)*H198:Z198) /
         SUMPRODUCT(($H$9:$Z$9="CO2")*ISNUMBER($H$10:$Z$10)*ISNUMBER(H198:Z198)*$H$10:$Z$10) * 0.85
       )
     ) * 100,
     ""
   )
)</f>
        <v/>
      </c>
      <c r="AC198" s="1" t="str" cm="1">
        <f t="array" ref="AC198">IF(
   SUMPRODUCT(($C$9:$G$9="CO3")*ISNUMBER($C$10:$G$10)*ISNUMBER(C198:G198)) +
   SUMPRODUCT(($H$9:$Z$9="CO3")*ISNUMBER($H$10:$Z$10)*ISNUMBER(H198:Z198)) = 0,
   "",
   IFERROR(
     (
       IF(
         SUMPRODUCT(($C$9:$G$9="CO3")*ISNUMBER($C$10:$G$10)*ISNUMBER(C198:G198)) = 0,
         0,
         SUMPRODUCT(($C$9:$G$9="CO3")*ISNUMBER($C$10:$G$10)*ISNUMBER(C198:G198)*C198:G198) /
         SUMPRODUCT(($C$9:$G$9="CO3")*ISNUMBER($C$10:$G$10)*ISNUMBER(C198:G198)*$C$10:$G$10) * 0.15
       ) +
       IF(
         SUMPRODUCT(($H$9:$Z$9="CO3")*ISNUMBER($H$10:$Z$10)*ISNUMBER(H198:Z198)) = 0,
         0,
         SUMPRODUCT(($H$9:$Z$9="CO3")*ISNUMBER($H$10:$Z$10)*ISNUMBER(H198:Z198)*H198:Z198) /
         SUMPRODUCT(($H$9:$Z$9="CO3")*ISNUMBER($H$10:$Z$10)*ISNUMBER(H198:Z198)*$H$10:$Z$10) * 0.85
       )
     ) * 100,
     ""
   )
)</f>
        <v/>
      </c>
      <c r="AD198" s="1" t="str" cm="1">
        <f t="array" ref="AD198">IF(
   SUMPRODUCT(($C$9:$G$9="CO4")*ISNUMBER($C$10:$G$10)*ISNUMBER(C198:G198)) +
   SUMPRODUCT(($H$9:$Z$9="CO4")*ISNUMBER($H$10:$Z$10)*ISNUMBER(H198:Z198)) = 0,
   "",
   IFERROR(
     (
       IF(
         SUMPRODUCT(($C$9:$G$9="CO4")*ISNUMBER($C$10:$G$10)*ISNUMBER(C198:G198)) = 0,
         0,
         SUMPRODUCT(($C$9:$G$9="CO4")*ISNUMBER($C$10:$G$10)*ISNUMBER(C198:G198)*C198:G198) /
         SUMPRODUCT(($C$9:$G$9="CO4")*ISNUMBER($C$10:$G$10)*ISNUMBER(C198:G198)*$C$10:$G$10) * 0.15
       ) +
       IF(
         SUMPRODUCT(($H$9:$Z$9="CO4")*ISNUMBER($H$10:$Z$10)*ISNUMBER(H198:Z198)) = 0,
         0,
         SUMPRODUCT(($H$9:$Z$9="CO4")*ISNUMBER($H$10:$Z$10)*ISNUMBER(H198:Z198)*H198:Z198) /
         SUMPRODUCT(($H$9:$Z$9="CO4")*ISNUMBER($H$10:$Z$10)*ISNUMBER(H198:Z198)*$H$10:$Z$10) * 0.85
       )
     ) * 100,
     ""
   )
)</f>
        <v/>
      </c>
      <c r="AE198" s="1" t="str" cm="1">
        <f t="array" ref="AE198">IF(
   SUMPRODUCT(($C$9:$G$9="CO5")*ISNUMBER($C$10:$G$10)*ISNUMBER(C198:G198)) +
   SUMPRODUCT(($H$9:$Z$9="CO5")*ISNUMBER($H$10:$Z$10)*ISNUMBER(H198:Z198)) = 0,
   "",
   IFERROR(
     (
       IF(
         SUMPRODUCT(($C$9:$G$9="CO5")*ISNUMBER($C$10:$G$10)*ISNUMBER(C198:G198)) = 0,
         0,
         SUMPRODUCT(($C$9:$G$9="CO5")*ISNUMBER($C$10:$G$10)*ISNUMBER(C198:G198)*C198:G198) /
         SUMPRODUCT(($C$9:$G$9="CO5")*ISNUMBER($C$10:$G$10)*ISNUMBER(C198:G198)*$C$10:$G$10) * 0.15
       ) +
       IF(
         SUMPRODUCT(($H$9:$Z$9="CO5")*ISNUMBER($H$10:$Z$10)*ISNUMBER(H198:Z198)) = 0,
         0,
         SUMPRODUCT(($H$9:$Z$9="CO5")*ISNUMBER($H$10:$Z$10)*ISNUMBER(H198:Z198)*H198:Z198) /
         SUMPRODUCT(($H$9:$Z$9="CO5")*ISNUMBER($H$10:$Z$10)*ISNUMBER(H198:Z198)*$H$10:$Z$10) * 0.85
       )
     ) * 100,
     ""
   )
)</f>
        <v/>
      </c>
      <c r="AF198" s="1" t="str" cm="1">
        <f t="array" ref="AF198">IF(
   SUMPRODUCT(($C$9:$G$9="CO6")*ISNUMBER($C$10:$G$10)*ISNUMBER(C198:G198)) +
   SUMPRODUCT(($H$9:$Z$9="CO6")*ISNUMBER($H$10:$Z$10)*ISNUMBER(H198:Z198)) = 0,
   "",
   IFERROR(
     (
       IF(
         SUMPRODUCT(($C$9:$G$9="CO6")*ISNUMBER($C$10:$G$10)*ISNUMBER(C198:G198)) = 0,
         0,
         SUMPRODUCT(($C$9:$G$9="CO6")*ISNUMBER($C$10:$G$10)*ISNUMBER(C198:G198)*C198:G198) /
         SUMPRODUCT(($C$9:$G$9="CO6")*ISNUMBER($C$10:$G$10)*ISNUMBER(C198:G198)*$C$10:$G$10) * 0.15
       ) +
       IF(
         SUMPRODUCT(($H$9:$Z$9="CO6")*ISNUMBER($H$10:$Z$10)*ISNUMBER(H198:Z198)) = 0,
         0,
         SUMPRODUCT(($H$9:$Z$9="CO6")*ISNUMBER($H$10:$Z$10)*ISNUMBER(H198:Z198)*H198:Z198) /
         SUMPRODUCT(($H$9:$Z$9="CO6")*ISNUMBER($H$10:$Z$10)*ISNUMBER(H198:Z198)*$H$10:$Z$10) * 0.85
       )
     ) * 100,
     ""
   )
)</f>
        <v/>
      </c>
      <c r="AG198" s="1" t="str" cm="1">
        <f t="array" ref="AG198">IF(
   SUMPRODUCT(($C$9:$G$9="CO7")*ISNUMBER($C$10:$G$10)*ISNUMBER(C198:G198)) +
   SUMPRODUCT(($H$9:$Z$9="CO7")*ISNUMBER($H$10:$Z$10)*ISNUMBER(H198:Z198)) = 0,
   "",
   IFERROR(
     (
       IF(
         SUMPRODUCT(($C$9:$G$9="CO7")*ISNUMBER($C$10:$G$10)*ISNUMBER(C198:G198)) = 0,
         0,
         SUMPRODUCT(($C$9:$G$9="CO7")*ISNUMBER($C$10:$G$10)*ISNUMBER(C198:G198)*C198:G198) /
         SUMPRODUCT(($C$9:$G$9="CO7")*ISNUMBER($C$10:$G$10)*ISNUMBER(C198:G198)*$C$10:$G$10) * 0.15
       ) +
       IF(
         SUMPRODUCT(($H$9:$Z$9="CO7")*ISNUMBER($H$10:$Z$10)*ISNUMBER(H198:Z198)) = 0,
         0,
         SUMPRODUCT(($H$9:$Z$9="CO7")*ISNUMBER($H$10:$Z$10)*ISNUMBER(H198:Z198)*H198:Z198) /
         SUMPRODUCT(($H$9:$Z$9="CO7")*ISNUMBER($H$10:$Z$10)*ISNUMBER(H198:Z198)*$H$10:$Z$10) * 0.85
       )
     ) * 100,
     ""
   )
)</f>
        <v/>
      </c>
      <c r="AH198" s="3" t="str" cm="1">
        <f t="array" ref="AH198">IF(
   SUMPRODUCT(($C$9:$G$9="CO8")*ISNUMBER($C$10:$G$10)*ISNUMBER(C198:G198)) +
   SUMPRODUCT(($H$9:$Z$9="CO8")*ISNUMBER($H$10:$Z$10)*ISNUMBER(H198:Z198)) = 0,
   "",
   IFERROR(
     (
       IF(
         SUMPRODUCT(($C$9:$G$9="CO8")*ISNUMBER($C$10:$G$10)*ISNUMBER(C198:G198)) = 0,
         0,
         SUMPRODUCT(($C$9:$G$9="CO8")*ISNUMBER($C$10:$G$10)*ISNUMBER(C198:G198)*C198:G198) /
         SUMPRODUCT(($C$9:$G$9="CO8")*ISNUMBER($C$10:$G$10)*ISNUMBER(C198:G198)*$C$10:$G$10) * 0.15
       ) +
       IF(
         SUMPRODUCT(($H$9:$Z$9="CO8")*ISNUMBER($H$10:$Z$10)*ISNUMBER(H198:Z198)) = 0,
         0,
         SUMPRODUCT(($H$9:$Z$9="CO8")*ISNUMBER($H$10:$Z$10)*ISNUMBER(H198:Z198)*H198:Z198) /
         SUMPRODUCT(($H$9:$Z$9="CO8")*ISNUMBER($H$10:$Z$10)*ISNUMBER(H198:Z198)*$H$10:$Z$10) * 0.85
       )
     ) * 100,
     ""
   )
)</f>
        <v/>
      </c>
      <c r="AI198" s="1" t="str">
        <f t="shared" si="20"/>
        <v/>
      </c>
      <c r="AJ198" s="1" t="str">
        <f t="shared" si="20"/>
        <v/>
      </c>
      <c r="AK198" s="1" t="str">
        <f t="shared" si="20"/>
        <v/>
      </c>
      <c r="AL198" s="1" t="str">
        <f t="shared" si="20"/>
        <v/>
      </c>
      <c r="AM198" s="1" t="str">
        <f t="shared" si="20"/>
        <v/>
      </c>
      <c r="AN198" s="1" t="str">
        <f t="shared" si="20"/>
        <v/>
      </c>
      <c r="AO198" s="1" t="str">
        <f t="shared" si="20"/>
        <v/>
      </c>
      <c r="AP198" s="1" t="str">
        <f t="shared" si="19"/>
        <v/>
      </c>
    </row>
    <row r="199" spans="1:42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" t="str" cm="1">
        <f t="array" ref="AA199">IF(
   SUMPRODUCT(($C$9:$G$9="CO1")*ISNUMBER($C$10:$G$10)*ISNUMBER(C199:G199)) +
   SUMPRODUCT(($H$9:$Z$9="CO1")*ISNUMBER($H$10:$Z$10)*ISNUMBER(H199:Z199)) = 0,
   "",
   IFERROR(
     (
       IF(
         SUMPRODUCT(($C$9:$G$9="CO1")*ISNUMBER($C$10:$G$10)*ISNUMBER(C199:G199)) = 0,
         0,
         SUMPRODUCT(($C$9:$G$9="CO1")*ISNUMBER($C$10:$G$10)*ISNUMBER(C199:G199)*C199:G199) /
         SUMPRODUCT(($C$9:$G$9="CO1")*ISNUMBER($C$10:$G$10)*ISNUMBER(C199:G199)*$C$10:$G$10) * 0.15
       ) +
       IF(
         SUMPRODUCT(($H$9:$Z$9="CO1")*ISNUMBER($H$10:$Z$10)*ISNUMBER(H199:Z199)) = 0,
         0,
         SUMPRODUCT(($H$9:$Z$9="CO1")*ISNUMBER($H$10:$Z$10)*ISNUMBER(H199:Z199)*H199:Z199) /
         SUMPRODUCT(($H$9:$Z$9="CO1")*ISNUMBER($H$10:$Z$10)*ISNUMBER(H199:Z199)*$H$10:$Z$10) * 0.85
       )
     ) * 100,
     ""
   )
)</f>
        <v/>
      </c>
      <c r="AB199" s="1" t="str" cm="1">
        <f t="array" ref="AB199">IF(
   SUMPRODUCT(($C$9:$G$9="CO2")*ISNUMBER($C$10:$G$10)*ISNUMBER(C199:G199)) +
   SUMPRODUCT(($H$9:$Z$9="CO2")*ISNUMBER($H$10:$Z$10)*ISNUMBER(H199:Z199)) = 0,
   "",
   IFERROR(
     (
       IF(
         SUMPRODUCT(($C$9:$G$9="CO2")*ISNUMBER($C$10:$G$10)*ISNUMBER(C199:G199)) = 0,
         0,
         SUMPRODUCT(($C$9:$G$9="CO2")*ISNUMBER($C$10:$G$10)*ISNUMBER(C199:G199)*C199:G199) /
         SUMPRODUCT(($C$9:$G$9="CO2")*ISNUMBER($C$10:$G$10)*ISNUMBER(C199:G199)*$C$10:$G$10) * 0.15
       ) +
       IF(
         SUMPRODUCT(($H$9:$Z$9="CO2")*ISNUMBER($H$10:$Z$10)*ISNUMBER(H199:Z199)) = 0,
         0,
         SUMPRODUCT(($H$9:$Z$9="CO2")*ISNUMBER($H$10:$Z$10)*ISNUMBER(H199:Z199)*H199:Z199) /
         SUMPRODUCT(($H$9:$Z$9="CO2")*ISNUMBER($H$10:$Z$10)*ISNUMBER(H199:Z199)*$H$10:$Z$10) * 0.85
       )
     ) * 100,
     ""
   )
)</f>
        <v/>
      </c>
      <c r="AC199" s="1" t="str" cm="1">
        <f t="array" ref="AC199">IF(
   SUMPRODUCT(($C$9:$G$9="CO3")*ISNUMBER($C$10:$G$10)*ISNUMBER(C199:G199)) +
   SUMPRODUCT(($H$9:$Z$9="CO3")*ISNUMBER($H$10:$Z$10)*ISNUMBER(H199:Z199)) = 0,
   "",
   IFERROR(
     (
       IF(
         SUMPRODUCT(($C$9:$G$9="CO3")*ISNUMBER($C$10:$G$10)*ISNUMBER(C199:G199)) = 0,
         0,
         SUMPRODUCT(($C$9:$G$9="CO3")*ISNUMBER($C$10:$G$10)*ISNUMBER(C199:G199)*C199:G199) /
         SUMPRODUCT(($C$9:$G$9="CO3")*ISNUMBER($C$10:$G$10)*ISNUMBER(C199:G199)*$C$10:$G$10) * 0.15
       ) +
       IF(
         SUMPRODUCT(($H$9:$Z$9="CO3")*ISNUMBER($H$10:$Z$10)*ISNUMBER(H199:Z199)) = 0,
         0,
         SUMPRODUCT(($H$9:$Z$9="CO3")*ISNUMBER($H$10:$Z$10)*ISNUMBER(H199:Z199)*H199:Z199) /
         SUMPRODUCT(($H$9:$Z$9="CO3")*ISNUMBER($H$10:$Z$10)*ISNUMBER(H199:Z199)*$H$10:$Z$10) * 0.85
       )
     ) * 100,
     ""
   )
)</f>
        <v/>
      </c>
      <c r="AD199" s="1" t="str" cm="1">
        <f t="array" ref="AD199">IF(
   SUMPRODUCT(($C$9:$G$9="CO4")*ISNUMBER($C$10:$G$10)*ISNUMBER(C199:G199)) +
   SUMPRODUCT(($H$9:$Z$9="CO4")*ISNUMBER($H$10:$Z$10)*ISNUMBER(H199:Z199)) = 0,
   "",
   IFERROR(
     (
       IF(
         SUMPRODUCT(($C$9:$G$9="CO4")*ISNUMBER($C$10:$G$10)*ISNUMBER(C199:G199)) = 0,
         0,
         SUMPRODUCT(($C$9:$G$9="CO4")*ISNUMBER($C$10:$G$10)*ISNUMBER(C199:G199)*C199:G199) /
         SUMPRODUCT(($C$9:$G$9="CO4")*ISNUMBER($C$10:$G$10)*ISNUMBER(C199:G199)*$C$10:$G$10) * 0.15
       ) +
       IF(
         SUMPRODUCT(($H$9:$Z$9="CO4")*ISNUMBER($H$10:$Z$10)*ISNUMBER(H199:Z199)) = 0,
         0,
         SUMPRODUCT(($H$9:$Z$9="CO4")*ISNUMBER($H$10:$Z$10)*ISNUMBER(H199:Z199)*H199:Z199) /
         SUMPRODUCT(($H$9:$Z$9="CO4")*ISNUMBER($H$10:$Z$10)*ISNUMBER(H199:Z199)*$H$10:$Z$10) * 0.85
       )
     ) * 100,
     ""
   )
)</f>
        <v/>
      </c>
      <c r="AE199" s="1" t="str" cm="1">
        <f t="array" ref="AE199">IF(
   SUMPRODUCT(($C$9:$G$9="CO5")*ISNUMBER($C$10:$G$10)*ISNUMBER(C199:G199)) +
   SUMPRODUCT(($H$9:$Z$9="CO5")*ISNUMBER($H$10:$Z$10)*ISNUMBER(H199:Z199)) = 0,
   "",
   IFERROR(
     (
       IF(
         SUMPRODUCT(($C$9:$G$9="CO5")*ISNUMBER($C$10:$G$10)*ISNUMBER(C199:G199)) = 0,
         0,
         SUMPRODUCT(($C$9:$G$9="CO5")*ISNUMBER($C$10:$G$10)*ISNUMBER(C199:G199)*C199:G199) /
         SUMPRODUCT(($C$9:$G$9="CO5")*ISNUMBER($C$10:$G$10)*ISNUMBER(C199:G199)*$C$10:$G$10) * 0.15
       ) +
       IF(
         SUMPRODUCT(($H$9:$Z$9="CO5")*ISNUMBER($H$10:$Z$10)*ISNUMBER(H199:Z199)) = 0,
         0,
         SUMPRODUCT(($H$9:$Z$9="CO5")*ISNUMBER($H$10:$Z$10)*ISNUMBER(H199:Z199)*H199:Z199) /
         SUMPRODUCT(($H$9:$Z$9="CO5")*ISNUMBER($H$10:$Z$10)*ISNUMBER(H199:Z199)*$H$10:$Z$10) * 0.85
       )
     ) * 100,
     ""
   )
)</f>
        <v/>
      </c>
      <c r="AF199" s="1" t="str" cm="1">
        <f t="array" ref="AF199">IF(
   SUMPRODUCT(($C$9:$G$9="CO6")*ISNUMBER($C$10:$G$10)*ISNUMBER(C199:G199)) +
   SUMPRODUCT(($H$9:$Z$9="CO6")*ISNUMBER($H$10:$Z$10)*ISNUMBER(H199:Z199)) = 0,
   "",
   IFERROR(
     (
       IF(
         SUMPRODUCT(($C$9:$G$9="CO6")*ISNUMBER($C$10:$G$10)*ISNUMBER(C199:G199)) = 0,
         0,
         SUMPRODUCT(($C$9:$G$9="CO6")*ISNUMBER($C$10:$G$10)*ISNUMBER(C199:G199)*C199:G199) /
         SUMPRODUCT(($C$9:$G$9="CO6")*ISNUMBER($C$10:$G$10)*ISNUMBER(C199:G199)*$C$10:$G$10) * 0.15
       ) +
       IF(
         SUMPRODUCT(($H$9:$Z$9="CO6")*ISNUMBER($H$10:$Z$10)*ISNUMBER(H199:Z199)) = 0,
         0,
         SUMPRODUCT(($H$9:$Z$9="CO6")*ISNUMBER($H$10:$Z$10)*ISNUMBER(H199:Z199)*H199:Z199) /
         SUMPRODUCT(($H$9:$Z$9="CO6")*ISNUMBER($H$10:$Z$10)*ISNUMBER(H199:Z199)*$H$10:$Z$10) * 0.85
       )
     ) * 100,
     ""
   )
)</f>
        <v/>
      </c>
      <c r="AG199" s="1" t="str" cm="1">
        <f t="array" ref="AG199">IF(
   SUMPRODUCT(($C$9:$G$9="CO7")*ISNUMBER($C$10:$G$10)*ISNUMBER(C199:G199)) +
   SUMPRODUCT(($H$9:$Z$9="CO7")*ISNUMBER($H$10:$Z$10)*ISNUMBER(H199:Z199)) = 0,
   "",
   IFERROR(
     (
       IF(
         SUMPRODUCT(($C$9:$G$9="CO7")*ISNUMBER($C$10:$G$10)*ISNUMBER(C199:G199)) = 0,
         0,
         SUMPRODUCT(($C$9:$G$9="CO7")*ISNUMBER($C$10:$G$10)*ISNUMBER(C199:G199)*C199:G199) /
         SUMPRODUCT(($C$9:$G$9="CO7")*ISNUMBER($C$10:$G$10)*ISNUMBER(C199:G199)*$C$10:$G$10) * 0.15
       ) +
       IF(
         SUMPRODUCT(($H$9:$Z$9="CO7")*ISNUMBER($H$10:$Z$10)*ISNUMBER(H199:Z199)) = 0,
         0,
         SUMPRODUCT(($H$9:$Z$9="CO7")*ISNUMBER($H$10:$Z$10)*ISNUMBER(H199:Z199)*H199:Z199) /
         SUMPRODUCT(($H$9:$Z$9="CO7")*ISNUMBER($H$10:$Z$10)*ISNUMBER(H199:Z199)*$H$10:$Z$10) * 0.85
       )
     ) * 100,
     ""
   )
)</f>
        <v/>
      </c>
      <c r="AH199" s="3" t="str" cm="1">
        <f t="array" ref="AH199">IF(
   SUMPRODUCT(($C$9:$G$9="CO8")*ISNUMBER($C$10:$G$10)*ISNUMBER(C199:G199)) +
   SUMPRODUCT(($H$9:$Z$9="CO8")*ISNUMBER($H$10:$Z$10)*ISNUMBER(H199:Z199)) = 0,
   "",
   IFERROR(
     (
       IF(
         SUMPRODUCT(($C$9:$G$9="CO8")*ISNUMBER($C$10:$G$10)*ISNUMBER(C199:G199)) = 0,
         0,
         SUMPRODUCT(($C$9:$G$9="CO8")*ISNUMBER($C$10:$G$10)*ISNUMBER(C199:G199)*C199:G199) /
         SUMPRODUCT(($C$9:$G$9="CO8")*ISNUMBER($C$10:$G$10)*ISNUMBER(C199:G199)*$C$10:$G$10) * 0.15
       ) +
       IF(
         SUMPRODUCT(($H$9:$Z$9="CO8")*ISNUMBER($H$10:$Z$10)*ISNUMBER(H199:Z199)) = 0,
         0,
         SUMPRODUCT(($H$9:$Z$9="CO8")*ISNUMBER($H$10:$Z$10)*ISNUMBER(H199:Z199)*H199:Z199) /
         SUMPRODUCT(($H$9:$Z$9="CO8")*ISNUMBER($H$10:$Z$10)*ISNUMBER(H199:Z199)*$H$10:$Z$10) * 0.85
       )
     ) * 100,
     ""
   )
)</f>
        <v/>
      </c>
      <c r="AI199" s="1" t="str">
        <f t="shared" si="20"/>
        <v/>
      </c>
      <c r="AJ199" s="1" t="str">
        <f t="shared" si="20"/>
        <v/>
      </c>
      <c r="AK199" s="1" t="str">
        <f t="shared" si="20"/>
        <v/>
      </c>
      <c r="AL199" s="1" t="str">
        <f t="shared" si="20"/>
        <v/>
      </c>
      <c r="AM199" s="1" t="str">
        <f t="shared" si="20"/>
        <v/>
      </c>
      <c r="AN199" s="1" t="str">
        <f t="shared" si="20"/>
        <v/>
      </c>
      <c r="AO199" s="1" t="str">
        <f t="shared" si="20"/>
        <v/>
      </c>
      <c r="AP199" s="1" t="str">
        <f t="shared" si="19"/>
        <v/>
      </c>
    </row>
    <row r="200" spans="1:42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" t="str" cm="1">
        <f t="array" ref="AA200">IF(
   SUMPRODUCT(($C$9:$G$9="CO1")*ISNUMBER($C$10:$G$10)*ISNUMBER(C200:G200)) +
   SUMPRODUCT(($H$9:$Z$9="CO1")*ISNUMBER($H$10:$Z$10)*ISNUMBER(H200:Z200)) = 0,
   "",
   IFERROR(
     (
       IF(
         SUMPRODUCT(($C$9:$G$9="CO1")*ISNUMBER($C$10:$G$10)*ISNUMBER(C200:G200)) = 0,
         0,
         SUMPRODUCT(($C$9:$G$9="CO1")*ISNUMBER($C$10:$G$10)*ISNUMBER(C200:G200)*C200:G200) /
         SUMPRODUCT(($C$9:$G$9="CO1")*ISNUMBER($C$10:$G$10)*ISNUMBER(C200:G200)*$C$10:$G$10) * 0.15
       ) +
       IF(
         SUMPRODUCT(($H$9:$Z$9="CO1")*ISNUMBER($H$10:$Z$10)*ISNUMBER(H200:Z200)) = 0,
         0,
         SUMPRODUCT(($H$9:$Z$9="CO1")*ISNUMBER($H$10:$Z$10)*ISNUMBER(H200:Z200)*H200:Z200) /
         SUMPRODUCT(($H$9:$Z$9="CO1")*ISNUMBER($H$10:$Z$10)*ISNUMBER(H200:Z200)*$H$10:$Z$10) * 0.85
       )
     ) * 100,
     ""
   )
)</f>
        <v/>
      </c>
      <c r="AB200" s="1" t="str" cm="1">
        <f t="array" ref="AB200">IF(
   SUMPRODUCT(($C$9:$G$9="CO2")*ISNUMBER($C$10:$G$10)*ISNUMBER(C200:G200)) +
   SUMPRODUCT(($H$9:$Z$9="CO2")*ISNUMBER($H$10:$Z$10)*ISNUMBER(H200:Z200)) = 0,
   "",
   IFERROR(
     (
       IF(
         SUMPRODUCT(($C$9:$G$9="CO2")*ISNUMBER($C$10:$G$10)*ISNUMBER(C200:G200)) = 0,
         0,
         SUMPRODUCT(($C$9:$G$9="CO2")*ISNUMBER($C$10:$G$10)*ISNUMBER(C200:G200)*C200:G200) /
         SUMPRODUCT(($C$9:$G$9="CO2")*ISNUMBER($C$10:$G$10)*ISNUMBER(C200:G200)*$C$10:$G$10) * 0.15
       ) +
       IF(
         SUMPRODUCT(($H$9:$Z$9="CO2")*ISNUMBER($H$10:$Z$10)*ISNUMBER(H200:Z200)) = 0,
         0,
         SUMPRODUCT(($H$9:$Z$9="CO2")*ISNUMBER($H$10:$Z$10)*ISNUMBER(H200:Z200)*H200:Z200) /
         SUMPRODUCT(($H$9:$Z$9="CO2")*ISNUMBER($H$10:$Z$10)*ISNUMBER(H200:Z200)*$H$10:$Z$10) * 0.85
       )
     ) * 100,
     ""
   )
)</f>
        <v/>
      </c>
      <c r="AC200" s="1" t="str" cm="1">
        <f t="array" ref="AC200">IF(
   SUMPRODUCT(($C$9:$G$9="CO3")*ISNUMBER($C$10:$G$10)*ISNUMBER(C200:G200)) +
   SUMPRODUCT(($H$9:$Z$9="CO3")*ISNUMBER($H$10:$Z$10)*ISNUMBER(H200:Z200)) = 0,
   "",
   IFERROR(
     (
       IF(
         SUMPRODUCT(($C$9:$G$9="CO3")*ISNUMBER($C$10:$G$10)*ISNUMBER(C200:G200)) = 0,
         0,
         SUMPRODUCT(($C$9:$G$9="CO3")*ISNUMBER($C$10:$G$10)*ISNUMBER(C200:G200)*C200:G200) /
         SUMPRODUCT(($C$9:$G$9="CO3")*ISNUMBER($C$10:$G$10)*ISNUMBER(C200:G200)*$C$10:$G$10) * 0.15
       ) +
       IF(
         SUMPRODUCT(($H$9:$Z$9="CO3")*ISNUMBER($H$10:$Z$10)*ISNUMBER(H200:Z200)) = 0,
         0,
         SUMPRODUCT(($H$9:$Z$9="CO3")*ISNUMBER($H$10:$Z$10)*ISNUMBER(H200:Z200)*H200:Z200) /
         SUMPRODUCT(($H$9:$Z$9="CO3")*ISNUMBER($H$10:$Z$10)*ISNUMBER(H200:Z200)*$H$10:$Z$10) * 0.85
       )
     ) * 100,
     ""
   )
)</f>
        <v/>
      </c>
      <c r="AD200" s="1" t="str" cm="1">
        <f t="array" ref="AD200">IF(
   SUMPRODUCT(($C$9:$G$9="CO4")*ISNUMBER($C$10:$G$10)*ISNUMBER(C200:G200)) +
   SUMPRODUCT(($H$9:$Z$9="CO4")*ISNUMBER($H$10:$Z$10)*ISNUMBER(H200:Z200)) = 0,
   "",
   IFERROR(
     (
       IF(
         SUMPRODUCT(($C$9:$G$9="CO4")*ISNUMBER($C$10:$G$10)*ISNUMBER(C200:G200)) = 0,
         0,
         SUMPRODUCT(($C$9:$G$9="CO4")*ISNUMBER($C$10:$G$10)*ISNUMBER(C200:G200)*C200:G200) /
         SUMPRODUCT(($C$9:$G$9="CO4")*ISNUMBER($C$10:$G$10)*ISNUMBER(C200:G200)*$C$10:$G$10) * 0.15
       ) +
       IF(
         SUMPRODUCT(($H$9:$Z$9="CO4")*ISNUMBER($H$10:$Z$10)*ISNUMBER(H200:Z200)) = 0,
         0,
         SUMPRODUCT(($H$9:$Z$9="CO4")*ISNUMBER($H$10:$Z$10)*ISNUMBER(H200:Z200)*H200:Z200) /
         SUMPRODUCT(($H$9:$Z$9="CO4")*ISNUMBER($H$10:$Z$10)*ISNUMBER(H200:Z200)*$H$10:$Z$10) * 0.85
       )
     ) * 100,
     ""
   )
)</f>
        <v/>
      </c>
      <c r="AE200" s="1" t="str" cm="1">
        <f t="array" ref="AE200">IF(
   SUMPRODUCT(($C$9:$G$9="CO5")*ISNUMBER($C$10:$G$10)*ISNUMBER(C200:G200)) +
   SUMPRODUCT(($H$9:$Z$9="CO5")*ISNUMBER($H$10:$Z$10)*ISNUMBER(H200:Z200)) = 0,
   "",
   IFERROR(
     (
       IF(
         SUMPRODUCT(($C$9:$G$9="CO5")*ISNUMBER($C$10:$G$10)*ISNUMBER(C200:G200)) = 0,
         0,
         SUMPRODUCT(($C$9:$G$9="CO5")*ISNUMBER($C$10:$G$10)*ISNUMBER(C200:G200)*C200:G200) /
         SUMPRODUCT(($C$9:$G$9="CO5")*ISNUMBER($C$10:$G$10)*ISNUMBER(C200:G200)*$C$10:$G$10) * 0.15
       ) +
       IF(
         SUMPRODUCT(($H$9:$Z$9="CO5")*ISNUMBER($H$10:$Z$10)*ISNUMBER(H200:Z200)) = 0,
         0,
         SUMPRODUCT(($H$9:$Z$9="CO5")*ISNUMBER($H$10:$Z$10)*ISNUMBER(H200:Z200)*H200:Z200) /
         SUMPRODUCT(($H$9:$Z$9="CO5")*ISNUMBER($H$10:$Z$10)*ISNUMBER(H200:Z200)*$H$10:$Z$10) * 0.85
       )
     ) * 100,
     ""
   )
)</f>
        <v/>
      </c>
      <c r="AF200" s="1" t="str" cm="1">
        <f t="array" ref="AF200">IF(
   SUMPRODUCT(($C$9:$G$9="CO6")*ISNUMBER($C$10:$G$10)*ISNUMBER(C200:G200)) +
   SUMPRODUCT(($H$9:$Z$9="CO6")*ISNUMBER($H$10:$Z$10)*ISNUMBER(H200:Z200)) = 0,
   "",
   IFERROR(
     (
       IF(
         SUMPRODUCT(($C$9:$G$9="CO6")*ISNUMBER($C$10:$G$10)*ISNUMBER(C200:G200)) = 0,
         0,
         SUMPRODUCT(($C$9:$G$9="CO6")*ISNUMBER($C$10:$G$10)*ISNUMBER(C200:G200)*C200:G200) /
         SUMPRODUCT(($C$9:$G$9="CO6")*ISNUMBER($C$10:$G$10)*ISNUMBER(C200:G200)*$C$10:$G$10) * 0.15
       ) +
       IF(
         SUMPRODUCT(($H$9:$Z$9="CO6")*ISNUMBER($H$10:$Z$10)*ISNUMBER(H200:Z200)) = 0,
         0,
         SUMPRODUCT(($H$9:$Z$9="CO6")*ISNUMBER($H$10:$Z$10)*ISNUMBER(H200:Z200)*H200:Z200) /
         SUMPRODUCT(($H$9:$Z$9="CO6")*ISNUMBER($H$10:$Z$10)*ISNUMBER(H200:Z200)*$H$10:$Z$10) * 0.85
       )
     ) * 100,
     ""
   )
)</f>
        <v/>
      </c>
      <c r="AG200" s="1" t="str" cm="1">
        <f t="array" ref="AG200">IF(
   SUMPRODUCT(($C$9:$G$9="CO7")*ISNUMBER($C$10:$G$10)*ISNUMBER(C200:G200)) +
   SUMPRODUCT(($H$9:$Z$9="CO7")*ISNUMBER($H$10:$Z$10)*ISNUMBER(H200:Z200)) = 0,
   "",
   IFERROR(
     (
       IF(
         SUMPRODUCT(($C$9:$G$9="CO7")*ISNUMBER($C$10:$G$10)*ISNUMBER(C200:G200)) = 0,
         0,
         SUMPRODUCT(($C$9:$G$9="CO7")*ISNUMBER($C$10:$G$10)*ISNUMBER(C200:G200)*C200:G200) /
         SUMPRODUCT(($C$9:$G$9="CO7")*ISNUMBER($C$10:$G$10)*ISNUMBER(C200:G200)*$C$10:$G$10) * 0.15
       ) +
       IF(
         SUMPRODUCT(($H$9:$Z$9="CO7")*ISNUMBER($H$10:$Z$10)*ISNUMBER(H200:Z200)) = 0,
         0,
         SUMPRODUCT(($H$9:$Z$9="CO7")*ISNUMBER($H$10:$Z$10)*ISNUMBER(H200:Z200)*H200:Z200) /
         SUMPRODUCT(($H$9:$Z$9="CO7")*ISNUMBER($H$10:$Z$10)*ISNUMBER(H200:Z200)*$H$10:$Z$10) * 0.85
       )
     ) * 100,
     ""
   )
)</f>
        <v/>
      </c>
      <c r="AH200" s="3" t="str" cm="1">
        <f t="array" ref="AH200">IF(
   SUMPRODUCT(($C$9:$G$9="CO8")*ISNUMBER($C$10:$G$10)*ISNUMBER(C200:G200)) +
   SUMPRODUCT(($H$9:$Z$9="CO8")*ISNUMBER($H$10:$Z$10)*ISNUMBER(H200:Z200)) = 0,
   "",
   IFERROR(
     (
       IF(
         SUMPRODUCT(($C$9:$G$9="CO8")*ISNUMBER($C$10:$G$10)*ISNUMBER(C200:G200)) = 0,
         0,
         SUMPRODUCT(($C$9:$G$9="CO8")*ISNUMBER($C$10:$G$10)*ISNUMBER(C200:G200)*C200:G200) /
         SUMPRODUCT(($C$9:$G$9="CO8")*ISNUMBER($C$10:$G$10)*ISNUMBER(C200:G200)*$C$10:$G$10) * 0.15
       ) +
       IF(
         SUMPRODUCT(($H$9:$Z$9="CO8")*ISNUMBER($H$10:$Z$10)*ISNUMBER(H200:Z200)) = 0,
         0,
         SUMPRODUCT(($H$9:$Z$9="CO8")*ISNUMBER($H$10:$Z$10)*ISNUMBER(H200:Z200)*H200:Z200) /
         SUMPRODUCT(($H$9:$Z$9="CO8")*ISNUMBER($H$10:$Z$10)*ISNUMBER(H200:Z200)*$H$10:$Z$10) * 0.85
       )
     ) * 100,
     ""
   )
)</f>
        <v/>
      </c>
      <c r="AI200" s="1" t="str">
        <f t="shared" si="20"/>
        <v/>
      </c>
      <c r="AJ200" s="1" t="str">
        <f t="shared" si="20"/>
        <v/>
      </c>
      <c r="AK200" s="1" t="str">
        <f t="shared" si="20"/>
        <v/>
      </c>
      <c r="AL200" s="1" t="str">
        <f t="shared" si="20"/>
        <v/>
      </c>
      <c r="AM200" s="1" t="str">
        <f t="shared" si="20"/>
        <v/>
      </c>
      <c r="AN200" s="1" t="str">
        <f t="shared" si="20"/>
        <v/>
      </c>
      <c r="AO200" s="1" t="str">
        <f t="shared" si="20"/>
        <v/>
      </c>
      <c r="AP200" s="1" t="str">
        <f t="shared" si="20"/>
        <v/>
      </c>
    </row>
    <row r="201" spans="1:42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" t="str" cm="1">
        <f t="array" ref="AA201">IF(
   SUMPRODUCT(($C$9:$G$9="CO1")*ISNUMBER($C$10:$G$10)*ISNUMBER(C201:G201)) +
   SUMPRODUCT(($H$9:$Z$9="CO1")*ISNUMBER($H$10:$Z$10)*ISNUMBER(H201:Z201)) = 0,
   "",
   IFERROR(
     (
       IF(
         SUMPRODUCT(($C$9:$G$9="CO1")*ISNUMBER($C$10:$G$10)*ISNUMBER(C201:G201)) = 0,
         0,
         SUMPRODUCT(($C$9:$G$9="CO1")*ISNUMBER($C$10:$G$10)*ISNUMBER(C201:G201)*C201:G201) /
         SUMPRODUCT(($C$9:$G$9="CO1")*ISNUMBER($C$10:$G$10)*ISNUMBER(C201:G201)*$C$10:$G$10) * 0.15
       ) +
       IF(
         SUMPRODUCT(($H$9:$Z$9="CO1")*ISNUMBER($H$10:$Z$10)*ISNUMBER(H201:Z201)) = 0,
         0,
         SUMPRODUCT(($H$9:$Z$9="CO1")*ISNUMBER($H$10:$Z$10)*ISNUMBER(H201:Z201)*H201:Z201) /
         SUMPRODUCT(($H$9:$Z$9="CO1")*ISNUMBER($H$10:$Z$10)*ISNUMBER(H201:Z201)*$H$10:$Z$10) * 0.85
       )
     ) * 100,
     ""
   )
)</f>
        <v/>
      </c>
      <c r="AB201" s="1" t="str" cm="1">
        <f t="array" ref="AB201">IF(
   SUMPRODUCT(($C$9:$G$9="CO2")*ISNUMBER($C$10:$G$10)*ISNUMBER(C201:G201)) +
   SUMPRODUCT(($H$9:$Z$9="CO2")*ISNUMBER($H$10:$Z$10)*ISNUMBER(H201:Z201)) = 0,
   "",
   IFERROR(
     (
       IF(
         SUMPRODUCT(($C$9:$G$9="CO2")*ISNUMBER($C$10:$G$10)*ISNUMBER(C201:G201)) = 0,
         0,
         SUMPRODUCT(($C$9:$G$9="CO2")*ISNUMBER($C$10:$G$10)*ISNUMBER(C201:G201)*C201:G201) /
         SUMPRODUCT(($C$9:$G$9="CO2")*ISNUMBER($C$10:$G$10)*ISNUMBER(C201:G201)*$C$10:$G$10) * 0.15
       ) +
       IF(
         SUMPRODUCT(($H$9:$Z$9="CO2")*ISNUMBER($H$10:$Z$10)*ISNUMBER(H201:Z201)) = 0,
         0,
         SUMPRODUCT(($H$9:$Z$9="CO2")*ISNUMBER($H$10:$Z$10)*ISNUMBER(H201:Z201)*H201:Z201) /
         SUMPRODUCT(($H$9:$Z$9="CO2")*ISNUMBER($H$10:$Z$10)*ISNUMBER(H201:Z201)*$H$10:$Z$10) * 0.85
       )
     ) * 100,
     ""
   )
)</f>
        <v/>
      </c>
      <c r="AC201" s="1" t="str" cm="1">
        <f t="array" ref="AC201">IF(
   SUMPRODUCT(($C$9:$G$9="CO3")*ISNUMBER($C$10:$G$10)*ISNUMBER(C201:G201)) +
   SUMPRODUCT(($H$9:$Z$9="CO3")*ISNUMBER($H$10:$Z$10)*ISNUMBER(H201:Z201)) = 0,
   "",
   IFERROR(
     (
       IF(
         SUMPRODUCT(($C$9:$G$9="CO3")*ISNUMBER($C$10:$G$10)*ISNUMBER(C201:G201)) = 0,
         0,
         SUMPRODUCT(($C$9:$G$9="CO3")*ISNUMBER($C$10:$G$10)*ISNUMBER(C201:G201)*C201:G201) /
         SUMPRODUCT(($C$9:$G$9="CO3")*ISNUMBER($C$10:$G$10)*ISNUMBER(C201:G201)*$C$10:$G$10) * 0.15
       ) +
       IF(
         SUMPRODUCT(($H$9:$Z$9="CO3")*ISNUMBER($H$10:$Z$10)*ISNUMBER(H201:Z201)) = 0,
         0,
         SUMPRODUCT(($H$9:$Z$9="CO3")*ISNUMBER($H$10:$Z$10)*ISNUMBER(H201:Z201)*H201:Z201) /
         SUMPRODUCT(($H$9:$Z$9="CO3")*ISNUMBER($H$10:$Z$10)*ISNUMBER(H201:Z201)*$H$10:$Z$10) * 0.85
       )
     ) * 100,
     ""
   )
)</f>
        <v/>
      </c>
      <c r="AD201" s="1" t="str" cm="1">
        <f t="array" ref="AD201">IF(
   SUMPRODUCT(($C$9:$G$9="CO4")*ISNUMBER($C$10:$G$10)*ISNUMBER(C201:G201)) +
   SUMPRODUCT(($H$9:$Z$9="CO4")*ISNUMBER($H$10:$Z$10)*ISNUMBER(H201:Z201)) = 0,
   "",
   IFERROR(
     (
       IF(
         SUMPRODUCT(($C$9:$G$9="CO4")*ISNUMBER($C$10:$G$10)*ISNUMBER(C201:G201)) = 0,
         0,
         SUMPRODUCT(($C$9:$G$9="CO4")*ISNUMBER($C$10:$G$10)*ISNUMBER(C201:G201)*C201:G201) /
         SUMPRODUCT(($C$9:$G$9="CO4")*ISNUMBER($C$10:$G$10)*ISNUMBER(C201:G201)*$C$10:$G$10) * 0.15
       ) +
       IF(
         SUMPRODUCT(($H$9:$Z$9="CO4")*ISNUMBER($H$10:$Z$10)*ISNUMBER(H201:Z201)) = 0,
         0,
         SUMPRODUCT(($H$9:$Z$9="CO4")*ISNUMBER($H$10:$Z$10)*ISNUMBER(H201:Z201)*H201:Z201) /
         SUMPRODUCT(($H$9:$Z$9="CO4")*ISNUMBER($H$10:$Z$10)*ISNUMBER(H201:Z201)*$H$10:$Z$10) * 0.85
       )
     ) * 100,
     ""
   )
)</f>
        <v/>
      </c>
      <c r="AE201" s="1" t="str" cm="1">
        <f t="array" ref="AE201">IF(
   SUMPRODUCT(($C$9:$G$9="CO5")*ISNUMBER($C$10:$G$10)*ISNUMBER(C201:G201)) +
   SUMPRODUCT(($H$9:$Z$9="CO5")*ISNUMBER($H$10:$Z$10)*ISNUMBER(H201:Z201)) = 0,
   "",
   IFERROR(
     (
       IF(
         SUMPRODUCT(($C$9:$G$9="CO5")*ISNUMBER($C$10:$G$10)*ISNUMBER(C201:G201)) = 0,
         0,
         SUMPRODUCT(($C$9:$G$9="CO5")*ISNUMBER($C$10:$G$10)*ISNUMBER(C201:G201)*C201:G201) /
         SUMPRODUCT(($C$9:$G$9="CO5")*ISNUMBER($C$10:$G$10)*ISNUMBER(C201:G201)*$C$10:$G$10) * 0.15
       ) +
       IF(
         SUMPRODUCT(($H$9:$Z$9="CO5")*ISNUMBER($H$10:$Z$10)*ISNUMBER(H201:Z201)) = 0,
         0,
         SUMPRODUCT(($H$9:$Z$9="CO5")*ISNUMBER($H$10:$Z$10)*ISNUMBER(H201:Z201)*H201:Z201) /
         SUMPRODUCT(($H$9:$Z$9="CO5")*ISNUMBER($H$10:$Z$10)*ISNUMBER(H201:Z201)*$H$10:$Z$10) * 0.85
       )
     ) * 100,
     ""
   )
)</f>
        <v/>
      </c>
      <c r="AF201" s="1" t="str" cm="1">
        <f t="array" ref="AF201">IF(
   SUMPRODUCT(($C$9:$G$9="CO6")*ISNUMBER($C$10:$G$10)*ISNUMBER(C201:G201)) +
   SUMPRODUCT(($H$9:$Z$9="CO6")*ISNUMBER($H$10:$Z$10)*ISNUMBER(H201:Z201)) = 0,
   "",
   IFERROR(
     (
       IF(
         SUMPRODUCT(($C$9:$G$9="CO6")*ISNUMBER($C$10:$G$10)*ISNUMBER(C201:G201)) = 0,
         0,
         SUMPRODUCT(($C$9:$G$9="CO6")*ISNUMBER($C$10:$G$10)*ISNUMBER(C201:G201)*C201:G201) /
         SUMPRODUCT(($C$9:$G$9="CO6")*ISNUMBER($C$10:$G$10)*ISNUMBER(C201:G201)*$C$10:$G$10) * 0.15
       ) +
       IF(
         SUMPRODUCT(($H$9:$Z$9="CO6")*ISNUMBER($H$10:$Z$10)*ISNUMBER(H201:Z201)) = 0,
         0,
         SUMPRODUCT(($H$9:$Z$9="CO6")*ISNUMBER($H$10:$Z$10)*ISNUMBER(H201:Z201)*H201:Z201) /
         SUMPRODUCT(($H$9:$Z$9="CO6")*ISNUMBER($H$10:$Z$10)*ISNUMBER(H201:Z201)*$H$10:$Z$10) * 0.85
       )
     ) * 100,
     ""
   )
)</f>
        <v/>
      </c>
      <c r="AG201" s="1" t="str" cm="1">
        <f t="array" ref="AG201">IF(
   SUMPRODUCT(($C$9:$G$9="CO7")*ISNUMBER($C$10:$G$10)*ISNUMBER(C201:G201)) +
   SUMPRODUCT(($H$9:$Z$9="CO7")*ISNUMBER($H$10:$Z$10)*ISNUMBER(H201:Z201)) = 0,
   "",
   IFERROR(
     (
       IF(
         SUMPRODUCT(($C$9:$G$9="CO7")*ISNUMBER($C$10:$G$10)*ISNUMBER(C201:G201)) = 0,
         0,
         SUMPRODUCT(($C$9:$G$9="CO7")*ISNUMBER($C$10:$G$10)*ISNUMBER(C201:G201)*C201:G201) /
         SUMPRODUCT(($C$9:$G$9="CO7")*ISNUMBER($C$10:$G$10)*ISNUMBER(C201:G201)*$C$10:$G$10) * 0.15
       ) +
       IF(
         SUMPRODUCT(($H$9:$Z$9="CO7")*ISNUMBER($H$10:$Z$10)*ISNUMBER(H201:Z201)) = 0,
         0,
         SUMPRODUCT(($H$9:$Z$9="CO7")*ISNUMBER($H$10:$Z$10)*ISNUMBER(H201:Z201)*H201:Z201) /
         SUMPRODUCT(($H$9:$Z$9="CO7")*ISNUMBER($H$10:$Z$10)*ISNUMBER(H201:Z201)*$H$10:$Z$10) * 0.85
       )
     ) * 100,
     ""
   )
)</f>
        <v/>
      </c>
      <c r="AH201" s="3" t="str" cm="1">
        <f t="array" ref="AH201">IF(
   SUMPRODUCT(($C$9:$G$9="CO8")*ISNUMBER($C$10:$G$10)*ISNUMBER(C201:G201)) +
   SUMPRODUCT(($H$9:$Z$9="CO8")*ISNUMBER($H$10:$Z$10)*ISNUMBER(H201:Z201)) = 0,
   "",
   IFERROR(
     (
       IF(
         SUMPRODUCT(($C$9:$G$9="CO8")*ISNUMBER($C$10:$G$10)*ISNUMBER(C201:G201)) = 0,
         0,
         SUMPRODUCT(($C$9:$G$9="CO8")*ISNUMBER($C$10:$G$10)*ISNUMBER(C201:G201)*C201:G201) /
         SUMPRODUCT(($C$9:$G$9="CO8")*ISNUMBER($C$10:$G$10)*ISNUMBER(C201:G201)*$C$10:$G$10) * 0.15
       ) +
       IF(
         SUMPRODUCT(($H$9:$Z$9="CO8")*ISNUMBER($H$10:$Z$10)*ISNUMBER(H201:Z201)) = 0,
         0,
         SUMPRODUCT(($H$9:$Z$9="CO8")*ISNUMBER($H$10:$Z$10)*ISNUMBER(H201:Z201)*H201:Z201) /
         SUMPRODUCT(($H$9:$Z$9="CO8")*ISNUMBER($H$10:$Z$10)*ISNUMBER(H201:Z201)*$H$10:$Z$10) * 0.85
       )
     ) * 100,
     ""
   )
)</f>
        <v/>
      </c>
      <c r="AI201" s="1" t="str">
        <f t="shared" si="20"/>
        <v/>
      </c>
      <c r="AJ201" s="1" t="str">
        <f t="shared" si="20"/>
        <v/>
      </c>
      <c r="AK201" s="1" t="str">
        <f t="shared" si="20"/>
        <v/>
      </c>
      <c r="AL201" s="1" t="str">
        <f t="shared" si="20"/>
        <v/>
      </c>
      <c r="AM201" s="1" t="str">
        <f t="shared" si="20"/>
        <v/>
      </c>
      <c r="AN201" s="1" t="str">
        <f t="shared" si="20"/>
        <v/>
      </c>
      <c r="AO201" s="1" t="str">
        <f t="shared" si="20"/>
        <v/>
      </c>
      <c r="AP201" s="1" t="str">
        <f t="shared" si="20"/>
        <v/>
      </c>
    </row>
    <row r="202" spans="1:42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" t="str" cm="1">
        <f t="array" ref="AA202">IF(
   SUMPRODUCT(($C$9:$G$9="CO1")*ISNUMBER($C$10:$G$10)*ISNUMBER(C202:G202)) +
   SUMPRODUCT(($H$9:$Z$9="CO1")*ISNUMBER($H$10:$Z$10)*ISNUMBER(H202:Z202)) = 0,
   "",
   IFERROR(
     (
       IF(
         SUMPRODUCT(($C$9:$G$9="CO1")*ISNUMBER($C$10:$G$10)*ISNUMBER(C202:G202)) = 0,
         0,
         SUMPRODUCT(($C$9:$G$9="CO1")*ISNUMBER($C$10:$G$10)*ISNUMBER(C202:G202)*C202:G202) /
         SUMPRODUCT(($C$9:$G$9="CO1")*ISNUMBER($C$10:$G$10)*ISNUMBER(C202:G202)*$C$10:$G$10) * 0.15
       ) +
       IF(
         SUMPRODUCT(($H$9:$Z$9="CO1")*ISNUMBER($H$10:$Z$10)*ISNUMBER(H202:Z202)) = 0,
         0,
         SUMPRODUCT(($H$9:$Z$9="CO1")*ISNUMBER($H$10:$Z$10)*ISNUMBER(H202:Z202)*H202:Z202) /
         SUMPRODUCT(($H$9:$Z$9="CO1")*ISNUMBER($H$10:$Z$10)*ISNUMBER(H202:Z202)*$H$10:$Z$10) * 0.85
       )
     ) * 100,
     ""
   )
)</f>
        <v/>
      </c>
      <c r="AB202" s="1" t="str" cm="1">
        <f t="array" ref="AB202">IF(
   SUMPRODUCT(($C$9:$G$9="CO2")*ISNUMBER($C$10:$G$10)*ISNUMBER(C202:G202)) +
   SUMPRODUCT(($H$9:$Z$9="CO2")*ISNUMBER($H$10:$Z$10)*ISNUMBER(H202:Z202)) = 0,
   "",
   IFERROR(
     (
       IF(
         SUMPRODUCT(($C$9:$G$9="CO2")*ISNUMBER($C$10:$G$10)*ISNUMBER(C202:G202)) = 0,
         0,
         SUMPRODUCT(($C$9:$G$9="CO2")*ISNUMBER($C$10:$G$10)*ISNUMBER(C202:G202)*C202:G202) /
         SUMPRODUCT(($C$9:$G$9="CO2")*ISNUMBER($C$10:$G$10)*ISNUMBER(C202:G202)*$C$10:$G$10) * 0.15
       ) +
       IF(
         SUMPRODUCT(($H$9:$Z$9="CO2")*ISNUMBER($H$10:$Z$10)*ISNUMBER(H202:Z202)) = 0,
         0,
         SUMPRODUCT(($H$9:$Z$9="CO2")*ISNUMBER($H$10:$Z$10)*ISNUMBER(H202:Z202)*H202:Z202) /
         SUMPRODUCT(($H$9:$Z$9="CO2")*ISNUMBER($H$10:$Z$10)*ISNUMBER(H202:Z202)*$H$10:$Z$10) * 0.85
       )
     ) * 100,
     ""
   )
)</f>
        <v/>
      </c>
      <c r="AC202" s="1" t="str" cm="1">
        <f t="array" ref="AC202">IF(
   SUMPRODUCT(($C$9:$G$9="CO3")*ISNUMBER($C$10:$G$10)*ISNUMBER(C202:G202)) +
   SUMPRODUCT(($H$9:$Z$9="CO3")*ISNUMBER($H$10:$Z$10)*ISNUMBER(H202:Z202)) = 0,
   "",
   IFERROR(
     (
       IF(
         SUMPRODUCT(($C$9:$G$9="CO3")*ISNUMBER($C$10:$G$10)*ISNUMBER(C202:G202)) = 0,
         0,
         SUMPRODUCT(($C$9:$G$9="CO3")*ISNUMBER($C$10:$G$10)*ISNUMBER(C202:G202)*C202:G202) /
         SUMPRODUCT(($C$9:$G$9="CO3")*ISNUMBER($C$10:$G$10)*ISNUMBER(C202:G202)*$C$10:$G$10) * 0.15
       ) +
       IF(
         SUMPRODUCT(($H$9:$Z$9="CO3")*ISNUMBER($H$10:$Z$10)*ISNUMBER(H202:Z202)) = 0,
         0,
         SUMPRODUCT(($H$9:$Z$9="CO3")*ISNUMBER($H$10:$Z$10)*ISNUMBER(H202:Z202)*H202:Z202) /
         SUMPRODUCT(($H$9:$Z$9="CO3")*ISNUMBER($H$10:$Z$10)*ISNUMBER(H202:Z202)*$H$10:$Z$10) * 0.85
       )
     ) * 100,
     ""
   )
)</f>
        <v/>
      </c>
      <c r="AD202" s="1" t="str" cm="1">
        <f t="array" ref="AD202">IF(
   SUMPRODUCT(($C$9:$G$9="CO4")*ISNUMBER($C$10:$G$10)*ISNUMBER(C202:G202)) +
   SUMPRODUCT(($H$9:$Z$9="CO4")*ISNUMBER($H$10:$Z$10)*ISNUMBER(H202:Z202)) = 0,
   "",
   IFERROR(
     (
       IF(
         SUMPRODUCT(($C$9:$G$9="CO4")*ISNUMBER($C$10:$G$10)*ISNUMBER(C202:G202)) = 0,
         0,
         SUMPRODUCT(($C$9:$G$9="CO4")*ISNUMBER($C$10:$G$10)*ISNUMBER(C202:G202)*C202:G202) /
         SUMPRODUCT(($C$9:$G$9="CO4")*ISNUMBER($C$10:$G$10)*ISNUMBER(C202:G202)*$C$10:$G$10) * 0.15
       ) +
       IF(
         SUMPRODUCT(($H$9:$Z$9="CO4")*ISNUMBER($H$10:$Z$10)*ISNUMBER(H202:Z202)) = 0,
         0,
         SUMPRODUCT(($H$9:$Z$9="CO4")*ISNUMBER($H$10:$Z$10)*ISNUMBER(H202:Z202)*H202:Z202) /
         SUMPRODUCT(($H$9:$Z$9="CO4")*ISNUMBER($H$10:$Z$10)*ISNUMBER(H202:Z202)*$H$10:$Z$10) * 0.85
       )
     ) * 100,
     ""
   )
)</f>
        <v/>
      </c>
      <c r="AE202" s="1" t="str" cm="1">
        <f t="array" ref="AE202">IF(
   SUMPRODUCT(($C$9:$G$9="CO5")*ISNUMBER($C$10:$G$10)*ISNUMBER(C202:G202)) +
   SUMPRODUCT(($H$9:$Z$9="CO5")*ISNUMBER($H$10:$Z$10)*ISNUMBER(H202:Z202)) = 0,
   "",
   IFERROR(
     (
       IF(
         SUMPRODUCT(($C$9:$G$9="CO5")*ISNUMBER($C$10:$G$10)*ISNUMBER(C202:G202)) = 0,
         0,
         SUMPRODUCT(($C$9:$G$9="CO5")*ISNUMBER($C$10:$G$10)*ISNUMBER(C202:G202)*C202:G202) /
         SUMPRODUCT(($C$9:$G$9="CO5")*ISNUMBER($C$10:$G$10)*ISNUMBER(C202:G202)*$C$10:$G$10) * 0.15
       ) +
       IF(
         SUMPRODUCT(($H$9:$Z$9="CO5")*ISNUMBER($H$10:$Z$10)*ISNUMBER(H202:Z202)) = 0,
         0,
         SUMPRODUCT(($H$9:$Z$9="CO5")*ISNUMBER($H$10:$Z$10)*ISNUMBER(H202:Z202)*H202:Z202) /
         SUMPRODUCT(($H$9:$Z$9="CO5")*ISNUMBER($H$10:$Z$10)*ISNUMBER(H202:Z202)*$H$10:$Z$10) * 0.85
       )
     ) * 100,
     ""
   )
)</f>
        <v/>
      </c>
      <c r="AF202" s="1" t="str" cm="1">
        <f t="array" ref="AF202">IF(
   SUMPRODUCT(($C$9:$G$9="CO6")*ISNUMBER($C$10:$G$10)*ISNUMBER(C202:G202)) +
   SUMPRODUCT(($H$9:$Z$9="CO6")*ISNUMBER($H$10:$Z$10)*ISNUMBER(H202:Z202)) = 0,
   "",
   IFERROR(
     (
       IF(
         SUMPRODUCT(($C$9:$G$9="CO6")*ISNUMBER($C$10:$G$10)*ISNUMBER(C202:G202)) = 0,
         0,
         SUMPRODUCT(($C$9:$G$9="CO6")*ISNUMBER($C$10:$G$10)*ISNUMBER(C202:G202)*C202:G202) /
         SUMPRODUCT(($C$9:$G$9="CO6")*ISNUMBER($C$10:$G$10)*ISNUMBER(C202:G202)*$C$10:$G$10) * 0.15
       ) +
       IF(
         SUMPRODUCT(($H$9:$Z$9="CO6")*ISNUMBER($H$10:$Z$10)*ISNUMBER(H202:Z202)) = 0,
         0,
         SUMPRODUCT(($H$9:$Z$9="CO6")*ISNUMBER($H$10:$Z$10)*ISNUMBER(H202:Z202)*H202:Z202) /
         SUMPRODUCT(($H$9:$Z$9="CO6")*ISNUMBER($H$10:$Z$10)*ISNUMBER(H202:Z202)*$H$10:$Z$10) * 0.85
       )
     ) * 100,
     ""
   )
)</f>
        <v/>
      </c>
      <c r="AG202" s="1" t="str" cm="1">
        <f t="array" ref="AG202">IF(
   SUMPRODUCT(($C$9:$G$9="CO7")*ISNUMBER($C$10:$G$10)*ISNUMBER(C202:G202)) +
   SUMPRODUCT(($H$9:$Z$9="CO7")*ISNUMBER($H$10:$Z$10)*ISNUMBER(H202:Z202)) = 0,
   "",
   IFERROR(
     (
       IF(
         SUMPRODUCT(($C$9:$G$9="CO7")*ISNUMBER($C$10:$G$10)*ISNUMBER(C202:G202)) = 0,
         0,
         SUMPRODUCT(($C$9:$G$9="CO7")*ISNUMBER($C$10:$G$10)*ISNUMBER(C202:G202)*C202:G202) /
         SUMPRODUCT(($C$9:$G$9="CO7")*ISNUMBER($C$10:$G$10)*ISNUMBER(C202:G202)*$C$10:$G$10) * 0.15
       ) +
       IF(
         SUMPRODUCT(($H$9:$Z$9="CO7")*ISNUMBER($H$10:$Z$10)*ISNUMBER(H202:Z202)) = 0,
         0,
         SUMPRODUCT(($H$9:$Z$9="CO7")*ISNUMBER($H$10:$Z$10)*ISNUMBER(H202:Z202)*H202:Z202) /
         SUMPRODUCT(($H$9:$Z$9="CO7")*ISNUMBER($H$10:$Z$10)*ISNUMBER(H202:Z202)*$H$10:$Z$10) * 0.85
       )
     ) * 100,
     ""
   )
)</f>
        <v/>
      </c>
      <c r="AH202" s="3" t="str" cm="1">
        <f t="array" ref="AH202">IF(
   SUMPRODUCT(($C$9:$G$9="CO8")*ISNUMBER($C$10:$G$10)*ISNUMBER(C202:G202)) +
   SUMPRODUCT(($H$9:$Z$9="CO8")*ISNUMBER($H$10:$Z$10)*ISNUMBER(H202:Z202)) = 0,
   "",
   IFERROR(
     (
       IF(
         SUMPRODUCT(($C$9:$G$9="CO8")*ISNUMBER($C$10:$G$10)*ISNUMBER(C202:G202)) = 0,
         0,
         SUMPRODUCT(($C$9:$G$9="CO8")*ISNUMBER($C$10:$G$10)*ISNUMBER(C202:G202)*C202:G202) /
         SUMPRODUCT(($C$9:$G$9="CO8")*ISNUMBER($C$10:$G$10)*ISNUMBER(C202:G202)*$C$10:$G$10) * 0.15
       ) +
       IF(
         SUMPRODUCT(($H$9:$Z$9="CO8")*ISNUMBER($H$10:$Z$10)*ISNUMBER(H202:Z202)) = 0,
         0,
         SUMPRODUCT(($H$9:$Z$9="CO8")*ISNUMBER($H$10:$Z$10)*ISNUMBER(H202:Z202)*H202:Z202) /
         SUMPRODUCT(($H$9:$Z$9="CO8")*ISNUMBER($H$10:$Z$10)*ISNUMBER(H202:Z202)*$H$10:$Z$10) * 0.85
       )
     ) * 100,
     ""
   )
)</f>
        <v/>
      </c>
      <c r="AI202" s="1" t="str">
        <f t="shared" si="20"/>
        <v/>
      </c>
      <c r="AJ202" s="1" t="str">
        <f t="shared" si="20"/>
        <v/>
      </c>
      <c r="AK202" s="1" t="str">
        <f t="shared" si="20"/>
        <v/>
      </c>
      <c r="AL202" s="1" t="str">
        <f t="shared" si="20"/>
        <v/>
      </c>
      <c r="AM202" s="1" t="str">
        <f t="shared" si="20"/>
        <v/>
      </c>
      <c r="AN202" s="1" t="str">
        <f t="shared" si="20"/>
        <v/>
      </c>
      <c r="AO202" s="1" t="str">
        <f t="shared" si="20"/>
        <v/>
      </c>
      <c r="AP202" s="1" t="str">
        <f t="shared" si="20"/>
        <v/>
      </c>
    </row>
    <row r="203" spans="1:42" x14ac:dyDescent="0.3">
      <c r="B203" s="31" t="s">
        <v>11</v>
      </c>
      <c r="C203" s="32"/>
      <c r="D203" s="124" t="s">
        <v>71</v>
      </c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6"/>
      <c r="AA203" s="8" cm="1">
        <f t="array" ref="AA203">SUMPRODUCT((AA12:AA202="")*(B$12:B$202&lt;&gt;""))</f>
        <v>20</v>
      </c>
      <c r="AB203" s="8" cm="1">
        <f t="array" ref="AB203">SUMPRODUCT((AB12:AB202="")*(B$12:B$202&lt;&gt;""))</f>
        <v>21</v>
      </c>
      <c r="AC203" s="8" cm="1">
        <f t="array" ref="AC203">SUMPRODUCT((AC12:AC202="")*(B$12:B$202&lt;&gt;""))</f>
        <v>18</v>
      </c>
      <c r="AD203" s="8" cm="1">
        <f t="array" ref="AD203">SUMPRODUCT((AD12:AD202="")*(B$12:B$202&lt;&gt;""))</f>
        <v>7</v>
      </c>
      <c r="AE203" s="8" cm="1">
        <f t="array" ref="AE203">SUMPRODUCT((AE12:AE202="")*(B$12:B$202&lt;&gt;""))</f>
        <v>71</v>
      </c>
      <c r="AF203" s="8" cm="1">
        <f t="array" ref="AF203">SUMPRODUCT((AF12:AF202="")*(B$12:B$202&lt;&gt;""))</f>
        <v>71</v>
      </c>
      <c r="AG203" s="8" cm="1">
        <f t="array" ref="AG203">SUMPRODUCT((AG12:AG202="")*(B$12:B$202&lt;&gt;""))</f>
        <v>71</v>
      </c>
      <c r="AH203" s="8" cm="1">
        <f t="array" ref="AH203">SUMPRODUCT((AH12:AH202="")*(B$12:B$202&lt;&gt;""))</f>
        <v>71</v>
      </c>
      <c r="AI203" s="30"/>
      <c r="AJ203" s="30"/>
      <c r="AK203" s="30"/>
      <c r="AL203" s="30"/>
      <c r="AM203" s="30"/>
      <c r="AN203" s="30"/>
      <c r="AO203" s="30"/>
      <c r="AP203" s="30"/>
    </row>
    <row r="204" spans="1:42" x14ac:dyDescent="0.3">
      <c r="A204" s="33">
        <v>1</v>
      </c>
      <c r="B204" s="34" t="s">
        <v>17</v>
      </c>
      <c r="C204" s="33" t="s">
        <v>104</v>
      </c>
      <c r="D204" s="142" t="s">
        <v>72</v>
      </c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4"/>
      <c r="AA204" s="5">
        <f>COUNT(AA12:AA202)</f>
        <v>51</v>
      </c>
      <c r="AB204" s="5">
        <f>COUNT(AB12:AB202)</f>
        <v>50</v>
      </c>
      <c r="AC204" s="5">
        <f>COUNT(AC12:AC202)</f>
        <v>53</v>
      </c>
      <c r="AD204" s="5">
        <f t="shared" ref="AD204:AG204" si="21">COUNT(AD12:AD202)</f>
        <v>64</v>
      </c>
      <c r="AE204" s="5">
        <f t="shared" si="21"/>
        <v>0</v>
      </c>
      <c r="AF204" s="5">
        <f t="shared" si="21"/>
        <v>0</v>
      </c>
      <c r="AG204" s="5">
        <f t="shared" si="21"/>
        <v>0</v>
      </c>
      <c r="AH204" s="5">
        <f>COUNT(AH12:AH202)</f>
        <v>0</v>
      </c>
      <c r="AI204" s="30"/>
      <c r="AJ204" s="30"/>
      <c r="AK204" s="30"/>
      <c r="AL204" s="30"/>
      <c r="AM204" s="30"/>
      <c r="AN204" s="30"/>
      <c r="AO204" s="30"/>
      <c r="AP204" s="30"/>
    </row>
    <row r="205" spans="1:42" x14ac:dyDescent="0.3">
      <c r="A205" s="35">
        <v>2</v>
      </c>
      <c r="B205" s="36" t="s">
        <v>23</v>
      </c>
      <c r="C205" s="35" t="s">
        <v>24</v>
      </c>
      <c r="D205" s="142" t="s">
        <v>73</v>
      </c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4"/>
      <c r="AA205" s="2">
        <f>COUNTIF(AA12:AA202,"&gt;40")</f>
        <v>46</v>
      </c>
      <c r="AB205" s="2">
        <f t="shared" ref="AB205:AH205" si="22">COUNTIF(AB12:AB202,"&gt;40")</f>
        <v>44</v>
      </c>
      <c r="AC205" s="2">
        <f t="shared" si="22"/>
        <v>53</v>
      </c>
      <c r="AD205" s="2">
        <f t="shared" si="22"/>
        <v>21</v>
      </c>
      <c r="AE205" s="2">
        <f t="shared" si="22"/>
        <v>0</v>
      </c>
      <c r="AF205" s="2">
        <f t="shared" si="22"/>
        <v>0</v>
      </c>
      <c r="AG205" s="2">
        <f t="shared" si="22"/>
        <v>0</v>
      </c>
      <c r="AH205" s="2">
        <f t="shared" si="22"/>
        <v>0</v>
      </c>
      <c r="AI205" s="30"/>
      <c r="AJ205" s="30"/>
      <c r="AK205" s="30"/>
      <c r="AL205" s="30"/>
      <c r="AM205" s="30"/>
      <c r="AN205" s="30"/>
      <c r="AO205" s="30"/>
      <c r="AP205" s="30"/>
    </row>
    <row r="206" spans="1:42" x14ac:dyDescent="0.3">
      <c r="A206" s="37">
        <v>3</v>
      </c>
      <c r="B206" s="38" t="s">
        <v>32</v>
      </c>
      <c r="C206" s="37" t="s">
        <v>33</v>
      </c>
      <c r="D206" s="142" t="s">
        <v>74</v>
      </c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4"/>
      <c r="AA206" s="2">
        <f>IF(AA204=0, 0, (AA205*100)/AA204)</f>
        <v>90.196078431372555</v>
      </c>
      <c r="AB206" s="2">
        <f t="shared" ref="AB206:AH206" si="23">IF(AB204=0, 0, (AB205*100)/AB204)</f>
        <v>88</v>
      </c>
      <c r="AC206" s="2">
        <f t="shared" si="23"/>
        <v>100</v>
      </c>
      <c r="AD206" s="2">
        <f t="shared" si="23"/>
        <v>32.8125</v>
      </c>
      <c r="AE206" s="2">
        <f t="shared" si="23"/>
        <v>0</v>
      </c>
      <c r="AF206" s="2">
        <f t="shared" si="23"/>
        <v>0</v>
      </c>
      <c r="AG206" s="2">
        <f t="shared" si="23"/>
        <v>0</v>
      </c>
      <c r="AH206" s="2">
        <f t="shared" si="23"/>
        <v>0</v>
      </c>
      <c r="AI206" s="30"/>
      <c r="AJ206" s="30"/>
      <c r="AK206" s="30"/>
      <c r="AL206" s="30"/>
      <c r="AM206" s="30"/>
      <c r="AN206" s="30"/>
      <c r="AO206" s="30"/>
      <c r="AP206" s="30"/>
    </row>
    <row r="207" spans="1:42" x14ac:dyDescent="0.3">
      <c r="D207" s="145" t="s">
        <v>75</v>
      </c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7"/>
      <c r="AA207" s="4">
        <f t="shared" ref="AA207:AH207" si="24">IF(AA206&gt;70,3,IF(AA206&gt;60,2,IF(AA206&gt;=50,1,0)))</f>
        <v>3</v>
      </c>
      <c r="AB207" s="4">
        <f t="shared" si="24"/>
        <v>3</v>
      </c>
      <c r="AC207" s="4">
        <f t="shared" si="24"/>
        <v>3</v>
      </c>
      <c r="AD207" s="4">
        <f t="shared" si="24"/>
        <v>0</v>
      </c>
      <c r="AE207" s="4">
        <f t="shared" si="24"/>
        <v>0</v>
      </c>
      <c r="AF207" s="4">
        <f t="shared" si="24"/>
        <v>0</v>
      </c>
      <c r="AG207" s="4">
        <f t="shared" si="24"/>
        <v>0</v>
      </c>
      <c r="AH207" s="4">
        <f t="shared" si="24"/>
        <v>0</v>
      </c>
      <c r="AI207" s="30"/>
      <c r="AJ207" s="30"/>
      <c r="AK207" s="30"/>
      <c r="AL207" s="30"/>
      <c r="AM207" s="30"/>
      <c r="AN207" s="30"/>
      <c r="AO207" s="30"/>
      <c r="AP207" s="30"/>
    </row>
    <row r="208" spans="1:42" x14ac:dyDescent="0.3">
      <c r="D208" s="148" t="s">
        <v>76</v>
      </c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50"/>
      <c r="AA208" s="39" t="s">
        <v>22</v>
      </c>
      <c r="AB208" s="39" t="s">
        <v>20</v>
      </c>
      <c r="AC208" s="39" t="s">
        <v>21</v>
      </c>
      <c r="AD208" s="39" t="s">
        <v>19</v>
      </c>
      <c r="AE208" s="39" t="s">
        <v>67</v>
      </c>
      <c r="AF208" s="39" t="s">
        <v>68</v>
      </c>
      <c r="AG208" s="39" t="s">
        <v>69</v>
      </c>
      <c r="AH208" s="39" t="s">
        <v>70</v>
      </c>
      <c r="AI208" s="39"/>
    </row>
    <row r="209" spans="4:35" x14ac:dyDescent="0.3">
      <c r="D209" s="151">
        <v>50</v>
      </c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3"/>
      <c r="AA209" s="6" t="str">
        <f>IF($D$209&gt;AA206,"NOT ATTAINED","ATTAINED")</f>
        <v>ATTAINED</v>
      </c>
      <c r="AB209" s="7" t="str">
        <f t="shared" ref="AB209:AH209" si="25">IF($D$209&gt;AB206,"NOT ATTAINED","ATTAINED")</f>
        <v>ATTAINED</v>
      </c>
      <c r="AC209" s="7" t="str">
        <f>IF($D$209&gt;AC206,"NOT ATTAINED","ATTAINED")</f>
        <v>ATTAINED</v>
      </c>
      <c r="AD209" s="7" t="str">
        <f t="shared" si="25"/>
        <v>NOT ATTAINED</v>
      </c>
      <c r="AE209" s="7" t="str">
        <f t="shared" si="25"/>
        <v>NOT ATTAINED</v>
      </c>
      <c r="AF209" s="7" t="str">
        <f t="shared" si="25"/>
        <v>NOT ATTAINED</v>
      </c>
      <c r="AG209" s="7" t="str">
        <f t="shared" si="25"/>
        <v>NOT ATTAINED</v>
      </c>
      <c r="AH209" s="7" t="str">
        <f t="shared" si="25"/>
        <v>NOT ATTAINED</v>
      </c>
      <c r="AI209" s="39"/>
    </row>
    <row r="210" spans="4:35" x14ac:dyDescent="0.3"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 spans="4:35" x14ac:dyDescent="0.3"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</sheetData>
  <sheetProtection algorithmName="SHA-512" hashValue="w4Df8FwYli5I1olTsIwS/vHFkRkjNw+lmptM2j0tCBwIO/gjEUjN9elEvHFgngH1ghhkFJt8V/CUQYSUj8RWVw==" saltValue="xCTkHHQkK8P3VHrmAne3eg==" spinCount="100000" sheet="1" formatCells="0" formatColumns="0" formatRows="0" insertColumns="0" deleteColumns="0" autoFilter="0"/>
  <protectedRanges>
    <protectedRange sqref="C2:C3 AF3 X2:X3 H2 L3:M3" name="Range1_1"/>
  </protectedRanges>
  <mergeCells count="32">
    <mergeCell ref="D210:Z210"/>
    <mergeCell ref="D211:Z211"/>
    <mergeCell ref="D204:Z204"/>
    <mergeCell ref="D205:Z205"/>
    <mergeCell ref="D206:Z206"/>
    <mergeCell ref="D207:Z207"/>
    <mergeCell ref="D208:Z208"/>
    <mergeCell ref="D209:Z209"/>
    <mergeCell ref="AX7:AY7"/>
    <mergeCell ref="AA10:AH10"/>
    <mergeCell ref="AI10:AP10"/>
    <mergeCell ref="AW10:AW11"/>
    <mergeCell ref="C11:Z11"/>
    <mergeCell ref="D203:Z203"/>
    <mergeCell ref="A4:Z4"/>
    <mergeCell ref="C6:G6"/>
    <mergeCell ref="H6:Z6"/>
    <mergeCell ref="H7:K7"/>
    <mergeCell ref="L7:N7"/>
    <mergeCell ref="X7:Z7"/>
    <mergeCell ref="O7:Q7"/>
    <mergeCell ref="R7:T7"/>
    <mergeCell ref="U7:W7"/>
    <mergeCell ref="C1:AG1"/>
    <mergeCell ref="X3:AG3"/>
    <mergeCell ref="C2:K2"/>
    <mergeCell ref="L2:N2"/>
    <mergeCell ref="O2:T2"/>
    <mergeCell ref="X2:AG2"/>
    <mergeCell ref="C3:K3"/>
    <mergeCell ref="L3:N3"/>
    <mergeCell ref="O3:T3"/>
  </mergeCells>
  <conditionalFormatting sqref="AA209:AI209">
    <cfRule type="containsText" dxfId="2" priority="3" stopIfTrue="1" operator="containsText" text="Not Attained">
      <formula>NOT(ISERROR(SEARCH("Not Attained",AA209)))</formula>
    </cfRule>
  </conditionalFormatting>
  <conditionalFormatting sqref="BA13:BA21">
    <cfRule type="containsText" dxfId="1" priority="1" operator="containsText" text="NOT ATTAINED">
      <formula>NOT(ISERROR(SEARCH("NOT ATTAINED",BA13)))</formula>
    </cfRule>
    <cfRule type="containsText" dxfId="0" priority="2" operator="containsText" text="NOT ATTAINED">
      <formula>NOT(ISERROR(SEARCH("NOT ATTAINED",BA13)))</formula>
    </cfRule>
  </conditionalFormatting>
  <dataValidations count="2">
    <dataValidation type="list" allowBlank="1" showInputMessage="1" showErrorMessage="1" sqref="L3:N3" xr:uid="{D6AECC87-618C-CE40-9C69-21680074659A}">
      <formula1>"I, II, III, IV, V, VI"</formula1>
    </dataValidation>
    <dataValidation type="list" allowBlank="1" showInputMessage="1" showErrorMessage="1" sqref="C9:Z9" xr:uid="{295C9469-5387-E646-AFAB-9247BE86BD6B}">
      <formula1>"CO1, CO2, CO3, CO4, CO5, CO6, CO7, CO8, CO9, CO10"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C209-EBA0-EB4E-8AA0-72702EB7D820}">
  <dimension ref="A1:Q24"/>
  <sheetViews>
    <sheetView topLeftCell="A4" workbookViewId="0">
      <selection activeCell="J12" sqref="J12"/>
    </sheetView>
  </sheetViews>
  <sheetFormatPr defaultColWidth="10.796875" defaultRowHeight="15.6" x14ac:dyDescent="0.3"/>
  <cols>
    <col min="1" max="16384" width="10.796875" style="9"/>
  </cols>
  <sheetData>
    <row r="1" spans="1:16" ht="19.95" customHeight="1" x14ac:dyDescent="0.3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8"/>
    </row>
    <row r="2" spans="1:16" ht="34.049999999999997" customHeight="1" thickBot="1" x14ac:dyDescent="0.35">
      <c r="A2" s="169" t="s">
        <v>1</v>
      </c>
      <c r="B2" s="17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6" ht="16.8" thickTop="1" thickBot="1" x14ac:dyDescent="0.35">
      <c r="A3" s="160" t="s">
        <v>77</v>
      </c>
      <c r="B3" s="172"/>
      <c r="C3" s="166"/>
      <c r="D3" s="166"/>
      <c r="E3" s="166"/>
      <c r="F3" s="166"/>
      <c r="G3" s="172" t="s">
        <v>78</v>
      </c>
      <c r="H3" s="172"/>
      <c r="I3" s="173"/>
      <c r="J3" s="173"/>
      <c r="K3" s="173"/>
      <c r="L3" s="173"/>
      <c r="M3" s="172" t="s">
        <v>79</v>
      </c>
      <c r="N3" s="172"/>
      <c r="O3" s="166"/>
      <c r="P3" s="166"/>
    </row>
    <row r="4" spans="1:16" ht="16.8" thickTop="1" thickBot="1" x14ac:dyDescent="0.35">
      <c r="A4" s="160" t="s">
        <v>80</v>
      </c>
      <c r="B4" s="160"/>
      <c r="C4" s="161"/>
      <c r="D4" s="161"/>
      <c r="E4" s="161"/>
      <c r="F4" s="161"/>
      <c r="G4" s="161"/>
      <c r="H4" s="161"/>
      <c r="I4" s="161"/>
      <c r="J4" s="161"/>
      <c r="K4" s="161"/>
      <c r="L4" s="162" t="s">
        <v>81</v>
      </c>
      <c r="M4" s="162"/>
      <c r="N4" s="162"/>
      <c r="O4" s="161"/>
      <c r="P4" s="161"/>
    </row>
    <row r="5" spans="1:16" ht="16.8" thickTop="1" thickBot="1" x14ac:dyDescent="0.35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5"/>
    </row>
    <row r="6" spans="1:16" ht="19.2" thickTop="1" thickBot="1" x14ac:dyDescent="0.35">
      <c r="A6" s="154" t="s">
        <v>102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6"/>
    </row>
    <row r="7" spans="1:16" ht="24" thickTop="1" thickBot="1" x14ac:dyDescent="0.35">
      <c r="A7" s="47"/>
      <c r="B7" s="47" t="s">
        <v>82</v>
      </c>
      <c r="C7" s="47" t="s">
        <v>83</v>
      </c>
      <c r="D7" s="47" t="s">
        <v>84</v>
      </c>
      <c r="E7" s="47" t="s">
        <v>85</v>
      </c>
      <c r="F7" s="47" t="s">
        <v>86</v>
      </c>
      <c r="G7" s="47" t="s">
        <v>87</v>
      </c>
      <c r="H7" s="47" t="s">
        <v>88</v>
      </c>
      <c r="I7" s="47" t="s">
        <v>89</v>
      </c>
      <c r="J7" s="47" t="s">
        <v>90</v>
      </c>
      <c r="K7" s="47" t="s">
        <v>91</v>
      </c>
      <c r="L7" s="47" t="s">
        <v>92</v>
      </c>
      <c r="M7" s="47" t="s">
        <v>93</v>
      </c>
      <c r="N7" s="47" t="s">
        <v>94</v>
      </c>
      <c r="O7" s="47" t="s">
        <v>95</v>
      </c>
      <c r="P7" s="47" t="s">
        <v>96</v>
      </c>
    </row>
    <row r="8" spans="1:16" ht="24" thickTop="1" thickBot="1" x14ac:dyDescent="0.35">
      <c r="A8" s="47" t="s">
        <v>22</v>
      </c>
      <c r="B8" s="40" t="s">
        <v>97</v>
      </c>
      <c r="C8" s="40" t="s">
        <v>97</v>
      </c>
      <c r="D8" s="40" t="s">
        <v>97</v>
      </c>
      <c r="E8" s="40" t="s">
        <v>97</v>
      </c>
      <c r="F8" s="40" t="s">
        <v>97</v>
      </c>
      <c r="G8" s="40" t="s">
        <v>97</v>
      </c>
      <c r="H8" s="40" t="s">
        <v>97</v>
      </c>
      <c r="I8" s="40" t="s">
        <v>97</v>
      </c>
      <c r="J8" s="40" t="s">
        <v>97</v>
      </c>
      <c r="K8" s="40" t="s">
        <v>97</v>
      </c>
      <c r="L8" s="40" t="s">
        <v>97</v>
      </c>
      <c r="M8" s="40" t="s">
        <v>97</v>
      </c>
      <c r="N8" s="40" t="s">
        <v>97</v>
      </c>
      <c r="O8" s="40" t="s">
        <v>97</v>
      </c>
      <c r="P8" s="40" t="s">
        <v>97</v>
      </c>
    </row>
    <row r="9" spans="1:16" ht="24" thickTop="1" thickBot="1" x14ac:dyDescent="0.35">
      <c r="A9" s="47" t="s">
        <v>20</v>
      </c>
      <c r="B9" s="40" t="s">
        <v>97</v>
      </c>
      <c r="C9" s="40" t="s">
        <v>97</v>
      </c>
      <c r="D9" s="40" t="s">
        <v>97</v>
      </c>
      <c r="E9" s="40" t="s">
        <v>97</v>
      </c>
      <c r="F9" s="40" t="s">
        <v>97</v>
      </c>
      <c r="G9" s="40" t="s">
        <v>97</v>
      </c>
      <c r="H9" s="40" t="s">
        <v>97</v>
      </c>
      <c r="I9" s="40" t="s">
        <v>97</v>
      </c>
      <c r="J9" s="40" t="s">
        <v>97</v>
      </c>
      <c r="K9" s="40" t="s">
        <v>97</v>
      </c>
      <c r="L9" s="40" t="s">
        <v>97</v>
      </c>
      <c r="M9" s="40" t="s">
        <v>97</v>
      </c>
      <c r="N9" s="40" t="s">
        <v>97</v>
      </c>
      <c r="O9" s="40" t="s">
        <v>97</v>
      </c>
      <c r="P9" s="40" t="s">
        <v>97</v>
      </c>
    </row>
    <row r="10" spans="1:16" ht="24" thickTop="1" thickBot="1" x14ac:dyDescent="0.35">
      <c r="A10" s="47" t="s">
        <v>21</v>
      </c>
      <c r="B10" s="40" t="s">
        <v>97</v>
      </c>
      <c r="C10" s="40" t="s">
        <v>97</v>
      </c>
      <c r="D10" s="40" t="s">
        <v>97</v>
      </c>
      <c r="E10" s="40" t="s">
        <v>97</v>
      </c>
      <c r="F10" s="40" t="s">
        <v>97</v>
      </c>
      <c r="G10" s="40" t="s">
        <v>97</v>
      </c>
      <c r="H10" s="40" t="s">
        <v>97</v>
      </c>
      <c r="I10" s="40" t="s">
        <v>97</v>
      </c>
      <c r="J10" s="40" t="s">
        <v>97</v>
      </c>
      <c r="K10" s="40" t="s">
        <v>97</v>
      </c>
      <c r="L10" s="40" t="s">
        <v>97</v>
      </c>
      <c r="M10" s="40" t="s">
        <v>97</v>
      </c>
      <c r="N10" s="40" t="s">
        <v>97</v>
      </c>
      <c r="O10" s="40" t="s">
        <v>97</v>
      </c>
      <c r="P10" s="40" t="s">
        <v>97</v>
      </c>
    </row>
    <row r="11" spans="1:16" ht="24" thickTop="1" thickBot="1" x14ac:dyDescent="0.35">
      <c r="A11" s="47" t="s">
        <v>19</v>
      </c>
      <c r="B11" s="40" t="s">
        <v>97</v>
      </c>
      <c r="C11" s="40" t="s">
        <v>97</v>
      </c>
      <c r="D11" s="40" t="s">
        <v>97</v>
      </c>
      <c r="E11" s="40" t="s">
        <v>97</v>
      </c>
      <c r="F11" s="40" t="s">
        <v>97</v>
      </c>
      <c r="G11" s="40" t="s">
        <v>97</v>
      </c>
      <c r="H11" s="40" t="s">
        <v>97</v>
      </c>
      <c r="I11" s="40" t="s">
        <v>97</v>
      </c>
      <c r="J11" s="40" t="s">
        <v>97</v>
      </c>
      <c r="K11" s="40" t="s">
        <v>97</v>
      </c>
      <c r="L11" s="40" t="s">
        <v>97</v>
      </c>
      <c r="M11" s="40" t="s">
        <v>97</v>
      </c>
      <c r="N11" s="40" t="s">
        <v>97</v>
      </c>
      <c r="O11" s="40" t="s">
        <v>97</v>
      </c>
      <c r="P11" s="40" t="s">
        <v>97</v>
      </c>
    </row>
    <row r="12" spans="1:16" ht="24" thickTop="1" thickBot="1" x14ac:dyDescent="0.35">
      <c r="A12" s="48" t="s">
        <v>98</v>
      </c>
      <c r="B12" s="50" t="str">
        <f t="shared" ref="B12:P12" si="0">IFERROR(AVERAGEIF(B8:B11,"&gt;0"),"")</f>
        <v/>
      </c>
      <c r="C12" s="50" t="str">
        <f t="shared" si="0"/>
        <v/>
      </c>
      <c r="D12" s="50" t="str">
        <f t="shared" si="0"/>
        <v/>
      </c>
      <c r="E12" s="50" t="str">
        <f t="shared" si="0"/>
        <v/>
      </c>
      <c r="F12" s="50" t="str">
        <f t="shared" si="0"/>
        <v/>
      </c>
      <c r="G12" s="50" t="str">
        <f t="shared" si="0"/>
        <v/>
      </c>
      <c r="H12" s="50" t="str">
        <f t="shared" si="0"/>
        <v/>
      </c>
      <c r="I12" s="50" t="str">
        <f t="shared" si="0"/>
        <v/>
      </c>
      <c r="J12" s="50" t="str">
        <f t="shared" si="0"/>
        <v/>
      </c>
      <c r="K12" s="50" t="str">
        <f t="shared" si="0"/>
        <v/>
      </c>
      <c r="L12" s="50" t="str">
        <f t="shared" si="0"/>
        <v/>
      </c>
      <c r="M12" s="50" t="str">
        <f t="shared" si="0"/>
        <v/>
      </c>
      <c r="N12" s="50" t="str">
        <f t="shared" si="0"/>
        <v/>
      </c>
      <c r="O12" s="50" t="str">
        <f t="shared" si="0"/>
        <v/>
      </c>
      <c r="P12" s="50" t="str">
        <f t="shared" si="0"/>
        <v/>
      </c>
    </row>
    <row r="13" spans="1:16" ht="24" thickTop="1" thickBot="1" x14ac:dyDescent="0.35">
      <c r="A13" s="45"/>
      <c r="B13" s="45"/>
      <c r="C13" s="45"/>
      <c r="D13" s="45"/>
      <c r="E13" s="45"/>
      <c r="F13" s="45"/>
      <c r="G13" s="45"/>
      <c r="H13" s="45"/>
      <c r="I13" s="45"/>
      <c r="J13" s="46"/>
      <c r="K13" s="157" t="s">
        <v>99</v>
      </c>
      <c r="L13" s="158"/>
      <c r="M13" s="158"/>
      <c r="N13" s="158"/>
      <c r="O13" s="159"/>
      <c r="P13" s="50" t="str">
        <f>IFERROR(AVERAGEIF(B12:P12,"&gt;0"),"")</f>
        <v/>
      </c>
    </row>
    <row r="14" spans="1:16" ht="24" thickTop="1" thickBot="1" x14ac:dyDescent="0.35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3"/>
      <c r="L14" s="43"/>
      <c r="M14" s="43"/>
      <c r="N14" s="43"/>
      <c r="O14" s="43"/>
      <c r="P14" s="44"/>
    </row>
    <row r="15" spans="1:16" ht="19.2" thickTop="1" thickBot="1" x14ac:dyDescent="0.35">
      <c r="A15" s="154" t="s">
        <v>103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6"/>
    </row>
    <row r="16" spans="1:16" ht="24" thickTop="1" thickBot="1" x14ac:dyDescent="0.35">
      <c r="A16" s="47"/>
      <c r="B16" s="47" t="s">
        <v>82</v>
      </c>
      <c r="C16" s="47" t="s">
        <v>83</v>
      </c>
      <c r="D16" s="47" t="s">
        <v>84</v>
      </c>
      <c r="E16" s="47" t="s">
        <v>85</v>
      </c>
      <c r="F16" s="47" t="s">
        <v>86</v>
      </c>
      <c r="G16" s="47" t="s">
        <v>87</v>
      </c>
      <c r="H16" s="47" t="s">
        <v>88</v>
      </c>
      <c r="I16" s="47" t="s">
        <v>89</v>
      </c>
      <c r="J16" s="47" t="s">
        <v>90</v>
      </c>
      <c r="K16" s="47" t="s">
        <v>91</v>
      </c>
      <c r="L16" s="47" t="s">
        <v>92</v>
      </c>
      <c r="M16" s="47" t="s">
        <v>93</v>
      </c>
      <c r="N16" s="47" t="s">
        <v>94</v>
      </c>
      <c r="O16" s="47" t="s">
        <v>95</v>
      </c>
      <c r="P16" s="47" t="s">
        <v>96</v>
      </c>
    </row>
    <row r="17" spans="1:17" ht="24" thickTop="1" thickBot="1" x14ac:dyDescent="0.35">
      <c r="A17" s="47" t="s">
        <v>22</v>
      </c>
      <c r="B17" s="51" t="str">
        <f t="shared" ref="B17:P17" si="1">IFERROR(IF(OR(B8="",B8&lt;=0,B8="-",B8="_",$Q$17=""),"",B8*$Q$17),)</f>
        <v/>
      </c>
      <c r="C17" s="51" t="str">
        <f t="shared" si="1"/>
        <v/>
      </c>
      <c r="D17" s="51" t="str">
        <f t="shared" si="1"/>
        <v/>
      </c>
      <c r="E17" s="51" t="str">
        <f t="shared" si="1"/>
        <v/>
      </c>
      <c r="F17" s="51" t="str">
        <f t="shared" si="1"/>
        <v/>
      </c>
      <c r="G17" s="51" t="str">
        <f t="shared" si="1"/>
        <v/>
      </c>
      <c r="H17" s="51" t="str">
        <f t="shared" si="1"/>
        <v/>
      </c>
      <c r="I17" s="51" t="str">
        <f t="shared" si="1"/>
        <v/>
      </c>
      <c r="J17" s="51" t="str">
        <f t="shared" si="1"/>
        <v/>
      </c>
      <c r="K17" s="51" t="str">
        <f t="shared" si="1"/>
        <v/>
      </c>
      <c r="L17" s="51" t="str">
        <f t="shared" si="1"/>
        <v/>
      </c>
      <c r="M17" s="51" t="str">
        <f t="shared" si="1"/>
        <v/>
      </c>
      <c r="N17" s="51" t="str">
        <f t="shared" si="1"/>
        <v/>
      </c>
      <c r="O17" s="51" t="str">
        <f t="shared" si="1"/>
        <v/>
      </c>
      <c r="P17" s="51" t="str">
        <f t="shared" si="1"/>
        <v/>
      </c>
      <c r="Q17" s="52">
        <f>IFERROR('ISA 15 and SEE 85'!AZ13/3," ")</f>
        <v>1</v>
      </c>
    </row>
    <row r="18" spans="1:17" ht="24" thickTop="1" thickBot="1" x14ac:dyDescent="0.35">
      <c r="A18" s="47" t="s">
        <v>20</v>
      </c>
      <c r="B18" s="51" t="str">
        <f t="shared" ref="B18:P18" si="2">IFERROR(IF(OR(B9="",B9&lt;=0,B9="-",B9="_",$Q$18=""),"",B9*$Q$18),)</f>
        <v/>
      </c>
      <c r="C18" s="51" t="str">
        <f t="shared" si="2"/>
        <v/>
      </c>
      <c r="D18" s="51" t="str">
        <f t="shared" si="2"/>
        <v/>
      </c>
      <c r="E18" s="51" t="str">
        <f t="shared" si="2"/>
        <v/>
      </c>
      <c r="F18" s="51" t="str">
        <f t="shared" si="2"/>
        <v/>
      </c>
      <c r="G18" s="51" t="str">
        <f t="shared" si="2"/>
        <v/>
      </c>
      <c r="H18" s="51" t="str">
        <f t="shared" si="2"/>
        <v/>
      </c>
      <c r="I18" s="51" t="str">
        <f t="shared" si="2"/>
        <v/>
      </c>
      <c r="J18" s="51" t="str">
        <f t="shared" si="2"/>
        <v/>
      </c>
      <c r="K18" s="51" t="str">
        <f t="shared" si="2"/>
        <v/>
      </c>
      <c r="L18" s="51" t="str">
        <f t="shared" si="2"/>
        <v/>
      </c>
      <c r="M18" s="51" t="str">
        <f t="shared" si="2"/>
        <v/>
      </c>
      <c r="N18" s="51" t="str">
        <f t="shared" si="2"/>
        <v/>
      </c>
      <c r="O18" s="51" t="str">
        <f t="shared" si="2"/>
        <v/>
      </c>
      <c r="P18" s="51" t="str">
        <f t="shared" si="2"/>
        <v/>
      </c>
      <c r="Q18" s="52">
        <f>IFERROR('ISA 15 and SEE 85'!AZ14/3," ")</f>
        <v>1</v>
      </c>
    </row>
    <row r="19" spans="1:17" ht="24" thickTop="1" thickBot="1" x14ac:dyDescent="0.35">
      <c r="A19" s="47" t="s">
        <v>21</v>
      </c>
      <c r="B19" s="51" t="str">
        <f t="shared" ref="B19:P19" si="3">IFERROR(IF(OR(B10="",B10&lt;=0,B10="-",B10="_",$Q$19=""),"",B10*$Q$19),)</f>
        <v/>
      </c>
      <c r="C19" s="51" t="str">
        <f t="shared" si="3"/>
        <v/>
      </c>
      <c r="D19" s="51" t="str">
        <f t="shared" si="3"/>
        <v/>
      </c>
      <c r="E19" s="51" t="str">
        <f t="shared" si="3"/>
        <v/>
      </c>
      <c r="F19" s="51" t="str">
        <f t="shared" si="3"/>
        <v/>
      </c>
      <c r="G19" s="51" t="str">
        <f t="shared" si="3"/>
        <v/>
      </c>
      <c r="H19" s="51" t="str">
        <f t="shared" si="3"/>
        <v/>
      </c>
      <c r="I19" s="51" t="str">
        <f t="shared" si="3"/>
        <v/>
      </c>
      <c r="J19" s="51" t="str">
        <f t="shared" si="3"/>
        <v/>
      </c>
      <c r="K19" s="51" t="str">
        <f t="shared" si="3"/>
        <v/>
      </c>
      <c r="L19" s="51" t="str">
        <f t="shared" si="3"/>
        <v/>
      </c>
      <c r="M19" s="51" t="str">
        <f t="shared" si="3"/>
        <v/>
      </c>
      <c r="N19" s="51" t="str">
        <f t="shared" si="3"/>
        <v/>
      </c>
      <c r="O19" s="51" t="str">
        <f t="shared" si="3"/>
        <v/>
      </c>
      <c r="P19" s="51" t="str">
        <f t="shared" si="3"/>
        <v/>
      </c>
      <c r="Q19" s="52">
        <f>IFERROR('ISA 15 and SEE 85'!AZ15/3," ")</f>
        <v>1</v>
      </c>
    </row>
    <row r="20" spans="1:17" ht="24" thickTop="1" thickBot="1" x14ac:dyDescent="0.35">
      <c r="A20" s="47" t="s">
        <v>19</v>
      </c>
      <c r="B20" s="51" t="str">
        <f t="shared" ref="B20:P20" si="4">IFERROR(IF(OR(B11="",B11&lt;=0,B11="-",B11="_",$Q$20=""),"",B11*$Q$20),)</f>
        <v/>
      </c>
      <c r="C20" s="51" t="str">
        <f t="shared" si="4"/>
        <v/>
      </c>
      <c r="D20" s="51" t="str">
        <f t="shared" si="4"/>
        <v/>
      </c>
      <c r="E20" s="51" t="str">
        <f t="shared" si="4"/>
        <v/>
      </c>
      <c r="F20" s="51" t="str">
        <f t="shared" si="4"/>
        <v/>
      </c>
      <c r="G20" s="51" t="str">
        <f t="shared" si="4"/>
        <v/>
      </c>
      <c r="H20" s="51" t="str">
        <f t="shared" si="4"/>
        <v/>
      </c>
      <c r="I20" s="51" t="str">
        <f t="shared" si="4"/>
        <v/>
      </c>
      <c r="J20" s="51" t="str">
        <f t="shared" si="4"/>
        <v/>
      </c>
      <c r="K20" s="51" t="str">
        <f t="shared" si="4"/>
        <v/>
      </c>
      <c r="L20" s="51" t="str">
        <f t="shared" si="4"/>
        <v/>
      </c>
      <c r="M20" s="51" t="str">
        <f t="shared" si="4"/>
        <v/>
      </c>
      <c r="N20" s="51" t="str">
        <f t="shared" si="4"/>
        <v/>
      </c>
      <c r="O20" s="51" t="str">
        <f t="shared" si="4"/>
        <v/>
      </c>
      <c r="P20" s="51" t="str">
        <f t="shared" si="4"/>
        <v/>
      </c>
      <c r="Q20" s="52">
        <f>IFERROR('ISA 15 and SEE 85'!AZ16/3," ")</f>
        <v>0</v>
      </c>
    </row>
    <row r="21" spans="1:17" ht="24" thickTop="1" thickBot="1" x14ac:dyDescent="0.35">
      <c r="A21" s="49" t="s">
        <v>100</v>
      </c>
      <c r="B21" s="50" t="str">
        <f t="shared" ref="B21:P21" si="5">IFERROR(AVERAGE(B17:B20),"")</f>
        <v/>
      </c>
      <c r="C21" s="50" t="str">
        <f t="shared" si="5"/>
        <v/>
      </c>
      <c r="D21" s="50" t="str">
        <f t="shared" si="5"/>
        <v/>
      </c>
      <c r="E21" s="50" t="str">
        <f t="shared" si="5"/>
        <v/>
      </c>
      <c r="F21" s="50" t="str">
        <f t="shared" si="5"/>
        <v/>
      </c>
      <c r="G21" s="50" t="str">
        <f t="shared" si="5"/>
        <v/>
      </c>
      <c r="H21" s="50" t="str">
        <f t="shared" si="5"/>
        <v/>
      </c>
      <c r="I21" s="50" t="str">
        <f t="shared" si="5"/>
        <v/>
      </c>
      <c r="J21" s="50" t="str">
        <f t="shared" si="5"/>
        <v/>
      </c>
      <c r="K21" s="50" t="str">
        <f t="shared" si="5"/>
        <v/>
      </c>
      <c r="L21" s="50" t="str">
        <f t="shared" si="5"/>
        <v/>
      </c>
      <c r="M21" s="50" t="str">
        <f t="shared" si="5"/>
        <v/>
      </c>
      <c r="N21" s="50" t="str">
        <f t="shared" si="5"/>
        <v/>
      </c>
      <c r="O21" s="50" t="str">
        <f t="shared" si="5"/>
        <v/>
      </c>
      <c r="P21" s="50" t="str">
        <f t="shared" si="5"/>
        <v/>
      </c>
    </row>
    <row r="22" spans="1:17" ht="16.8" thickTop="1" thickBot="1" x14ac:dyDescent="0.3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spans="1:17" ht="24" thickTop="1" thickBot="1" x14ac:dyDescent="0.3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157" t="s">
        <v>101</v>
      </c>
      <c r="L23" s="158"/>
      <c r="M23" s="158"/>
      <c r="N23" s="158"/>
      <c r="O23" s="159"/>
      <c r="P23" s="50" t="str">
        <f>IFERROR(AVERAGEIF(B21:P21,"&gt;0"),"")</f>
        <v/>
      </c>
    </row>
    <row r="24" spans="1:17" ht="16.2" thickTop="1" x14ac:dyDescent="0.3"/>
  </sheetData>
  <sheetProtection algorithmName="SHA-512" hashValue="awMB53KQSStWKn5HmyJ1P1VfpdxfTuIFCAQ6P+KC5ZHXl4TEqwRRMK/LErCXBtK2JITXOEUybJsYXTdInCnCxA==" saltValue="CFs5cbb/n9gI0StM2s0wzQ==" spinCount="100000" sheet="1" formatCells="0" formatColumns="0" formatRows="0" insertColumns="0" insertRows="0" deleteColumns="0" autoFilter="0"/>
  <protectedRanges>
    <protectedRange sqref="C2 F2 U2" name="Range1_1"/>
  </protectedRanges>
  <mergeCells count="18">
    <mergeCell ref="O3:P3"/>
    <mergeCell ref="A1:P1"/>
    <mergeCell ref="A2:B2"/>
    <mergeCell ref="C2:P2"/>
    <mergeCell ref="K13:O13"/>
    <mergeCell ref="A3:B3"/>
    <mergeCell ref="C3:F3"/>
    <mergeCell ref="G3:H3"/>
    <mergeCell ref="I3:L3"/>
    <mergeCell ref="M3:N3"/>
    <mergeCell ref="A15:P15"/>
    <mergeCell ref="K23:O23"/>
    <mergeCell ref="A4:B4"/>
    <mergeCell ref="C4:K4"/>
    <mergeCell ref="L4:N4"/>
    <mergeCell ref="O4:P4"/>
    <mergeCell ref="A5:P5"/>
    <mergeCell ref="A6:P6"/>
  </mergeCells>
  <dataValidations count="1">
    <dataValidation type="list" allowBlank="1" showInputMessage="1" showErrorMessage="1" error="PLEASE INSERT CORRECT VALUE" sqref="B8:P11" xr:uid="{0514565F-2629-904D-AC10-ECC7C7BC85F4}">
      <formula1>"1,2,3,-"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 15 and SEE 85</vt:lpstr>
      <vt:lpstr>CO PO PSO MAPPING &amp; ATTAINMENT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Suraj Tuyekar</dc:creator>
  <cp:keywords/>
  <dc:description/>
  <cp:lastModifiedBy>Rajesh Tanksali</cp:lastModifiedBy>
  <dcterms:created xsi:type="dcterms:W3CDTF">2025-04-20T06:03:31Z</dcterms:created>
  <dcterms:modified xsi:type="dcterms:W3CDTF">2026-01-29T06:56:12Z</dcterms:modified>
  <cp:category/>
</cp:coreProperties>
</file>